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GUIDE_UTILISATION" sheetId="1" state="visible" r:id="rId3"/>
    <sheet name="Param" sheetId="2" state="visible" r:id="rId4"/>
    <sheet name="Demande" sheetId="3" state="visible" r:id="rId5"/>
    <sheet name="Offre" sheetId="4" state="visible" r:id="rId6"/>
    <sheet name="Matrice_OD" sheetId="5" state="visible" r:id="rId7"/>
    <sheet name="1_Friction" sheetId="6" state="visible" r:id="rId8"/>
    <sheet name="2_Utilité" sheetId="7" state="visible" r:id="rId9"/>
    <sheet name="3_Huff" sheetId="8" state="visible" r:id="rId10"/>
    <sheet name="4_SPAI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<sst xmlns="http://schemas.openxmlformats.org/spreadsheetml/2006/main" count="2086" uniqueCount="493">
  <si>
    <t xml:space="preserve">MODÈLE MH3SFCA-λ — Région Béni Mellal-Khénifra</t>
  </si>
  <si>
    <t xml:space="preserve">Projet de Fin d'Études (PFE) | Modified Huff 3-Step Floating Catchment Area avec coefficient de préférence sectorielle λ</t>
  </si>
  <si>
    <t xml:space="preserve">ARCHITECTURE DU FICHIER — 8 FEUILLES INTERCONNECTÉES</t>
  </si>
  <si>
    <t xml:space="preserve">Feuille</t>
  </si>
  <si>
    <t xml:space="preserve">Rôle</t>
  </si>
  <si>
    <t xml:space="preserve">Formule mathématique</t>
  </si>
  <si>
    <t xml:space="preserve">Inputs / Outputs</t>
  </si>
  <si>
    <t xml:space="preserve">Param</t>
  </si>
  <si>
    <t xml:space="preserve">Paramètres globaux du modèle</t>
  </si>
  <si>
    <t xml:space="preserve">β = −dmax² / ln(seuil)</t>
  </si>
  <si>
    <t xml:space="preserve">INPUT: dmax, α, seuil
OUTPUT: β (calculé)</t>
  </si>
  <si>
    <t xml:space="preserve">Demande</t>
  </si>
  <si>
    <t xml:space="preserve">Population Pi de chaque commune i</t>
  </si>
  <si>
    <t xml:space="preserve">—  (données brutes RGPH)</t>
  </si>
  <si>
    <t xml:space="preserve">INPUT: code géo., nom commune, population</t>
  </si>
  <si>
    <t xml:space="preserve">Offre</t>
  </si>
  <si>
    <t xml:space="preserve">Capacité Sj et préférence λj des 35 établissements</t>
  </si>
  <si>
    <t xml:space="preserve">Col F : λj × Sj  (capacité effective)</t>
  </si>
  <si>
    <t xml:space="preserve">INPUT: Sj (lits), λj
OUTPUT: λj×Sj auto-calculé</t>
  </si>
  <si>
    <t xml:space="preserve">Matrice_OD</t>
  </si>
  <si>
    <t xml:space="preserve">Temps de trajet dij (minutes) — matrice 135×35</t>
  </si>
  <si>
    <t xml:space="preserve">—  (données QGIS Origine-Destination)</t>
  </si>
  <si>
    <t xml:space="preserve">INPUT: dij bruts</t>
  </si>
  <si>
    <t xml:space="preserve">1_Friction</t>
  </si>
  <si>
    <t xml:space="preserve">Décroissance gaussienne f(dij;β)</t>
  </si>
  <si>
    <t xml:space="preserve">f(dij;β) = exp(−dij²/β)  si dij ≤ dmax</t>
  </si>
  <si>
    <t xml:space="preserve">OUTPUT: f ∈ [0,1] pour chaque paire (i,j)</t>
  </si>
  <si>
    <t xml:space="preserve">2_Utilité</t>
  </si>
  <si>
    <t xml:space="preserve">Utilité brute Uij — Étape 1a</t>
  </si>
  <si>
    <t xml:space="preserve">Uij = λj · Sj^α · f(dij;β)</t>
  </si>
  <si>
    <t xml:space="preserve">OUTPUT: Uij &amp; Σj Uij par commune</t>
  </si>
  <si>
    <t xml:space="preserve">3_Huff</t>
  </si>
  <si>
    <t xml:space="preserve">Poids Huffij &amp; Ratio Rj — Étapes 1b &amp; 2</t>
  </si>
  <si>
    <t xml:space="preserve">Huffij = Uij/ΣUik  |  Rj = (λj·Sj)/Σ(Huffij·Pi)</t>
  </si>
  <si>
    <t xml:space="preserve">OUTPUT: Huffij ∈[0,1], ΣHuff=1, Rj</t>
  </si>
  <si>
    <t xml:space="preserve">4_SPAI</t>
  </si>
  <si>
    <t xml:space="preserve">Indice d'accessibilité final — Étape 3</t>
  </si>
  <si>
    <t xml:space="preserve">SPAIi = Σj Huffij · Rj · f(dij;β)</t>
  </si>
  <si>
    <t xml:space="preserve">OUTPUT: SPAI, SPAI×1000, Rang</t>
  </si>
  <si>
    <t xml:space="preserve">COMMENT UTILISER CE MODÈLE — MODIFICATIONS DYNAMIQUES</t>
  </si>
  <si>
    <t xml:space="preserve">🏥 Ajouter des lits à une clinique</t>
  </si>
  <si>
    <t xml:space="preserve">Feuille Offre → modifier Col C (Sj) pour la clinique concernée.
→ Rj, SPAI et Rang se recalculent automatiquement en cascade.</t>
  </si>
  <si>
    <t xml:space="preserve">🔧 Changer le seuil de distance dmax</t>
  </si>
  <si>
    <t xml:space="preserve">Feuille Param → modifier B2 (dmax).
→ β se recalcule (B5), puis friction, utilité, Huff, Rj et SPAI suivent.</t>
  </si>
  <si>
    <t xml:space="preserve">⚙  Modifier le coefficient λ</t>
  </si>
  <si>
    <t xml:space="preserve">Feuille Offre → modifier Col E (λj) pour un établissement.
→ Uij, Huffij, Rj et SPAI se recalculent. Effectuer une analyse de sensibilité λ ∈ [0,5 ; 0,95].</t>
  </si>
  <si>
    <t xml:space="preserve">🏗  Simuler une nouvelle clinique privée</t>
  </si>
  <si>
    <t xml:space="preserve">Matrice_OD → ajouter une colonne avec les dij de la nouvelle clinique.
→ Offre → ajouter une ligne (Sj, λ=0,9).
→ Étendre les formules dans 1_Friction, 2_Utilité, 3_Huff, 4_SPAI.</t>
  </si>
  <si>
    <t xml:space="preserve">📊 Lire les résultats</t>
  </si>
  <si>
    <t xml:space="preserve">Feuille 4_SPAI → col AM (SPAI), col AN (SPAI×1000), col AO (Rang).
Pour la cartographie : exporter la col SPAI×1000 vers QGIS (jointure par Code géo.).</t>
  </si>
  <si>
    <t xml:space="preserve">CHAÎNE DE CALCUL COMPLÈTE — MH3SFCA-λ</t>
  </si>
  <si>
    <t xml:space="preserve">① PARAM :  β = −dmax² / ln(seuil)     [Jörg et al., 2019, p. 29]</t>
  </si>
  <si>
    <t xml:space="preserve">② FRICTION :  f(dij;β) = exp(−dij²/β)  si dij ≤ dmax, sinon 0     [Subal et al., 2021, p. 6]</t>
  </si>
  <si>
    <t xml:space="preserve">③ UTILITÉ :  Uij = λj × Sj^α × f(dij;β)     [Extension MH3SFCA-λ — PFE Chapitre 3]</t>
  </si>
  <si>
    <t xml:space="preserve">④ HUFF :  Huffij = Uij / Σk Uik     (∑j Huffij = 1)     [Huff, 1964, p. 35 ; Jörg et al., 2019, p. 32]</t>
  </si>
  <si>
    <t xml:space="preserve">⑤ Rj :  Rj = (λj × Sj) / Σi (Huffij × Pi)     [Correction λ — PFE Chapitre 3]</t>
  </si>
  <si>
    <t xml:space="preserve">⑥ SPAI :  SPAIi = Σj [Huffij × Rj × f(dij;β)]     [Subal et al., 2021, p. 7]</t>
  </si>
  <si>
    <t xml:space="preserve">Références bibliographiques mobilisées dans ce modèle :</t>
  </si>
  <si>
    <t xml:space="preserve">• Huff, D.L. (1964). Defining and Estimating a Trading Area. Journal of Marketing, 28(3), 34–38.</t>
  </si>
  <si>
    <t xml:space="preserve">• Jörg, R., Widmer, M., &amp; Weaver, B. (2019). Mesure de l'accessibilité aux soins de santé. Rapport OBSAN. Neuchâtel.</t>
  </si>
  <si>
    <t xml:space="preserve">• Luo, W., &amp; Wang, F. (2003). Measures of Spatial Accessibility to Health Care in a GIS Environment. Environment and Planning B, 30(6), 865–884.</t>
  </si>
  <si>
    <t xml:space="preserve">• Subal, J., Jörg, R., &amp; Widmer, M. (2021). Spatial Accessibility to Health Services. Swiss Health Observatory (Obsan), Working Paper.</t>
  </si>
  <si>
    <t xml:space="preserve">• Wan, N., Zou, B., &amp; Sternberg, T. (2012). A 3-Step Floating Catchment Area Method for Analyzing Spatial Access to Health Services. International Journal of Geographical Information Science, 26(6), 1073–1089.</t>
  </si>
  <si>
    <t xml:space="preserve">Paramètre</t>
  </si>
  <si>
    <t xml:space="preserve">Valeur</t>
  </si>
  <si>
    <t xml:space="preserve">Description</t>
  </si>
  <si>
    <t xml:space="preserve">dmax (min)</t>
  </si>
  <si>
    <t xml:space="preserve">Seuil max temps de trajet</t>
  </si>
  <si>
    <t xml:space="preserve">α (alpha)</t>
  </si>
  <si>
    <t xml:space="preserve">Élasticité attractivité</t>
  </si>
  <si>
    <t xml:space="preserve">Seuil f(dmax)</t>
  </si>
  <si>
    <t xml:space="preserve">f(dmax) → ce seuil</t>
  </si>
  <si>
    <t xml:space="preserve">β (beta)</t>
  </si>
  <si>
    <t xml:space="preserve">Calculé: = -(dmax²)/LN(seuil)</t>
  </si>
  <si>
    <t xml:space="preserve">FEUILLE PARAM — Paramètres du modèle MH3SFCA-λ</t>
  </si>
  <si>
    <t xml:space="preserve">β = − d²max / ln(seuil)    →    cellule B5 = -(B2^2)/LN(B4)</t>
  </si>
  <si>
    <t xml:space="preserve">• dmax (B2) : seuil maximal de temps de trajet en minutes. Toute paire (i,j) avec d_ij &gt; dmax reçoit f(d)=0.</t>
  </si>
  <si>
    <t xml:space="preserve">• α (B3) : élasticité de l'attractivité. α=1 → les patients sont attirés proportionnellement à la capacité Sj.</t>
  </si>
  <si>
    <t xml:space="preserve">• Seuil f(dmax) (B4) : valeur de la fonction gaussienne à d=dmax. Jörg et al. (2019, p.29) utilisent 0,01.</t>
  </si>
  <si>
    <t xml:space="preserve">• β (B5) : paramètre de friction calculé automatiquement via la formule ci-dessus.</t>
  </si>
  <si>
    <t xml:space="preserve">  Interprétation : plus β est grand, plus la décroissance est lente (patients moins sensibles à la distance).</t>
  </si>
  <si>
    <t xml:space="preserve">• λ privé / λ public : coefficients de préférence sectorielle (extension originale — cf. Chapitre 3).</t>
  </si>
  <si>
    <t xml:space="preserve">  RÈGLE : λ privé + λ public = 1. Valeurs issues des données CESE (2024) sur les flux AMO.</t>
  </si>
  <si>
    <t xml:space="preserve">  ⚠  Ces valeurs sont en bleu dans la feuille Offre (col E). Modifier là pour une analyse de sensibilité.</t>
  </si>
  <si>
    <t xml:space="preserve">Référence des formules</t>
  </si>
  <si>
    <t xml:space="preserve">Auteur(s)</t>
  </si>
  <si>
    <t xml:space="preserve">Page</t>
  </si>
  <si>
    <t xml:space="preserve">Fonction gaussienne f(dij;β)</t>
  </si>
  <si>
    <t xml:space="preserve">Subal et al. (2021)</t>
  </si>
  <si>
    <t xml:space="preserve">p. 6</t>
  </si>
  <si>
    <t xml:space="preserve">Paramètre β = -dmax²/ln(seuil)</t>
  </si>
  <si>
    <t xml:space="preserve">Jörg et al. (2019)</t>
  </si>
  <si>
    <t xml:space="preserve">p. 29</t>
  </si>
  <si>
    <t xml:space="preserve">Coefficient α (élasticité)</t>
  </si>
  <si>
    <t xml:space="preserve">Huff (1964)</t>
  </si>
  <si>
    <t xml:space="preserve">p. 35</t>
  </si>
  <si>
    <t xml:space="preserve">Coefficient λ (préférence sectorielle)</t>
  </si>
  <si>
    <t xml:space="preserve">Extension originale — Chapitre 3</t>
  </si>
  <si>
    <t xml:space="preserve">—</t>
  </si>
  <si>
    <t xml:space="preserve">Code géo.</t>
  </si>
  <si>
    <t xml:space="preserve">Commune</t>
  </si>
  <si>
    <t xml:space="preserve">Population</t>
  </si>
  <si>
    <t xml:space="preserve">05.091.01.01.</t>
  </si>
  <si>
    <t xml:space="preserve">Commune de Béni Mellal</t>
  </si>
  <si>
    <t xml:space="preserve">05.091.01.07.</t>
  </si>
  <si>
    <t xml:space="preserve">Commune de Kasba Tadla</t>
  </si>
  <si>
    <t xml:space="preserve">05.091.01.13.</t>
  </si>
  <si>
    <t xml:space="preserve">Commune de Zaouiat Cheikh</t>
  </si>
  <si>
    <t xml:space="preserve">05.091.01.03.</t>
  </si>
  <si>
    <t xml:space="preserve">Commune d'El Ksiba</t>
  </si>
  <si>
    <t xml:space="preserve">05.091.03.03.</t>
  </si>
  <si>
    <t xml:space="preserve">Commune d'Ouled Gnaou</t>
  </si>
  <si>
    <t xml:space="preserve">05.091.03.05.</t>
  </si>
  <si>
    <t xml:space="preserve">Commune d'Ouled M'barek</t>
  </si>
  <si>
    <t xml:space="preserve">05.091.03.01.</t>
  </si>
  <si>
    <t xml:space="preserve">Commune de Foum Oudi</t>
  </si>
  <si>
    <t xml:space="preserve">05.091.03.07.</t>
  </si>
  <si>
    <t xml:space="preserve">Commune d'Ouled Yaich</t>
  </si>
  <si>
    <t xml:space="preserve">05.091.03.09.</t>
  </si>
  <si>
    <t xml:space="preserve">Commune de Sidi Jaber</t>
  </si>
  <si>
    <t xml:space="preserve">05.091.03.11.</t>
  </si>
  <si>
    <t xml:space="preserve">Commune de Foum El Anceur</t>
  </si>
  <si>
    <t xml:space="preserve">05.091.07.11.</t>
  </si>
  <si>
    <t xml:space="preserve">Commune de Naour</t>
  </si>
  <si>
    <t xml:space="preserve">05.091.07.07.</t>
  </si>
  <si>
    <t xml:space="preserve">Commune de Dir El Ksiba</t>
  </si>
  <si>
    <t xml:space="preserve">05.091.07.15.</t>
  </si>
  <si>
    <t xml:space="preserve">Commune de Tanougha</t>
  </si>
  <si>
    <t xml:space="preserve">05.091.07.13.</t>
  </si>
  <si>
    <t xml:space="preserve">Commune de Taghzirt</t>
  </si>
  <si>
    <t xml:space="preserve">05.091.07.03.</t>
  </si>
  <si>
    <t xml:space="preserve">Commune d'Ait Oum El Bekht</t>
  </si>
  <si>
    <t xml:space="preserve">05.091.05.01.</t>
  </si>
  <si>
    <t xml:space="preserve">Commune d'Aghbala</t>
  </si>
  <si>
    <t xml:space="preserve">05.091.05.17.</t>
  </si>
  <si>
    <t xml:space="preserve">Commune de Tizi N'isly</t>
  </si>
  <si>
    <t xml:space="preserve">05.091.05.05.</t>
  </si>
  <si>
    <t xml:space="preserve">Commune de Boutferda</t>
  </si>
  <si>
    <t xml:space="preserve">05.091.11.01.</t>
  </si>
  <si>
    <t xml:space="preserve">Commune de Guettaya</t>
  </si>
  <si>
    <t xml:space="preserve">05.091.11.07.</t>
  </si>
  <si>
    <t xml:space="preserve">Commune de Semguet</t>
  </si>
  <si>
    <t xml:space="preserve">05.091.11.03.</t>
  </si>
  <si>
    <t xml:space="preserve">Commune d'Ouled Youssef</t>
  </si>
  <si>
    <t xml:space="preserve">05.091.11.05.</t>
  </si>
  <si>
    <t xml:space="preserve">Commune d'Ouled Said Loued</t>
  </si>
  <si>
    <t xml:space="preserve">05.081.01.01.</t>
  </si>
  <si>
    <t xml:space="preserve">Commune d'Azilal</t>
  </si>
  <si>
    <t xml:space="preserve">05.081.01.03.</t>
  </si>
  <si>
    <t xml:space="preserve">Commune de Demnate</t>
  </si>
  <si>
    <t xml:space="preserve">05.081.03.07.</t>
  </si>
  <si>
    <t xml:space="preserve">Commune d'Ait M'hamed</t>
  </si>
  <si>
    <t xml:space="preserve">05.081.03.03.</t>
  </si>
  <si>
    <t xml:space="preserve">Commune d'Ait Abbas</t>
  </si>
  <si>
    <t xml:space="preserve">05.081.03.09.</t>
  </si>
  <si>
    <t xml:space="preserve">Commune de Tabant</t>
  </si>
  <si>
    <t xml:space="preserve">05.081.03.05.</t>
  </si>
  <si>
    <t xml:space="preserve">Commune d'Ait Bou Oulli</t>
  </si>
  <si>
    <t xml:space="preserve">05.081.03.01.</t>
  </si>
  <si>
    <t xml:space="preserve">Commune d'Agoudi N'lkhair</t>
  </si>
  <si>
    <t xml:space="preserve">05.081.03.11.</t>
  </si>
  <si>
    <t xml:space="preserve">Commune de Tamda Noumercid</t>
  </si>
  <si>
    <t xml:space="preserve">05.081.03.13.</t>
  </si>
  <si>
    <t xml:space="preserve">Commune de Zaouiat Ahansal</t>
  </si>
  <si>
    <t xml:space="preserve">05.081.05.21.</t>
  </si>
  <si>
    <t xml:space="preserve">Commune de Tisqi</t>
  </si>
  <si>
    <t xml:space="preserve">05.081.05.19.</t>
  </si>
  <si>
    <t xml:space="preserve">Commune de Taounza</t>
  </si>
  <si>
    <t xml:space="preserve">05.081.05.11.</t>
  </si>
  <si>
    <t xml:space="preserve">Commune de Moulay Aissa Ben Driss</t>
  </si>
  <si>
    <t xml:space="preserve">05.081.05.07.</t>
  </si>
  <si>
    <t xml:space="preserve">Commune de Bzou</t>
  </si>
  <si>
    <t xml:space="preserve">05.081.05.13.</t>
  </si>
  <si>
    <t xml:space="preserve">Commune de Rfala</t>
  </si>
  <si>
    <t xml:space="preserve">05.081.05.01.</t>
  </si>
  <si>
    <t xml:space="preserve">Commune d'Ait Taguella</t>
  </si>
  <si>
    <t xml:space="preserve">05.081.05.17.</t>
  </si>
  <si>
    <t xml:space="preserve">Commune de Tanant</t>
  </si>
  <si>
    <t xml:space="preserve">05.081.05.09.</t>
  </si>
  <si>
    <t xml:space="preserve">Commune de Foum Jemaa</t>
  </si>
  <si>
    <t xml:space="preserve">05.081.05.15.</t>
  </si>
  <si>
    <t xml:space="preserve">Commune de Tabia</t>
  </si>
  <si>
    <t xml:space="preserve">05.081.05.05.</t>
  </si>
  <si>
    <t xml:space="preserve">Commune de Bni Hassane</t>
  </si>
  <si>
    <t xml:space="preserve">05.081.15.13.</t>
  </si>
  <si>
    <t xml:space="preserve">Commune d'Ouaoula</t>
  </si>
  <si>
    <t xml:space="preserve">05.081.15.03.</t>
  </si>
  <si>
    <t xml:space="preserve">Commune d'Ait Majden</t>
  </si>
  <si>
    <t xml:space="preserve">05.081.15.21.</t>
  </si>
  <si>
    <t xml:space="preserve">Commune de Tifni</t>
  </si>
  <si>
    <t xml:space="preserve">05.081.15.11.</t>
  </si>
  <si>
    <t xml:space="preserve">Commune d'Imlil</t>
  </si>
  <si>
    <t xml:space="preserve">05.081.15.15.</t>
  </si>
  <si>
    <t xml:space="preserve">Commune de Sidi Boulkhalf</t>
  </si>
  <si>
    <t xml:space="preserve">05.081.15.01.</t>
  </si>
  <si>
    <t xml:space="preserve">Commune d'Ait Blal</t>
  </si>
  <si>
    <t xml:space="preserve">05.081.13.05.</t>
  </si>
  <si>
    <t xml:space="preserve">Commune d'Ait Oumdis</t>
  </si>
  <si>
    <t xml:space="preserve">05.081.13.07.</t>
  </si>
  <si>
    <t xml:space="preserve">Commune d'Ait Tamlil</t>
  </si>
  <si>
    <t xml:space="preserve">05.081.13.09.</t>
  </si>
  <si>
    <t xml:space="preserve">Commune d'Anzou</t>
  </si>
  <si>
    <t xml:space="preserve">05.081.13.19.</t>
  </si>
  <si>
    <t xml:space="preserve">Commune de Tidili Fetouaka</t>
  </si>
  <si>
    <t xml:space="preserve">05.081.13.17.</t>
  </si>
  <si>
    <t xml:space="preserve">Commune de Sidi Yacoub</t>
  </si>
  <si>
    <t xml:space="preserve">05.081.09.09.</t>
  </si>
  <si>
    <t xml:space="preserve">Commune d'Anergui</t>
  </si>
  <si>
    <t xml:space="preserve">05.081.09.11.</t>
  </si>
  <si>
    <t xml:space="preserve">Commune de Bin El Ouidane</t>
  </si>
  <si>
    <t xml:space="preserve">05.081.09.13.</t>
  </si>
  <si>
    <t xml:space="preserve">Commune d'Isseksi</t>
  </si>
  <si>
    <t xml:space="preserve">05.081.09.15.</t>
  </si>
  <si>
    <t xml:space="preserve">Commune d'Ouaouizeght</t>
  </si>
  <si>
    <t xml:space="preserve">05.081.09.21.</t>
  </si>
  <si>
    <t xml:space="preserve">Commune de Tiffert N'ait Hamza</t>
  </si>
  <si>
    <t xml:space="preserve">05.081.09.07.</t>
  </si>
  <si>
    <t xml:space="preserve">Commune d'Ait Ouqabli</t>
  </si>
  <si>
    <t xml:space="preserve">05.081.09.19.</t>
  </si>
  <si>
    <t xml:space="preserve">Commune de Tagleft</t>
  </si>
  <si>
    <t xml:space="preserve">05.081.09.17.</t>
  </si>
  <si>
    <t xml:space="preserve">Commune de Tabaroucht</t>
  </si>
  <si>
    <t xml:space="preserve">05.081.09.03.</t>
  </si>
  <si>
    <t xml:space="preserve">Commune d'Ait Mazigh</t>
  </si>
  <si>
    <t xml:space="preserve">05.081.09.23.</t>
  </si>
  <si>
    <t xml:space="preserve">Commune de Tilougguite</t>
  </si>
  <si>
    <t xml:space="preserve">05.081.11.01.</t>
  </si>
  <si>
    <t xml:space="preserve">Commune d'Afourar</t>
  </si>
  <si>
    <t xml:space="preserve">05.081.11.25.</t>
  </si>
  <si>
    <t xml:space="preserve">Commune de Timoulilt</t>
  </si>
  <si>
    <t xml:space="preserve">05.081.11.05.</t>
  </si>
  <si>
    <t xml:space="preserve">Commune d'Ait Ouaarda</t>
  </si>
  <si>
    <t xml:space="preserve">05.081.11.03.</t>
  </si>
  <si>
    <t xml:space="preserve">Commune de Bni A'yat</t>
  </si>
  <si>
    <t xml:space="preserve">05.255.01.05.</t>
  </si>
  <si>
    <t xml:space="preserve">Commune de Fquih Ben Salah</t>
  </si>
  <si>
    <t xml:space="preserve">05.255.01.11.</t>
  </si>
  <si>
    <t xml:space="preserve">Commune de Souk Sebt Ouled Nemma</t>
  </si>
  <si>
    <t xml:space="preserve">05.255.01.09.</t>
  </si>
  <si>
    <t xml:space="preserve">Commune d'Ouled Ayad</t>
  </si>
  <si>
    <t xml:space="preserve">05.255.05.13.</t>
  </si>
  <si>
    <t xml:space="preserve">Commune de Sidi Hammadi</t>
  </si>
  <si>
    <t xml:space="preserve">05.255.05.05.</t>
  </si>
  <si>
    <t xml:space="preserve">Commune d'Ouled Bourahmoune</t>
  </si>
  <si>
    <t xml:space="preserve">05.255.05.11.</t>
  </si>
  <si>
    <t xml:space="preserve">Commune de Sidi Aissa Ben Ali</t>
  </si>
  <si>
    <t xml:space="preserve">05.255.05.09.</t>
  </si>
  <si>
    <t xml:space="preserve">Commune d'Ouled Zmam</t>
  </si>
  <si>
    <t xml:space="preserve">05.255.09.11.</t>
  </si>
  <si>
    <t xml:space="preserve">Commune de Krifate</t>
  </si>
  <si>
    <t xml:space="preserve">05.255.09.09.</t>
  </si>
  <si>
    <t xml:space="preserve">Commune de Hel Merbaa</t>
  </si>
  <si>
    <t xml:space="preserve">05.255.09.01.</t>
  </si>
  <si>
    <t xml:space="preserve">Commune de Khalfia</t>
  </si>
  <si>
    <t xml:space="preserve">05.255.09.07.</t>
  </si>
  <si>
    <t xml:space="preserve">Commune de Bradia</t>
  </si>
  <si>
    <t xml:space="preserve">05.255.09.03.</t>
  </si>
  <si>
    <t xml:space="preserve">Commune de Bni Chegdale</t>
  </si>
  <si>
    <t xml:space="preserve">05.255.09.05.</t>
  </si>
  <si>
    <t xml:space="preserve">Commune de Bni Oukil</t>
  </si>
  <si>
    <t xml:space="preserve">05.255.11.01.</t>
  </si>
  <si>
    <t xml:space="preserve">Commune de Dar Ould Zidouh</t>
  </si>
  <si>
    <t xml:space="preserve">05.255.11.03.</t>
  </si>
  <si>
    <t xml:space="preserve">Commune de Had Boumoussa</t>
  </si>
  <si>
    <t xml:space="preserve">05.255.11.07.</t>
  </si>
  <si>
    <t xml:space="preserve">Commune d'Ouled Nacer</t>
  </si>
  <si>
    <t xml:space="preserve">05.301.01.01.</t>
  </si>
  <si>
    <t xml:space="preserve">Commune de Khenifra</t>
  </si>
  <si>
    <t xml:space="preserve">05.301.01.05.</t>
  </si>
  <si>
    <t xml:space="preserve">Commune de M'rirt</t>
  </si>
  <si>
    <t xml:space="preserve">05.301.03.09.</t>
  </si>
  <si>
    <t xml:space="preserve">Commune d'Ouaoumana</t>
  </si>
  <si>
    <t xml:space="preserve">05.301.03.01.</t>
  </si>
  <si>
    <t xml:space="preserve">Commune d'Ait Ishaq</t>
  </si>
  <si>
    <t xml:space="preserve">05.301.03.05.</t>
  </si>
  <si>
    <t xml:space="preserve">Commune d'El Kbab</t>
  </si>
  <si>
    <t xml:space="preserve">05.301.03.11.</t>
  </si>
  <si>
    <t xml:space="preserve">Commune de Sidi Yahya Ou Saad</t>
  </si>
  <si>
    <t xml:space="preserve">05.301.03.13.</t>
  </si>
  <si>
    <t xml:space="preserve">Commune de Tighassaline</t>
  </si>
  <si>
    <t xml:space="preserve">05.301.03.03.</t>
  </si>
  <si>
    <t xml:space="preserve">Commune d'Ait Saadelli</t>
  </si>
  <si>
    <t xml:space="preserve">05.301.03.07.</t>
  </si>
  <si>
    <t xml:space="preserve">Commune de Kerrouchen</t>
  </si>
  <si>
    <t xml:space="preserve">05.301.05.21.</t>
  </si>
  <si>
    <t xml:space="preserve">Commune de Sidi Amar</t>
  </si>
  <si>
    <t xml:space="preserve">05.301.05.25.</t>
  </si>
  <si>
    <t xml:space="preserve">Commune de Sidi Lamine</t>
  </si>
  <si>
    <t xml:space="preserve">05.301.05.05.</t>
  </si>
  <si>
    <t xml:space="preserve">Commune d'El Borj</t>
  </si>
  <si>
    <t xml:space="preserve">05.301.05.13.</t>
  </si>
  <si>
    <t xml:space="preserve">Commune de Moha Ou Hammou Zayani</t>
  </si>
  <si>
    <t xml:space="preserve">05.301.05.01.</t>
  </si>
  <si>
    <t xml:space="preserve">Commune d'Aguelmam Azegza</t>
  </si>
  <si>
    <t xml:space="preserve">05.301.05.11.</t>
  </si>
  <si>
    <t xml:space="preserve">Commune de Lehri</t>
  </si>
  <si>
    <t xml:space="preserve">05.301.07.23.</t>
  </si>
  <si>
    <t xml:space="preserve">Commune de Sidi Hcine</t>
  </si>
  <si>
    <t xml:space="preserve">05.301.07.03.</t>
  </si>
  <si>
    <t xml:space="preserve">Commune d'Aguelmous</t>
  </si>
  <si>
    <t xml:space="preserve">05.301.07.09.</t>
  </si>
  <si>
    <t xml:space="preserve">Commune de Had Bouhssoussen</t>
  </si>
  <si>
    <t xml:space="preserve">05.301.07.15.</t>
  </si>
  <si>
    <t xml:space="preserve">Commune de Moulay Bouazza</t>
  </si>
  <si>
    <t xml:space="preserve">05.301.07.19.</t>
  </si>
  <si>
    <t xml:space="preserve">Commune de Sebt Ait Rahou</t>
  </si>
  <si>
    <t xml:space="preserve">05.301.07.07.</t>
  </si>
  <si>
    <t xml:space="preserve">Commune d'El Hammam</t>
  </si>
  <si>
    <t xml:space="preserve">05.301.07.17.</t>
  </si>
  <si>
    <t xml:space="preserve">Commune d'Oum Rabia</t>
  </si>
  <si>
    <t xml:space="preserve">05.311.01.07.</t>
  </si>
  <si>
    <t xml:space="preserve">Commune de Khouribga</t>
  </si>
  <si>
    <t xml:space="preserve">05.311.01.09.</t>
  </si>
  <si>
    <t xml:space="preserve">Commune d'Oued Zem</t>
  </si>
  <si>
    <t xml:space="preserve">05.311.01.01.</t>
  </si>
  <si>
    <t xml:space="preserve">Commune de Bejaad</t>
  </si>
  <si>
    <t xml:space="preserve">05.311.01.03.</t>
  </si>
  <si>
    <t xml:space="preserve">Commune de Boujniba</t>
  </si>
  <si>
    <t xml:space="preserve">05.311.01.05.</t>
  </si>
  <si>
    <t xml:space="preserve">Commune de Hattane</t>
  </si>
  <si>
    <t xml:space="preserve">05.311.03.13.</t>
  </si>
  <si>
    <t xml:space="preserve">Commune de Rouached</t>
  </si>
  <si>
    <t xml:space="preserve">05.311.03.09.</t>
  </si>
  <si>
    <t xml:space="preserve">Commune de Chougrane</t>
  </si>
  <si>
    <t xml:space="preserve">05.311.03.15.</t>
  </si>
  <si>
    <t xml:space="preserve">Commune de Tachraft</t>
  </si>
  <si>
    <t xml:space="preserve">05.311.03.01.</t>
  </si>
  <si>
    <t xml:space="preserve">Commune d'Ain Kaicher</t>
  </si>
  <si>
    <t xml:space="preserve">05.311.03.03.</t>
  </si>
  <si>
    <t xml:space="preserve">Commune de Bni Bataou</t>
  </si>
  <si>
    <t xml:space="preserve">05.311.03.07.</t>
  </si>
  <si>
    <t xml:space="preserve">Commune de Boukhrisse</t>
  </si>
  <si>
    <t xml:space="preserve">05.311.03.05.</t>
  </si>
  <si>
    <t xml:space="preserve">Commune de Bni Zrantel</t>
  </si>
  <si>
    <t xml:space="preserve">05.311.03.11.</t>
  </si>
  <si>
    <t xml:space="preserve">Commune d'Oulad Gouaouch</t>
  </si>
  <si>
    <t xml:space="preserve">05.311.05.03.</t>
  </si>
  <si>
    <t xml:space="preserve">Commune de Bni Ykhlef</t>
  </si>
  <si>
    <t xml:space="preserve">05.311.05.07.</t>
  </si>
  <si>
    <t xml:space="preserve">Commune de Lagfaf</t>
  </si>
  <si>
    <t xml:space="preserve">05.311.05.05.</t>
  </si>
  <si>
    <t xml:space="preserve">Commune de Boulanouare</t>
  </si>
  <si>
    <t xml:space="preserve">05.311.05.01.</t>
  </si>
  <si>
    <t xml:space="preserve">Commune de Bir Mezoui</t>
  </si>
  <si>
    <t xml:space="preserve">05.311.05.09.</t>
  </si>
  <si>
    <t xml:space="preserve">Commune d'El Foqra</t>
  </si>
  <si>
    <t xml:space="preserve">05.311.05.11.</t>
  </si>
  <si>
    <t xml:space="preserve">Commune de M'fassis</t>
  </si>
  <si>
    <t xml:space="preserve">05.311.05.13.</t>
  </si>
  <si>
    <t xml:space="preserve">Commune d'Oulad Abdoune</t>
  </si>
  <si>
    <t xml:space="preserve">05.311.05.15.</t>
  </si>
  <si>
    <t xml:space="preserve">Commune d'Oulad Azzouz</t>
  </si>
  <si>
    <t xml:space="preserve">05.311.07.01.</t>
  </si>
  <si>
    <t xml:space="preserve">Commune d'Ait Ammar</t>
  </si>
  <si>
    <t xml:space="preserve">05.311.07.19.</t>
  </si>
  <si>
    <t xml:space="preserve">Commune d'Oulad Ftata</t>
  </si>
  <si>
    <t xml:space="preserve">05.311.07.09.</t>
  </si>
  <si>
    <t xml:space="preserve">Commune de Lagnadiz</t>
  </si>
  <si>
    <t xml:space="preserve">05.311.07.15.</t>
  </si>
  <si>
    <t xml:space="preserve">Commune d'Oulad Boughadi</t>
  </si>
  <si>
    <t xml:space="preserve">05.311.07.03.</t>
  </si>
  <si>
    <t xml:space="preserve">Commune de Bni Smir</t>
  </si>
  <si>
    <t xml:space="preserve">05.311.07.07.</t>
  </si>
  <si>
    <t xml:space="preserve">Commune de Kasbat Troch</t>
  </si>
  <si>
    <t xml:space="preserve">05.311.07.11.</t>
  </si>
  <si>
    <t xml:space="preserve">Commune de Maadna</t>
  </si>
  <si>
    <t xml:space="preserve">05.311.07.17.</t>
  </si>
  <si>
    <t xml:space="preserve">Commune d'Oulad Fennane</t>
  </si>
  <si>
    <t xml:space="preserve">05.311.07.05.</t>
  </si>
  <si>
    <t xml:space="preserve">Commune de Braksa</t>
  </si>
  <si>
    <t xml:space="preserve">05.311.07.13.</t>
  </si>
  <si>
    <t xml:space="preserve">Commune d'Oulad Aissa</t>
  </si>
  <si>
    <t xml:space="preserve">j</t>
  </si>
  <si>
    <t xml:space="preserve">Nom_etablissement</t>
  </si>
  <si>
    <t xml:space="preserve">Sj (lits)</t>
  </si>
  <si>
    <t xml:space="preserve">type_etab</t>
  </si>
  <si>
    <t xml:space="preserve">Lambda</t>
  </si>
  <si>
    <t xml:space="preserve">λ×Sj</t>
  </si>
  <si>
    <t xml:space="preserve">DAR ESSALAM - Fkih Ben Saleh</t>
  </si>
  <si>
    <t xml:space="preserve">clinique privée</t>
  </si>
  <si>
    <t xml:space="preserve">NOUR - Beni Mellal</t>
  </si>
  <si>
    <t xml:space="preserve">HÃ´pital PrivÃ© Al-Farabi - Beni Mellal</t>
  </si>
  <si>
    <t xml:space="preserve">BEN ASSOU - Beni Mellal</t>
  </si>
  <si>
    <t xml:space="preserve">JABRANE - Beni Mellal</t>
  </si>
  <si>
    <t xml:space="preserve">BOUHOU - Beni Mellal</t>
  </si>
  <si>
    <t xml:space="preserve">BENI MELLAL - Beni Mellal</t>
  </si>
  <si>
    <t xml:space="preserve">MALAK - Beni Mellal</t>
  </si>
  <si>
    <t xml:space="preserve">ERRAZI - Beni Mellal</t>
  </si>
  <si>
    <t xml:space="preserve">AL CHIFA - Beni Mellal</t>
  </si>
  <si>
    <t xml:space="preserve">Clinique International Beni Mellal - Beni Mellal</t>
  </si>
  <si>
    <t xml:space="preserve">AL ADDARISSA - Beni Mellal</t>
  </si>
  <si>
    <t xml:space="preserve">ATLAS - Beni Mellal</t>
  </si>
  <si>
    <t xml:space="preserve">ASSALAM - Beni Mellal</t>
  </si>
  <si>
    <t xml:space="preserve">HÃ´pital PrivÃ© de Beni Mellal (Akdital) - Beni Mellal</t>
  </si>
  <si>
    <t xml:space="preserve">AMAL - Beni Mellal</t>
  </si>
  <si>
    <t xml:space="preserve">IBN SINA - Beni Mellal</t>
  </si>
  <si>
    <t xml:space="preserve">LES OLIVIERS YASMINE - Fkih Ben Saleh</t>
  </si>
  <si>
    <t xml:space="preserve">Le Lac - Khouribga</t>
  </si>
  <si>
    <t xml:space="preserve">Clinique multidisciplinaire-OCP - Khouribga</t>
  </si>
  <si>
    <t xml:space="preserve">MARJANE - Khouribga</t>
  </si>
  <si>
    <t xml:space="preserve">CHIFA - Khouribga</t>
  </si>
  <si>
    <t xml:space="preserve">DAKHLA - Khouribga</t>
  </si>
  <si>
    <t xml:space="preserve">MOULAY YOUSSEF - Khouribga</t>
  </si>
  <si>
    <t xml:space="preserve">Akdital - Khouribga</t>
  </si>
  <si>
    <t xml:space="preserve">Al Ikhwa - Khouribga</t>
  </si>
  <si>
    <t xml:space="preserve">M. D'ACCOUCHEMENT - Khenifra</t>
  </si>
  <si>
    <t xml:space="preserve">EL AMAL - Khenifra</t>
  </si>
  <si>
    <t xml:space="preserve">ACHIFFA (KARRAOUA) - Khenifra</t>
  </si>
  <si>
    <t xml:space="preserve">LE CEDRE - Khenifra</t>
  </si>
  <si>
    <t xml:space="preserve">Hôpital Provincial d'Azilal</t>
  </si>
  <si>
    <t xml:space="preserve">hopital public</t>
  </si>
  <si>
    <t xml:space="preserve">Hôpital Régional de Béni Mellal</t>
  </si>
  <si>
    <t xml:space="preserve">Hôpital Provincial de Fkih Ben Saleh</t>
  </si>
  <si>
    <t xml:space="preserve">Hôpital Hassan II (CHP)</t>
  </si>
  <si>
    <t xml:space="preserve">Hôpital Provincial de Khénifra</t>
  </si>
  <si>
    <t xml:space="preserve">CLINIQUE PRIVÉE - Khénifra (Simulation)</t>
  </si>
  <si>
    <t xml:space="preserve">CLINIQUE PRIVÉE - Souk Sebt (Simulation)</t>
  </si>
  <si>
    <t xml:space="preserve">CLINIQUE PRIVÉE - Demnate (Simulation)</t>
  </si>
  <si>
    <t xml:space="preserve">• Col C (Sj — BLEU) : nombre de lits agréés. MODIFIABLE → toutes les feuilles suivantes se recalculent.</t>
  </si>
  <si>
    <t xml:space="preserve">FEUILLE OFFRE — Données de l'offre de soins (35 établissements)</t>
  </si>
  <si>
    <t xml:space="preserve">Colonne F : λj × Sj  →  formule : =E{j}*C{j}    (capacité effective perçue)</t>
  </si>
  <si>
    <t xml:space="preserve">• Col E (λj — BLEU) : coefficient de préférence sectorielle. λ=0,9 pour cliniques privées ; λ=0,1 pour hôpitaux publics.</t>
  </si>
  <si>
    <t xml:space="preserve">• Col F = λj × Sj : capacité effective utilisée au NUMÉRATEUR de Rj (étape 2). C'est la CORRECTION de l'erreur initiale.</t>
  </si>
  <si>
    <t xml:space="preserve">  Justification : Rj = (λj×Sj) / Σ(Huffij×Pi) assure la cohérence — l'offre et la demande sont toutes deux pondérées par λ.</t>
  </si>
  <si>
    <t xml:space="preserve">  Référence : Extension MH3SFCA-λ développée dans ce PFE ; cf. Chapitre 3, section 3.x.</t>
  </si>
  <si>
    <t xml:space="preserve">• ⚠  L'ordre des lignes ici correspond EXACTEMENT à l'ordre des colonnes de la Matrice_OD.</t>
  </si>
  <si>
    <t xml:space="preserve">   Ne pas réordonner les lignes de cette feuille sans reporter le même changement dans Matrice_OD.</t>
  </si>
  <si>
    <t xml:space="preserve">FEUILLE MATRICE_OD — Temps de trajet dij (minutes) entre 135 communes et 35 établissements</t>
  </si>
  <si>
    <t xml:space="preserve">Source : Matrice Origine-Destination calculée sous QGIS via l'algorithme OD Matrix (réseau routier réel)</t>
  </si>
  <si>
    <t xml:space="preserve">• dij = temps de trajet (minutes) entre la commune i et l'établissement j. Valeurs issues de QGIS.</t>
  </si>
  <si>
    <t xml:space="preserve">• Ces données sont des INPUTS bruts — aucune formule, seulement des valeurs mesurées.</t>
  </si>
  <si>
    <t xml:space="preserve">• Elles sont référencées dans 1_Friction par : Matrice_OD!{col}{ligne} ≤ Param!$B$2 (test dmax).</t>
  </si>
  <si>
    <t xml:space="preserve">• Si vous mettez à jour les temps de trajet (nouveau réseau, nouvelle clinique), copiez ici → tout se recalcule.</t>
  </si>
  <si>
    <t xml:space="preserve">• Colonnes : 35 établissements dans le MÊME ordre que la feuille Offre. Lignes : 135 communes.</t>
  </si>
  <si>
    <t xml:space="preserve">FEUILLE 1_FRICTION — Étape préliminaire : Fonction de décroissance gaussienne  f(dij ; β)</t>
  </si>
  <si>
    <t xml:space="preserve">f(dij ; β) = exp(−dij² / β)   si dij ≤ dmax ,   sinon  f = 0</t>
  </si>
  <si>
    <t xml:space="preserve">• Référence : Subal et al. (2021, p. 6) ; Jörg et al. (2019, p. 29). Fonction gaussienne continue.</t>
  </si>
  <si>
    <t xml:space="preserve">• Propriétés clés : f(0) = 1 (accessibilité maximale) ; f(dmax) ≈ 0,01 (quasi-nul au seuil).</t>
  </si>
  <si>
    <t xml:space="preserve">• β est calculé automatiquement dans Param!B5 via β = −dmax²/ln(seuil) pour garantir f(dmax)=seuil.</t>
  </si>
  <si>
    <t xml:space="preserve">• Interprétation : f(dij) mesure la pénalisation de la distance réelle — plus dij est grand, plus le poids est faible.</t>
  </si>
  <si>
    <t xml:space="preserve">• Formule Excel en C2 : =IF(Matrice_OD!C2&lt;=Param!$B$2, EXP(-(Matrice_OD!C2^2)/Param!$B$5), 0)</t>
  </si>
  <si>
    <t xml:space="preserve">• ⚠  Contrairement à la 2SFCA binaire, f(d) est CONTINUE : pas de discontinuité à la frontière dmax.</t>
  </si>
  <si>
    <t xml:space="preserve">• Cette feuille est référencée par 2_Utilité et 4_SPAI. Ne pas la modifier manuellement.</t>
  </si>
  <si>
    <t xml:space="preserve">Somme</t>
  </si>
  <si>
    <t xml:space="preserve">FEUILLE 2_UTILITÉ — Étape 1a : Utilité brute  Uij = λj × Sj^α × f(dij ; β)</t>
  </si>
  <si>
    <t xml:space="preserve">Uij = λj × Sj^α × f(dij ; β)     →     formule Excel en C2 : =Offre!$E$2*(Offre!$C$2^Param!$B$3)*'1_Friction'!C2</t>
  </si>
  <si>
    <t xml:space="preserve">• Uij : attractivité pondérée de l'établissement j perçue depuis la commune i.</t>
  </si>
  <si>
    <t xml:space="preserve">• λj (Offre col E) : coefficient de préférence sectorielle. Intégré ici pour moduler l'attractivité selon le secteur.</t>
  </si>
  <si>
    <t xml:space="preserve">• Sj^α (Offre col C ^ Param B3) : effet capacité — plus l'établissement est grand, plus il est attractif.</t>
  </si>
  <si>
    <t xml:space="preserve">• f(dij;β) (feuille 1_Friction) : pénalisation de la distance — plus i est loin de j, plus Uij est faible.</t>
  </si>
  <si>
    <t xml:space="preserve">• Colonne SOMME (dernière col) : Σk Uik = somme de toutes les utilités accessibles depuis i.</t>
  </si>
  <si>
    <t xml:space="preserve">  → Si Somme = 0 : commune isolée (aucun établissement dans dmax) → SPAI = 0 par convention.</t>
  </si>
  <si>
    <t xml:space="preserve">  → Si Somme &gt; 0 : Huff_ij = Uij / Somme (voir feuille suivante).</t>
  </si>
  <si>
    <t xml:space="preserve">• Cette étape N'EXISTE PAS dans la formulation standard de Huff. Elle est introduite ici</t>
  </si>
  <si>
    <t xml:space="preserve">  pour préparer la normalisation de l'étape suivante de manière transparente.</t>
  </si>
  <si>
    <t xml:space="preserve">Σ Huff</t>
  </si>
  <si>
    <t xml:space="preserve">N étab.
accessibles</t>
  </si>
  <si>
    <t xml:space="preserve">Demande Effective</t>
  </si>
  <si>
    <t xml:space="preserve">Rj = (λ×Sj) / Dem.Eff.</t>
  </si>
  <si>
    <t xml:space="preserve">FEUILLE 3_HUFF — Étapes 1b &amp; 2 : Probabilité de Huff + Ratio offre/demande Rj</t>
  </si>
  <si>
    <t xml:space="preserve">Étape 1b : Huffij = Uij / Σk Uik    |    Étape 2 : Rj = (λj×Sj) / Σi(Huffij × Pi)  [pour dij ≤ dmax]</t>
  </si>
  <si>
    <t xml:space="preserve">═══ ÉTAPE 1b — Probabilité de Huff (lignes 2 à 136) ═══</t>
  </si>
  <si>
    <t xml:space="preserve">• Huffij = Uij / Somme_ligne_i  →  formule : =IF('2_Utilité'!{scol}{r}&gt;0, '2_Utilité'!{c}{r}/'2_Utilité'!{scol}{r}, 0)</t>
  </si>
  <si>
    <t xml:space="preserve">• Propriété fondamentale : Σj Huffij = 1 pour toute commune i ayant ≥1 établissement accessible.</t>
  </si>
  <si>
    <t xml:space="preserve">  Vérification dans la colonne 'Σ Huff' (dernière) : toutes les valeurs doivent être 1 ou 0.</t>
  </si>
  <si>
    <t xml:space="preserve">• Interprétation : Huffij est la FRACTION de la demande de i qui se dirige vers j.</t>
  </si>
  <si>
    <t xml:space="preserve">  Ex : Huff=0,30 signifie que 30% des patients de i sont orientés vers j compte tenu des alternatives.</t>
  </si>
  <si>
    <t xml:space="preserve">  Référence : Jörg et al. (2019, p. 32) ; Huff (1964, p. 35).</t>
  </si>
  <si>
    <t xml:space="preserve">═══ DEMANDE EFFECTIVE (ligne 138) ═══</t>
  </si>
  <si>
    <t xml:space="preserve">• Dem.Eff_j = Σi (Huffij × Pi)  pour dij ≤ dmax  →  formule SUMPRODUCT avec test dij ≤ dmax.</t>
  </si>
  <si>
    <t xml:space="preserve">  C'est la 'demande réelle ajustée' qui pèse sur l'établissement j, en tenant compte de la concurrence.</t>
  </si>
  <si>
    <t xml:space="preserve">═══ ÉTAPE 2 — Ratio Rj (ligne 139) ═══</t>
  </si>
  <si>
    <t xml:space="preserve">• Rj = (λj × Sj) / Dem.Eff_j  →  formule : =IF({c}{de_row}&gt;0, Offre!$F${j+2}/{c}{de_row}, 0)</t>
  </si>
  <si>
    <t xml:space="preserve">• CORRECTION λ au numérateur : seule la capacité effective (λ×Sj) entre en jeu, pas la capacité brute.</t>
  </si>
  <si>
    <t xml:space="preserve">• Interprétation : Rj est le nombre de 'lits effectifs par patient'. Rj élevé = établissement sous-utilisé.</t>
  </si>
  <si>
    <t xml:space="preserve">  Référence : Subal et al. (2021, p. 7) — formule corrigée pour cohérence avec λ (PFE, Chapitre 3).</t>
  </si>
  <si>
    <t xml:space="preserve">SPAI</t>
  </si>
  <si>
    <t xml:space="preserve">SPAI×1000</t>
  </si>
  <si>
    <t xml:space="preserve">Rang</t>
  </si>
  <si>
    <t xml:space="preserve">FEUILLE 4_SPAI — Étape 3 : Indice d'accessibilité spatiale  SPAIi = Σj [ Huffij × Rj × f(dij;β) ]</t>
  </si>
  <si>
    <t xml:space="preserve">SPAIi = Σj Huffij · Rj · f(dij;β)   pour dij ≤ dmax   →   formule : =IF(Matrice_OD!{c}{r}&lt;=Param!$B$2, '3_Huff'!{c}{r}*'3_Huff'!{c}${rj_r}*'1_Friction'!{c}{r}, 0)</t>
  </si>
  <si>
    <t xml:space="preserve">• SPAIi = Indice d'Accessibilité Spatiale de la commune i. Valeur sans unité : plus elle est haute, meilleur est l'accès.</t>
  </si>
  <si>
    <t xml:space="preserve">• Chaque cellule (i,j) = contribution de l'établissement j à l'accessibilité de i :</t>
  </si>
  <si>
    <t xml:space="preserve">   → Huffij : fraction de demande orientée vers j (étape 1)</t>
  </si>
  <si>
    <t xml:space="preserve">   → Rj : capacité effective disponible par unité de demande (étape 2)</t>
  </si>
  <si>
    <t xml:space="preserve">   → f(dij;β) : pondération absolue de la distance réelle (innovation MH3SFCA vs méthodes antérieures)</t>
  </si>
  <si>
    <t xml:space="preserve">• La somme sur tous les j donne le SPAI total de la commune i (col AM).</t>
  </si>
  <si>
    <t xml:space="preserve">• Colonne AN = SPAI × 1000 : valeur multipliée pour faciliter la lecture cartographique.</t>
  </si>
  <si>
    <t xml:space="preserve">• Colonne AO = RANG : rang de la commune dans la région (1 = meilleure accessibilité).</t>
  </si>
  <si>
    <t xml:space="preserve">  Formule RANK : =RANK(SPAI_i, SPAI_range, 0) — classement décroissant.</t>
  </si>
  <si>
    <t xml:space="preserve">RÉFÉRENCE : Subal et al. (2021, p. 7) ; Jörg et al. (2019, pp. 31-32).</t>
  </si>
  <si>
    <t xml:space="preserve">INTERPRÉTATION : Une commune isolée (Σj f(dij;β)=0) obtient SPAI=0 → désert médical absolu.</t>
  </si>
  <si>
    <t xml:space="preserve">⚠  Pour publier : toujours reporter SPAI×1000 sur les cartes choroplèthes (valeurs plus lisibles).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</si>
</sst>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1"/>
      <charset val="1"/>
    </font>
    <font>
      <i val="true"/>
      <sz val="11"/>
      <color rgb="FFFFFFFF"/>
      <name val="Cambria"/>
      <family val="1"/>
      <charset val="1"/>
    </font>
    <font>
      <b val="true"/>
      <sz val="12"/>
      <color rgb="FFFFFFFF"/>
      <name val="Cambria"/>
      <family val="1"/>
      <charset val="1"/>
    </font>
    <font>
      <b val="true"/>
      <sz val="10"/>
      <color rgb="FFFFFFFF"/>
      <name val="Cambria"/>
      <family val="1"/>
      <charset val="1"/>
    </font>
    <font>
      <b val="true"/>
      <sz val="11"/>
      <color rgb="FF000000"/>
      <name val="Cambria"/>
      <family val="1"/>
      <charset val="1"/>
    </font>
    <font>
      <sz val="10"/>
      <color rgb="FF000000"/>
      <name val="Cambria"/>
      <family val="1"/>
      <charset val="1"/>
    </font>
    <font>
      <sz val="9"/>
      <color rgb="FF000000"/>
      <name val="Cambria"/>
      <family val="1"/>
      <charset val="1"/>
    </font>
    <font>
      <b val="true"/>
      <sz val="10"/>
      <color rgb="FF000000"/>
      <name val="Cambria"/>
      <family val="1"/>
      <charset val="1"/>
    </font>
    <font>
      <sz val="11"/>
      <color rgb="FF000000"/>
      <name val="Cambria"/>
      <family val="1"/>
      <charset val="1"/>
    </font>
    <font>
      <b val="true"/>
      <sz val="10"/>
      <color rgb="FFFFFFFF"/>
      <name val="Arial"/>
      <family val="2"/>
      <charset val="1"/>
    </font>
    <font>
      <b val="true"/>
      <sz val="11"/>
      <color rgb="FF0000FF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FFFFFF"/>
      <name val="Cambria"/>
      <family val="1"/>
      <charset val="1"/>
    </font>
    <font>
      <b val="true"/>
      <sz val="11"/>
      <color rgb="FF375623"/>
      <name val="Cambria"/>
      <family val="1"/>
      <charset val="1"/>
    </font>
    <font>
      <sz val="10"/>
      <color rgb="FF333333"/>
      <name val="Cambria"/>
      <family val="1"/>
      <charset val="1"/>
    </font>
    <font>
      <sz val="11"/>
      <color rgb="FF0000FF"/>
      <name val="Cambria"/>
      <family val="0"/>
      <charset val="1"/>
    </font>
    <font>
      <b val="true"/>
      <sz val="10"/>
      <color rgb="FF3F3F3F"/>
      <name val="Cambria"/>
      <family val="1"/>
      <charset val="1"/>
    </font>
    <font>
      <sz val="10"/>
      <name val="Cambria"/>
      <family val="1"/>
      <charset val="1"/>
    </font>
    <font>
      <b val="true"/>
      <sz val="10"/>
      <color rgb="FF2F5496"/>
      <name val="Arial"/>
      <family val="2"/>
      <charset val="1"/>
    </font>
    <font>
      <b val="true"/>
      <sz val="10"/>
      <color rgb="FF008000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E2EFDA"/>
        <bgColor rgb="FFF2F2F2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833C00"/>
        <bgColor rgb="FF993366"/>
      </patternFill>
    </fill>
    <fill>
      <patternFill patternType="solid">
        <fgColor rgb="FF375623"/>
        <bgColor rgb="FF3F3F3F"/>
      </patternFill>
    </fill>
    <fill>
      <patternFill patternType="solid">
        <fgColor rgb="FFFFFFFF"/>
        <bgColor rgb="FFF2F2F2"/>
      </patternFill>
    </fill>
    <fill>
      <patternFill patternType="solid">
        <fgColor rgb="FFFFC000"/>
        <bgColor rgb="FFFF99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2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F3864"/>
      <rgbColor rgb="FF339966"/>
      <rgbColor rgb="FF375623"/>
      <rgbColor rgb="FF3F3F3F"/>
      <rgbColor rgb="FF833C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7"/>
  <sheetViews>
    <sheetView showFormulas="false" showGridLines="false" showRowColHeaders="true" showZeros="true" rightToLeft="false" tabSelected="false" showOutlineSymbols="true" defaultGridColor="true" view="normal" topLeftCell="A16" colorId="64" zoomScale="90" zoomScaleNormal="9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52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2"/>
  </cols>
  <sheetData>
    <row r="2" customFormat="false" ht="36" hidden="false" customHeight="true" outlineLevel="0" collapsed="false">
      <c r="B2" s="1" t="s">
        <v>0</v>
      </c>
      <c r="C2" s="1"/>
      <c r="D2" s="1"/>
      <c r="E2" s="1"/>
    </row>
    <row r="3" customFormat="false" ht="21.75" hidden="false" customHeight="true" outlineLevel="0" collapsed="false">
      <c r="B3" s="2" t="s">
        <v>1</v>
      </c>
      <c r="C3" s="2"/>
      <c r="D3" s="2"/>
      <c r="E3" s="2"/>
    </row>
    <row r="5" customFormat="false" ht="21.75" hidden="false" customHeight="true" outlineLevel="0" collapsed="false">
      <c r="B5" s="3" t="s">
        <v>2</v>
      </c>
      <c r="C5" s="3"/>
      <c r="D5" s="3"/>
      <c r="E5" s="3"/>
    </row>
    <row r="6" customFormat="false" ht="19.5" hidden="false" customHeight="true" outlineLevel="0" collapsed="false">
      <c r="B6" s="4" t="s">
        <v>3</v>
      </c>
      <c r="C6" s="4" t="s">
        <v>4</v>
      </c>
      <c r="D6" s="4" t="s">
        <v>5</v>
      </c>
      <c r="E6" s="4" t="s">
        <v>6</v>
      </c>
    </row>
    <row r="7" customFormat="false" ht="39.75" hidden="false" customHeight="true" outlineLevel="0" collapsed="false">
      <c r="B7" s="5" t="s">
        <v>7</v>
      </c>
      <c r="C7" s="6" t="s">
        <v>8</v>
      </c>
      <c r="D7" s="7" t="s">
        <v>9</v>
      </c>
      <c r="E7" s="6" t="s">
        <v>10</v>
      </c>
    </row>
    <row r="8" customFormat="false" ht="39.75" hidden="false" customHeight="true" outlineLevel="0" collapsed="false">
      <c r="B8" s="8" t="s">
        <v>11</v>
      </c>
      <c r="C8" s="9" t="s">
        <v>12</v>
      </c>
      <c r="D8" s="10" t="s">
        <v>13</v>
      </c>
      <c r="E8" s="9" t="s">
        <v>14</v>
      </c>
    </row>
    <row r="9" customFormat="false" ht="39.75" hidden="false" customHeight="true" outlineLevel="0" collapsed="false">
      <c r="B9" s="11" t="s">
        <v>15</v>
      </c>
      <c r="C9" s="12" t="s">
        <v>16</v>
      </c>
      <c r="D9" s="13" t="s">
        <v>17</v>
      </c>
      <c r="E9" s="12" t="s">
        <v>18</v>
      </c>
    </row>
    <row r="10" customFormat="false" ht="39.75" hidden="false" customHeight="true" outlineLevel="0" collapsed="false">
      <c r="B10" s="14" t="s">
        <v>19</v>
      </c>
      <c r="C10" s="15" t="s">
        <v>20</v>
      </c>
      <c r="D10" s="16" t="s">
        <v>21</v>
      </c>
      <c r="E10" s="15" t="s">
        <v>22</v>
      </c>
    </row>
    <row r="11" customFormat="false" ht="39.75" hidden="false" customHeight="true" outlineLevel="0" collapsed="false">
      <c r="B11" s="5" t="s">
        <v>23</v>
      </c>
      <c r="C11" s="6" t="s">
        <v>24</v>
      </c>
      <c r="D11" s="7" t="s">
        <v>25</v>
      </c>
      <c r="E11" s="6" t="s">
        <v>26</v>
      </c>
    </row>
    <row r="12" customFormat="false" ht="39.75" hidden="false" customHeight="true" outlineLevel="0" collapsed="false">
      <c r="B12" s="8" t="s">
        <v>27</v>
      </c>
      <c r="C12" s="9" t="s">
        <v>28</v>
      </c>
      <c r="D12" s="10" t="s">
        <v>29</v>
      </c>
      <c r="E12" s="9" t="s">
        <v>30</v>
      </c>
    </row>
    <row r="13" customFormat="false" ht="39.75" hidden="false" customHeight="true" outlineLevel="0" collapsed="false">
      <c r="B13" s="11" t="s">
        <v>31</v>
      </c>
      <c r="C13" s="12" t="s">
        <v>32</v>
      </c>
      <c r="D13" s="13" t="s">
        <v>33</v>
      </c>
      <c r="E13" s="12" t="s">
        <v>34</v>
      </c>
    </row>
    <row r="14" customFormat="false" ht="39.75" hidden="false" customHeight="true" outlineLevel="0" collapsed="false">
      <c r="B14" s="17" t="s">
        <v>35</v>
      </c>
      <c r="C14" s="18" t="s">
        <v>36</v>
      </c>
      <c r="D14" s="19" t="s">
        <v>37</v>
      </c>
      <c r="E14" s="18" t="s">
        <v>38</v>
      </c>
    </row>
    <row r="17" customFormat="false" ht="21.75" hidden="false" customHeight="true" outlineLevel="0" collapsed="false">
      <c r="B17" s="20" t="s">
        <v>39</v>
      </c>
      <c r="C17" s="20"/>
      <c r="D17" s="20"/>
      <c r="E17" s="20"/>
    </row>
    <row r="18" customFormat="false" ht="48" hidden="false" customHeight="true" outlineLevel="0" collapsed="false">
      <c r="B18" s="21" t="s">
        <v>40</v>
      </c>
      <c r="C18" s="22" t="s">
        <v>41</v>
      </c>
      <c r="D18" s="22"/>
      <c r="E18" s="22"/>
    </row>
    <row r="19" customFormat="false" ht="48" hidden="false" customHeight="true" outlineLevel="0" collapsed="false">
      <c r="B19" s="23" t="s">
        <v>42</v>
      </c>
      <c r="C19" s="24" t="s">
        <v>43</v>
      </c>
      <c r="D19" s="24"/>
      <c r="E19" s="24"/>
    </row>
    <row r="20" customFormat="false" ht="48" hidden="false" customHeight="true" outlineLevel="0" collapsed="false">
      <c r="B20" s="21" t="s">
        <v>44</v>
      </c>
      <c r="C20" s="22" t="s">
        <v>45</v>
      </c>
      <c r="D20" s="22"/>
      <c r="E20" s="22"/>
    </row>
    <row r="21" customFormat="false" ht="48" hidden="false" customHeight="true" outlineLevel="0" collapsed="false">
      <c r="B21" s="23" t="s">
        <v>46</v>
      </c>
      <c r="C21" s="24" t="s">
        <v>47</v>
      </c>
      <c r="D21" s="24"/>
      <c r="E21" s="24"/>
    </row>
    <row r="22" customFormat="false" ht="48" hidden="false" customHeight="true" outlineLevel="0" collapsed="false">
      <c r="B22" s="21" t="s">
        <v>48</v>
      </c>
      <c r="C22" s="22" t="s">
        <v>49</v>
      </c>
      <c r="D22" s="22"/>
      <c r="E22" s="22"/>
    </row>
    <row r="24" customFormat="false" ht="21.75" hidden="false" customHeight="true" outlineLevel="0" collapsed="false">
      <c r="B24" s="25" t="s">
        <v>50</v>
      </c>
      <c r="C24" s="25"/>
      <c r="D24" s="25"/>
      <c r="E24" s="25"/>
    </row>
    <row r="25" customFormat="false" ht="21.75" hidden="false" customHeight="true" outlineLevel="0" collapsed="false">
      <c r="B25" s="26" t="s">
        <v>51</v>
      </c>
      <c r="C25" s="26"/>
      <c r="D25" s="26"/>
      <c r="E25" s="26"/>
    </row>
    <row r="26" customFormat="false" ht="21.75" hidden="false" customHeight="true" outlineLevel="0" collapsed="false">
      <c r="B26" s="27" t="s">
        <v>52</v>
      </c>
      <c r="C26" s="27"/>
      <c r="D26" s="27"/>
      <c r="E26" s="27"/>
    </row>
    <row r="27" customFormat="false" ht="21.75" hidden="false" customHeight="true" outlineLevel="0" collapsed="false">
      <c r="B27" s="26" t="s">
        <v>53</v>
      </c>
      <c r="C27" s="26"/>
      <c r="D27" s="26"/>
      <c r="E27" s="26"/>
    </row>
    <row r="28" customFormat="false" ht="21.75" hidden="false" customHeight="true" outlineLevel="0" collapsed="false">
      <c r="B28" s="27" t="s">
        <v>54</v>
      </c>
      <c r="C28" s="27"/>
      <c r="D28" s="27"/>
      <c r="E28" s="27"/>
    </row>
    <row r="29" customFormat="false" ht="21.75" hidden="false" customHeight="true" outlineLevel="0" collapsed="false">
      <c r="B29" s="26" t="s">
        <v>55</v>
      </c>
      <c r="C29" s="26"/>
      <c r="D29" s="26"/>
      <c r="E29" s="26"/>
    </row>
    <row r="30" customFormat="false" ht="21.75" hidden="false" customHeight="true" outlineLevel="0" collapsed="false">
      <c r="B30" s="27" t="s">
        <v>56</v>
      </c>
      <c r="C30" s="27"/>
      <c r="D30" s="27"/>
      <c r="E30" s="27"/>
    </row>
    <row r="32" customFormat="false" ht="18" hidden="false" customHeight="true" outlineLevel="0" collapsed="false">
      <c r="B32" s="28" t="s">
        <v>57</v>
      </c>
      <c r="C32" s="28"/>
      <c r="D32" s="28"/>
      <c r="E32" s="28"/>
    </row>
    <row r="33" customFormat="false" ht="18" hidden="false" customHeight="true" outlineLevel="0" collapsed="false">
      <c r="B33" s="29" t="s">
        <v>58</v>
      </c>
      <c r="C33" s="29"/>
      <c r="D33" s="29"/>
      <c r="E33" s="29"/>
    </row>
    <row r="34" customFormat="false" ht="18" hidden="false" customHeight="true" outlineLevel="0" collapsed="false">
      <c r="B34" s="30" t="s">
        <v>59</v>
      </c>
      <c r="C34" s="30"/>
      <c r="D34" s="30"/>
      <c r="E34" s="30"/>
    </row>
    <row r="35" customFormat="false" ht="18" hidden="false" customHeight="true" outlineLevel="0" collapsed="false">
      <c r="B35" s="29" t="s">
        <v>60</v>
      </c>
      <c r="C35" s="29"/>
      <c r="D35" s="29"/>
      <c r="E35" s="29"/>
    </row>
    <row r="36" customFormat="false" ht="18" hidden="false" customHeight="true" outlineLevel="0" collapsed="false">
      <c r="B36" s="30" t="s">
        <v>61</v>
      </c>
      <c r="C36" s="30"/>
      <c r="D36" s="30"/>
      <c r="E36" s="30"/>
    </row>
    <row r="37" customFormat="false" ht="18" hidden="false" customHeight="true" outlineLevel="0" collapsed="false">
      <c r="B37" s="29" t="s">
        <v>62</v>
      </c>
      <c r="C37" s="29"/>
      <c r="D37" s="29"/>
      <c r="E37" s="29"/>
    </row>
  </sheetData>
  <mergeCells count="22">
    <mergeCell ref="B2:E2"/>
    <mergeCell ref="B3:E3"/>
    <mergeCell ref="B5:E5"/>
    <mergeCell ref="B17:E17"/>
    <mergeCell ref="C18:E18"/>
    <mergeCell ref="C19:E19"/>
    <mergeCell ref="C20:E20"/>
    <mergeCell ref="C21:E21"/>
    <mergeCell ref="C22:E22"/>
    <mergeCell ref="B24:E24"/>
    <mergeCell ref="B25:E25"/>
    <mergeCell ref="B26:E26"/>
    <mergeCell ref="B27:E27"/>
    <mergeCell ref="B28:E28"/>
    <mergeCell ref="B29:E29"/>
    <mergeCell ref="B30:E30"/>
    <mergeCell ref="B32:E32"/>
    <mergeCell ref="B33:E33"/>
    <mergeCell ref="B34:E34"/>
    <mergeCell ref="B35:E35"/>
    <mergeCell ref="B36:E36"/>
    <mergeCell ref="B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55"/>
  </cols>
  <sheetData>
    <row r="1" customFormat="false" ht="15" hidden="false" customHeight="true" outlineLevel="0" collapsed="false">
      <c r="A1" s="31" t="s">
        <v>63</v>
      </c>
      <c r="B1" s="31" t="s">
        <v>64</v>
      </c>
      <c r="C1" s="31" t="s">
        <v>65</v>
      </c>
    </row>
    <row r="2" customFormat="false" ht="15" hidden="false" customHeight="true" outlineLevel="0" collapsed="false">
      <c r="A2" s="0" t="s">
        <v>66</v>
      </c>
      <c r="B2" s="32" t="n">
        <v>90</v>
      </c>
      <c r="C2" s="0" t="s">
        <v>67</v>
      </c>
    </row>
    <row r="3" customFormat="false" ht="15" hidden="false" customHeight="true" outlineLevel="0" collapsed="false">
      <c r="A3" s="0" t="s">
        <v>68</v>
      </c>
      <c r="B3" s="32" t="n">
        <v>1</v>
      </c>
      <c r="C3" s="0" t="s">
        <v>69</v>
      </c>
    </row>
    <row r="4" customFormat="false" ht="15" hidden="false" customHeight="true" outlineLevel="0" collapsed="false">
      <c r="A4" s="0" t="s">
        <v>70</v>
      </c>
      <c r="B4" s="32" t="n">
        <v>0.01</v>
      </c>
      <c r="C4" s="0" t="s">
        <v>71</v>
      </c>
    </row>
    <row r="5" customFormat="false" ht="15" hidden="false" customHeight="true" outlineLevel="0" collapsed="false">
      <c r="A5" s="0" t="s">
        <v>72</v>
      </c>
      <c r="B5" s="33" t="n">
        <f aca="false">-(B2^2)/LN(B4)</f>
        <v>1758.89265170817</v>
      </c>
      <c r="C5" s="0" t="s">
        <v>73</v>
      </c>
    </row>
    <row r="8" customFormat="false" ht="19.5" hidden="false" customHeight="true" outlineLevel="0" collapsed="false">
      <c r="A8" s="34" t="s">
        <v>74</v>
      </c>
      <c r="B8" s="34"/>
      <c r="C8" s="34"/>
    </row>
    <row r="9" customFormat="false" ht="30" hidden="false" customHeight="true" outlineLevel="0" collapsed="false">
      <c r="A9" s="35" t="s">
        <v>75</v>
      </c>
      <c r="B9" s="35"/>
      <c r="C9" s="35"/>
    </row>
    <row r="10" customFormat="false" ht="18" hidden="false" customHeight="true" outlineLevel="0" collapsed="false">
      <c r="A10" s="36" t="s">
        <v>76</v>
      </c>
      <c r="B10" s="36"/>
      <c r="C10" s="36"/>
    </row>
    <row r="11" customFormat="false" ht="18" hidden="false" customHeight="true" outlineLevel="0" collapsed="false">
      <c r="A11" s="36" t="s">
        <v>77</v>
      </c>
      <c r="B11" s="36"/>
      <c r="C11" s="36"/>
    </row>
    <row r="12" customFormat="false" ht="18" hidden="false" customHeight="true" outlineLevel="0" collapsed="false">
      <c r="A12" s="36" t="s">
        <v>78</v>
      </c>
      <c r="B12" s="36"/>
      <c r="C12" s="36"/>
    </row>
    <row r="13" customFormat="false" ht="18" hidden="false" customHeight="true" outlineLevel="0" collapsed="false">
      <c r="A13" s="36" t="s">
        <v>79</v>
      </c>
      <c r="B13" s="36"/>
      <c r="C13" s="36"/>
    </row>
    <row r="14" customFormat="false" ht="18" hidden="false" customHeight="true" outlineLevel="0" collapsed="false">
      <c r="A14" s="36" t="s">
        <v>80</v>
      </c>
      <c r="B14" s="36"/>
      <c r="C14" s="36"/>
    </row>
    <row r="15" customFormat="false" ht="18" hidden="false" customHeight="true" outlineLevel="0" collapsed="false">
      <c r="A15" s="36" t="s">
        <v>81</v>
      </c>
      <c r="B15" s="36"/>
      <c r="C15" s="36"/>
    </row>
    <row r="16" customFormat="false" ht="18" hidden="false" customHeight="true" outlineLevel="0" collapsed="false">
      <c r="A16" s="36" t="s">
        <v>82</v>
      </c>
      <c r="B16" s="36"/>
      <c r="C16" s="36"/>
    </row>
    <row r="17" customFormat="false" ht="18" hidden="false" customHeight="true" outlineLevel="0" collapsed="false">
      <c r="A17" s="36" t="s">
        <v>83</v>
      </c>
      <c r="B17" s="36"/>
      <c r="C17" s="36"/>
    </row>
    <row r="18" customFormat="false" ht="15" hidden="false" customHeight="true" outlineLevel="0" collapsed="false">
      <c r="A18" s="37" t="s">
        <v>84</v>
      </c>
      <c r="B18" s="37" t="s">
        <v>85</v>
      </c>
      <c r="C18" s="37" t="s">
        <v>86</v>
      </c>
    </row>
    <row r="19" customFormat="false" ht="15" hidden="false" customHeight="true" outlineLevel="0" collapsed="false">
      <c r="A19" s="38" t="s">
        <v>87</v>
      </c>
      <c r="B19" s="38" t="s">
        <v>88</v>
      </c>
      <c r="C19" s="38" t="s">
        <v>89</v>
      </c>
    </row>
    <row r="20" customFormat="false" ht="15" hidden="false" customHeight="true" outlineLevel="0" collapsed="false">
      <c r="A20" s="39" t="s">
        <v>90</v>
      </c>
      <c r="B20" s="39" t="s">
        <v>91</v>
      </c>
      <c r="C20" s="39" t="s">
        <v>92</v>
      </c>
    </row>
    <row r="21" customFormat="false" ht="15" hidden="false" customHeight="true" outlineLevel="0" collapsed="false">
      <c r="A21" s="38" t="s">
        <v>93</v>
      </c>
      <c r="B21" s="38" t="s">
        <v>94</v>
      </c>
      <c r="C21" s="38" t="s">
        <v>95</v>
      </c>
    </row>
    <row r="22" customFormat="false" ht="21.75" hidden="false" customHeight="true" outlineLevel="0" collapsed="false">
      <c r="A22" s="39" t="s">
        <v>96</v>
      </c>
      <c r="B22" s="39" t="s">
        <v>97</v>
      </c>
      <c r="C22" s="39" t="s">
        <v>98</v>
      </c>
    </row>
  </sheetData>
  <mergeCells count="10"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6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2"/>
    <col collapsed="false" customWidth="true" hidden="false" outlineLevel="0" max="3" min="3" style="0" width="12"/>
  </cols>
  <sheetData>
    <row r="1" customFormat="false" ht="15" hidden="false" customHeight="true" outlineLevel="0" collapsed="false">
      <c r="A1" s="31" t="s">
        <v>99</v>
      </c>
      <c r="B1" s="31" t="s">
        <v>100</v>
      </c>
      <c r="C1" s="31" t="s">
        <v>101</v>
      </c>
    </row>
    <row r="2" customFormat="false" ht="15" hidden="false" customHeight="true" outlineLevel="0" collapsed="false">
      <c r="A2" s="0" t="s">
        <v>102</v>
      </c>
      <c r="B2" s="0" t="s">
        <v>103</v>
      </c>
      <c r="C2" s="0" t="n">
        <v>209594</v>
      </c>
    </row>
    <row r="3" customFormat="false" ht="15" hidden="false" customHeight="true" outlineLevel="0" collapsed="false">
      <c r="A3" s="0" t="s">
        <v>104</v>
      </c>
      <c r="B3" s="0" t="s">
        <v>105</v>
      </c>
      <c r="C3" s="0" t="n">
        <v>48172</v>
      </c>
    </row>
    <row r="4" customFormat="false" ht="15" hidden="false" customHeight="true" outlineLevel="0" collapsed="false">
      <c r="A4" s="0" t="s">
        <v>106</v>
      </c>
      <c r="B4" s="0" t="s">
        <v>107</v>
      </c>
      <c r="C4" s="0" t="n">
        <v>25088</v>
      </c>
    </row>
    <row r="5" customFormat="false" ht="15" hidden="false" customHeight="true" outlineLevel="0" collapsed="false">
      <c r="A5" s="0" t="s">
        <v>108</v>
      </c>
      <c r="B5" s="0" t="s">
        <v>109</v>
      </c>
      <c r="C5" s="0" t="n">
        <v>19964</v>
      </c>
    </row>
    <row r="6" customFormat="false" ht="15" hidden="false" customHeight="true" outlineLevel="0" collapsed="false">
      <c r="A6" s="0" t="s">
        <v>110</v>
      </c>
      <c r="B6" s="0" t="s">
        <v>111</v>
      </c>
      <c r="C6" s="0" t="n">
        <v>13366</v>
      </c>
    </row>
    <row r="7" customFormat="false" ht="15" hidden="false" customHeight="true" outlineLevel="0" collapsed="false">
      <c r="A7" s="0" t="s">
        <v>112</v>
      </c>
      <c r="B7" s="0" t="s">
        <v>113</v>
      </c>
      <c r="C7" s="0" t="n">
        <v>21636</v>
      </c>
    </row>
    <row r="8" customFormat="false" ht="15" hidden="false" customHeight="true" outlineLevel="0" collapsed="false">
      <c r="A8" s="0" t="s">
        <v>114</v>
      </c>
      <c r="B8" s="0" t="s">
        <v>115</v>
      </c>
      <c r="C8" s="0" t="n">
        <v>16256</v>
      </c>
    </row>
    <row r="9" customFormat="false" ht="15" hidden="false" customHeight="true" outlineLevel="0" collapsed="false">
      <c r="A9" s="0" t="s">
        <v>116</v>
      </c>
      <c r="B9" s="0" t="s">
        <v>117</v>
      </c>
      <c r="C9" s="0" t="n">
        <v>25785</v>
      </c>
    </row>
    <row r="10" customFormat="false" ht="15" hidden="false" customHeight="true" outlineLevel="0" collapsed="false">
      <c r="A10" s="0" t="s">
        <v>118</v>
      </c>
      <c r="B10" s="0" t="s">
        <v>119</v>
      </c>
      <c r="C10" s="0" t="n">
        <v>20455</v>
      </c>
    </row>
    <row r="11" customFormat="false" ht="15" hidden="false" customHeight="true" outlineLevel="0" collapsed="false">
      <c r="A11" s="0" t="s">
        <v>120</v>
      </c>
      <c r="B11" s="0" t="s">
        <v>121</v>
      </c>
      <c r="C11" s="0" t="n">
        <v>24232</v>
      </c>
    </row>
    <row r="12" customFormat="false" ht="15" hidden="false" customHeight="true" outlineLevel="0" collapsed="false">
      <c r="A12" s="0" t="s">
        <v>122</v>
      </c>
      <c r="B12" s="0" t="s">
        <v>123</v>
      </c>
      <c r="C12" s="0" t="n">
        <v>5389</v>
      </c>
    </row>
    <row r="13" customFormat="false" ht="15" hidden="false" customHeight="true" outlineLevel="0" collapsed="false">
      <c r="A13" s="0" t="s">
        <v>124</v>
      </c>
      <c r="B13" s="0" t="s">
        <v>125</v>
      </c>
      <c r="C13" s="0" t="n">
        <v>25851</v>
      </c>
    </row>
    <row r="14" customFormat="false" ht="15" hidden="false" customHeight="true" outlineLevel="0" collapsed="false">
      <c r="A14" s="0" t="s">
        <v>126</v>
      </c>
      <c r="B14" s="0" t="s">
        <v>127</v>
      </c>
      <c r="C14" s="0" t="n">
        <v>13773</v>
      </c>
    </row>
    <row r="15" customFormat="false" ht="15" hidden="false" customHeight="true" outlineLevel="0" collapsed="false">
      <c r="A15" s="0" t="s">
        <v>128</v>
      </c>
      <c r="B15" s="0" t="s">
        <v>129</v>
      </c>
      <c r="C15" s="0" t="n">
        <v>20023</v>
      </c>
    </row>
    <row r="16" customFormat="false" ht="15" hidden="false" customHeight="true" outlineLevel="0" collapsed="false">
      <c r="A16" s="0" t="s">
        <v>130</v>
      </c>
      <c r="B16" s="0" t="s">
        <v>131</v>
      </c>
      <c r="C16" s="0" t="n">
        <v>7863</v>
      </c>
    </row>
    <row r="17" customFormat="false" ht="15" hidden="false" customHeight="true" outlineLevel="0" collapsed="false">
      <c r="A17" s="0" t="s">
        <v>132</v>
      </c>
      <c r="B17" s="0" t="s">
        <v>133</v>
      </c>
      <c r="C17" s="0" t="n">
        <v>13373</v>
      </c>
    </row>
    <row r="18" customFormat="false" ht="15" hidden="false" customHeight="true" outlineLevel="0" collapsed="false">
      <c r="A18" s="0" t="s">
        <v>134</v>
      </c>
      <c r="B18" s="0" t="s">
        <v>135</v>
      </c>
      <c r="C18" s="0" t="n">
        <v>12547</v>
      </c>
    </row>
    <row r="19" customFormat="false" ht="15" hidden="false" customHeight="true" outlineLevel="0" collapsed="false">
      <c r="A19" s="0" t="s">
        <v>136</v>
      </c>
      <c r="B19" s="0" t="s">
        <v>137</v>
      </c>
      <c r="C19" s="0" t="n">
        <v>7952</v>
      </c>
    </row>
    <row r="20" customFormat="false" ht="15" hidden="false" customHeight="true" outlineLevel="0" collapsed="false">
      <c r="A20" s="0" t="s">
        <v>138</v>
      </c>
      <c r="B20" s="0" t="s">
        <v>139</v>
      </c>
      <c r="C20" s="0" t="n">
        <v>13153</v>
      </c>
    </row>
    <row r="21" customFormat="false" ht="15" hidden="false" customHeight="true" outlineLevel="0" collapsed="false">
      <c r="A21" s="0" t="s">
        <v>140</v>
      </c>
      <c r="B21" s="0" t="s">
        <v>141</v>
      </c>
      <c r="C21" s="0" t="n">
        <v>8167</v>
      </c>
    </row>
    <row r="22" customFormat="false" ht="15" hidden="false" customHeight="true" outlineLevel="0" collapsed="false">
      <c r="A22" s="0" t="s">
        <v>142</v>
      </c>
      <c r="B22" s="0" t="s">
        <v>143</v>
      </c>
      <c r="C22" s="0" t="n">
        <v>14247</v>
      </c>
    </row>
    <row r="23" customFormat="false" ht="15" hidden="false" customHeight="true" outlineLevel="0" collapsed="false">
      <c r="A23" s="0" t="s">
        <v>144</v>
      </c>
      <c r="B23" s="0" t="s">
        <v>145</v>
      </c>
      <c r="C23" s="0" t="n">
        <v>13441</v>
      </c>
    </row>
    <row r="24" customFormat="false" ht="15" hidden="false" customHeight="true" outlineLevel="0" collapsed="false">
      <c r="A24" s="0" t="s">
        <v>146</v>
      </c>
      <c r="B24" s="0" t="s">
        <v>147</v>
      </c>
      <c r="C24" s="0" t="n">
        <v>48138</v>
      </c>
    </row>
    <row r="25" customFormat="false" ht="15" hidden="false" customHeight="true" outlineLevel="0" collapsed="false">
      <c r="A25" s="0" t="s">
        <v>148</v>
      </c>
      <c r="B25" s="0" t="s">
        <v>149</v>
      </c>
      <c r="C25" s="0" t="n">
        <v>33635</v>
      </c>
    </row>
    <row r="26" customFormat="false" ht="15" hidden="false" customHeight="true" outlineLevel="0" collapsed="false">
      <c r="A26" s="0" t="s">
        <v>150</v>
      </c>
      <c r="B26" s="0" t="s">
        <v>151</v>
      </c>
      <c r="C26" s="0" t="n">
        <v>23531</v>
      </c>
    </row>
    <row r="27" customFormat="false" ht="15" hidden="false" customHeight="true" outlineLevel="0" collapsed="false">
      <c r="A27" s="0" t="s">
        <v>152</v>
      </c>
      <c r="B27" s="0" t="s">
        <v>153</v>
      </c>
      <c r="C27" s="0" t="n">
        <v>13548</v>
      </c>
    </row>
    <row r="28" customFormat="false" ht="15" hidden="false" customHeight="true" outlineLevel="0" collapsed="false">
      <c r="A28" s="0" t="s">
        <v>154</v>
      </c>
      <c r="B28" s="0" t="s">
        <v>155</v>
      </c>
      <c r="C28" s="0" t="n">
        <v>16401</v>
      </c>
    </row>
    <row r="29" customFormat="false" ht="15" hidden="false" customHeight="true" outlineLevel="0" collapsed="false">
      <c r="A29" s="0" t="s">
        <v>156</v>
      </c>
      <c r="B29" s="0" t="s">
        <v>157</v>
      </c>
      <c r="C29" s="0" t="n">
        <v>11992</v>
      </c>
    </row>
    <row r="30" customFormat="false" ht="15" hidden="false" customHeight="true" outlineLevel="0" collapsed="false">
      <c r="A30" s="0" t="s">
        <v>158</v>
      </c>
      <c r="B30" s="0" t="s">
        <v>159</v>
      </c>
      <c r="C30" s="0" t="n">
        <v>11964</v>
      </c>
    </row>
    <row r="31" customFormat="false" ht="15" hidden="false" customHeight="true" outlineLevel="0" collapsed="false">
      <c r="A31" s="0" t="s">
        <v>160</v>
      </c>
      <c r="B31" s="0" t="s">
        <v>161</v>
      </c>
      <c r="C31" s="0" t="n">
        <v>12959</v>
      </c>
    </row>
    <row r="32" customFormat="false" ht="15" hidden="false" customHeight="true" outlineLevel="0" collapsed="false">
      <c r="A32" s="0" t="s">
        <v>162</v>
      </c>
      <c r="B32" s="0" t="s">
        <v>163</v>
      </c>
      <c r="C32" s="0" t="n">
        <v>11260</v>
      </c>
    </row>
    <row r="33" customFormat="false" ht="15" hidden="false" customHeight="true" outlineLevel="0" collapsed="false">
      <c r="A33" s="0" t="s">
        <v>164</v>
      </c>
      <c r="B33" s="0" t="s">
        <v>165</v>
      </c>
      <c r="C33" s="0" t="n">
        <v>5734</v>
      </c>
    </row>
    <row r="34" customFormat="false" ht="15" hidden="false" customHeight="true" outlineLevel="0" collapsed="false">
      <c r="A34" s="0" t="s">
        <v>166</v>
      </c>
      <c r="B34" s="0" t="s">
        <v>167</v>
      </c>
      <c r="C34" s="0" t="n">
        <v>10254</v>
      </c>
    </row>
    <row r="35" customFormat="false" ht="15" hidden="false" customHeight="true" outlineLevel="0" collapsed="false">
      <c r="A35" s="0" t="s">
        <v>168</v>
      </c>
      <c r="B35" s="0" t="s">
        <v>169</v>
      </c>
      <c r="C35" s="0" t="n">
        <v>13409</v>
      </c>
    </row>
    <row r="36" customFormat="false" ht="15" hidden="false" customHeight="true" outlineLevel="0" collapsed="false">
      <c r="A36" s="0" t="s">
        <v>170</v>
      </c>
      <c r="B36" s="0" t="s">
        <v>171</v>
      </c>
      <c r="C36" s="0" t="n">
        <v>13602</v>
      </c>
    </row>
    <row r="37" customFormat="false" ht="15" hidden="false" customHeight="true" outlineLevel="0" collapsed="false">
      <c r="A37" s="0" t="s">
        <v>172</v>
      </c>
      <c r="B37" s="0" t="s">
        <v>173</v>
      </c>
      <c r="C37" s="0" t="n">
        <v>9352</v>
      </c>
    </row>
    <row r="38" customFormat="false" ht="15" hidden="false" customHeight="true" outlineLevel="0" collapsed="false">
      <c r="A38" s="0" t="s">
        <v>174</v>
      </c>
      <c r="B38" s="0" t="s">
        <v>175</v>
      </c>
      <c r="C38" s="0" t="n">
        <v>8662</v>
      </c>
    </row>
    <row r="39" customFormat="false" ht="15" hidden="false" customHeight="true" outlineLevel="0" collapsed="false">
      <c r="A39" s="0" t="s">
        <v>176</v>
      </c>
      <c r="B39" s="0" t="s">
        <v>177</v>
      </c>
      <c r="C39" s="0" t="n">
        <v>10891</v>
      </c>
    </row>
    <row r="40" customFormat="false" ht="15" hidden="false" customHeight="true" outlineLevel="0" collapsed="false">
      <c r="A40" s="0" t="s">
        <v>178</v>
      </c>
      <c r="B40" s="0" t="s">
        <v>179</v>
      </c>
      <c r="C40" s="0" t="n">
        <v>9373</v>
      </c>
    </row>
    <row r="41" customFormat="false" ht="15" hidden="false" customHeight="true" outlineLevel="0" collapsed="false">
      <c r="A41" s="0" t="s">
        <v>180</v>
      </c>
      <c r="B41" s="0" t="s">
        <v>181</v>
      </c>
      <c r="C41" s="0" t="n">
        <v>7354</v>
      </c>
    </row>
    <row r="42" customFormat="false" ht="15" hidden="false" customHeight="true" outlineLevel="0" collapsed="false">
      <c r="A42" s="0" t="s">
        <v>182</v>
      </c>
      <c r="B42" s="0" t="s">
        <v>183</v>
      </c>
      <c r="C42" s="0" t="n">
        <v>12390</v>
      </c>
    </row>
    <row r="43" customFormat="false" ht="15" hidden="false" customHeight="true" outlineLevel="0" collapsed="false">
      <c r="A43" s="0" t="s">
        <v>184</v>
      </c>
      <c r="B43" s="0" t="s">
        <v>185</v>
      </c>
      <c r="C43" s="0" t="n">
        <v>26410</v>
      </c>
    </row>
    <row r="44" customFormat="false" ht="15" hidden="false" customHeight="true" outlineLevel="0" collapsed="false">
      <c r="A44" s="0" t="s">
        <v>186</v>
      </c>
      <c r="B44" s="0" t="s">
        <v>187</v>
      </c>
      <c r="C44" s="0" t="n">
        <v>18538</v>
      </c>
    </row>
    <row r="45" customFormat="false" ht="15" hidden="false" customHeight="true" outlineLevel="0" collapsed="false">
      <c r="A45" s="0" t="s">
        <v>188</v>
      </c>
      <c r="B45" s="0" t="s">
        <v>189</v>
      </c>
      <c r="C45" s="0" t="n">
        <v>10906</v>
      </c>
    </row>
    <row r="46" customFormat="false" ht="15" hidden="false" customHeight="true" outlineLevel="0" collapsed="false">
      <c r="A46" s="0" t="s">
        <v>190</v>
      </c>
      <c r="B46" s="0" t="s">
        <v>191</v>
      </c>
      <c r="C46" s="0" t="n">
        <v>11175</v>
      </c>
    </row>
    <row r="47" customFormat="false" ht="15" hidden="false" customHeight="true" outlineLevel="0" collapsed="false">
      <c r="A47" s="0" t="s">
        <v>192</v>
      </c>
      <c r="B47" s="0" t="s">
        <v>193</v>
      </c>
      <c r="C47" s="0" t="n">
        <v>16229</v>
      </c>
    </row>
    <row r="48" customFormat="false" ht="15" hidden="false" customHeight="true" outlineLevel="0" collapsed="false">
      <c r="A48" s="0" t="s">
        <v>194</v>
      </c>
      <c r="B48" s="0" t="s">
        <v>195</v>
      </c>
      <c r="C48" s="0" t="n">
        <v>7840</v>
      </c>
    </row>
    <row r="49" customFormat="false" ht="15" hidden="false" customHeight="true" outlineLevel="0" collapsed="false">
      <c r="A49" s="0" t="s">
        <v>196</v>
      </c>
      <c r="B49" s="0" t="s">
        <v>197</v>
      </c>
      <c r="C49" s="0" t="n">
        <v>13908</v>
      </c>
    </row>
    <row r="50" customFormat="false" ht="15" hidden="false" customHeight="true" outlineLevel="0" collapsed="false">
      <c r="A50" s="0" t="s">
        <v>198</v>
      </c>
      <c r="B50" s="0" t="s">
        <v>199</v>
      </c>
      <c r="C50" s="0" t="n">
        <v>18091</v>
      </c>
    </row>
    <row r="51" customFormat="false" ht="15" hidden="false" customHeight="true" outlineLevel="0" collapsed="false">
      <c r="A51" s="0" t="s">
        <v>200</v>
      </c>
      <c r="B51" s="0" t="s">
        <v>201</v>
      </c>
      <c r="C51" s="0" t="n">
        <v>16554</v>
      </c>
    </row>
    <row r="52" customFormat="false" ht="15" hidden="false" customHeight="true" outlineLevel="0" collapsed="false">
      <c r="A52" s="0" t="s">
        <v>202</v>
      </c>
      <c r="B52" s="0" t="s">
        <v>203</v>
      </c>
      <c r="C52" s="0" t="n">
        <v>13661</v>
      </c>
    </row>
    <row r="53" customFormat="false" ht="15" hidden="false" customHeight="true" outlineLevel="0" collapsed="false">
      <c r="A53" s="0" t="s">
        <v>204</v>
      </c>
      <c r="B53" s="0" t="s">
        <v>205</v>
      </c>
      <c r="C53" s="0" t="n">
        <v>18868</v>
      </c>
    </row>
    <row r="54" customFormat="false" ht="15" hidden="false" customHeight="true" outlineLevel="0" collapsed="false">
      <c r="A54" s="0" t="s">
        <v>206</v>
      </c>
      <c r="B54" s="0" t="s">
        <v>207</v>
      </c>
      <c r="C54" s="0" t="n">
        <v>3976</v>
      </c>
    </row>
    <row r="55" customFormat="false" ht="15" hidden="false" customHeight="true" outlineLevel="0" collapsed="false">
      <c r="A55" s="0" t="s">
        <v>208</v>
      </c>
      <c r="B55" s="0" t="s">
        <v>209</v>
      </c>
      <c r="C55" s="0" t="n">
        <v>4605</v>
      </c>
    </row>
    <row r="56" customFormat="false" ht="15" hidden="false" customHeight="true" outlineLevel="0" collapsed="false">
      <c r="A56" s="0" t="s">
        <v>210</v>
      </c>
      <c r="B56" s="0" t="s">
        <v>211</v>
      </c>
      <c r="C56" s="0" t="n">
        <v>1464</v>
      </c>
    </row>
    <row r="57" customFormat="false" ht="15" hidden="false" customHeight="true" outlineLevel="0" collapsed="false">
      <c r="A57" s="0" t="s">
        <v>212</v>
      </c>
      <c r="B57" s="0" t="s">
        <v>213</v>
      </c>
      <c r="C57" s="0" t="n">
        <v>13402</v>
      </c>
    </row>
    <row r="58" customFormat="false" ht="15" hidden="false" customHeight="true" outlineLevel="0" collapsed="false">
      <c r="A58" s="0" t="s">
        <v>214</v>
      </c>
      <c r="B58" s="0" t="s">
        <v>215</v>
      </c>
      <c r="C58" s="0" t="n">
        <v>3784</v>
      </c>
    </row>
    <row r="59" customFormat="false" ht="15" hidden="false" customHeight="true" outlineLevel="0" collapsed="false">
      <c r="A59" s="0" t="s">
        <v>216</v>
      </c>
      <c r="B59" s="0" t="s">
        <v>217</v>
      </c>
      <c r="C59" s="0" t="n">
        <v>3405</v>
      </c>
    </row>
    <row r="60" customFormat="false" ht="15" hidden="false" customHeight="true" outlineLevel="0" collapsed="false">
      <c r="A60" s="0" t="s">
        <v>218</v>
      </c>
      <c r="B60" s="0" t="s">
        <v>219</v>
      </c>
      <c r="C60" s="0" t="n">
        <v>16412</v>
      </c>
    </row>
    <row r="61" customFormat="false" ht="15" hidden="false" customHeight="true" outlineLevel="0" collapsed="false">
      <c r="A61" s="0" t="s">
        <v>220</v>
      </c>
      <c r="B61" s="0" t="s">
        <v>221</v>
      </c>
      <c r="C61" s="0" t="n">
        <v>3877</v>
      </c>
    </row>
    <row r="62" customFormat="false" ht="15" hidden="false" customHeight="true" outlineLevel="0" collapsed="false">
      <c r="A62" s="0" t="s">
        <v>222</v>
      </c>
      <c r="B62" s="0" t="s">
        <v>223</v>
      </c>
      <c r="C62" s="0" t="n">
        <v>2765</v>
      </c>
    </row>
    <row r="63" customFormat="false" ht="15" hidden="false" customHeight="true" outlineLevel="0" collapsed="false">
      <c r="A63" s="0" t="s">
        <v>224</v>
      </c>
      <c r="B63" s="0" t="s">
        <v>225</v>
      </c>
      <c r="C63" s="0" t="n">
        <v>11592</v>
      </c>
    </row>
    <row r="64" customFormat="false" ht="15" hidden="false" customHeight="true" outlineLevel="0" collapsed="false">
      <c r="A64" s="0" t="s">
        <v>226</v>
      </c>
      <c r="B64" s="0" t="s">
        <v>227</v>
      </c>
      <c r="C64" s="0" t="n">
        <v>20215</v>
      </c>
    </row>
    <row r="65" customFormat="false" ht="15" hidden="false" customHeight="true" outlineLevel="0" collapsed="false">
      <c r="A65" s="0" t="s">
        <v>228</v>
      </c>
      <c r="B65" s="0" t="s">
        <v>229</v>
      </c>
      <c r="C65" s="0" t="n">
        <v>6852</v>
      </c>
    </row>
    <row r="66" customFormat="false" ht="15" hidden="false" customHeight="true" outlineLevel="0" collapsed="false">
      <c r="A66" s="0" t="s">
        <v>230</v>
      </c>
      <c r="B66" s="0" t="s">
        <v>231</v>
      </c>
      <c r="C66" s="0" t="n">
        <v>1459</v>
      </c>
    </row>
    <row r="67" customFormat="false" ht="15" hidden="false" customHeight="true" outlineLevel="0" collapsed="false">
      <c r="A67" s="0" t="s">
        <v>232</v>
      </c>
      <c r="B67" s="0" t="s">
        <v>233</v>
      </c>
      <c r="C67" s="0" t="n">
        <v>23675</v>
      </c>
    </row>
    <row r="68" customFormat="false" ht="15" hidden="false" customHeight="true" outlineLevel="0" collapsed="false">
      <c r="A68" s="0" t="s">
        <v>234</v>
      </c>
      <c r="B68" s="0" t="s">
        <v>235</v>
      </c>
      <c r="C68" s="0" t="n">
        <v>97380</v>
      </c>
    </row>
    <row r="69" customFormat="false" ht="15" hidden="false" customHeight="true" outlineLevel="0" collapsed="false">
      <c r="A69" s="0" t="s">
        <v>236</v>
      </c>
      <c r="B69" s="0" t="s">
        <v>237</v>
      </c>
      <c r="C69" s="0" t="n">
        <v>60293</v>
      </c>
    </row>
    <row r="70" customFormat="false" ht="15" hidden="false" customHeight="true" outlineLevel="0" collapsed="false">
      <c r="A70" s="0" t="s">
        <v>238</v>
      </c>
      <c r="B70" s="0" t="s">
        <v>239</v>
      </c>
      <c r="C70" s="0" t="n">
        <v>24564</v>
      </c>
    </row>
    <row r="71" customFormat="false" ht="15" hidden="false" customHeight="true" outlineLevel="0" collapsed="false">
      <c r="A71" s="0" t="s">
        <v>240</v>
      </c>
      <c r="B71" s="0" t="s">
        <v>241</v>
      </c>
      <c r="C71" s="0" t="n">
        <v>12981</v>
      </c>
    </row>
    <row r="72" customFormat="false" ht="15" hidden="false" customHeight="true" outlineLevel="0" collapsed="false">
      <c r="A72" s="0" t="s">
        <v>242</v>
      </c>
      <c r="B72" s="0" t="s">
        <v>243</v>
      </c>
      <c r="C72" s="0" t="n">
        <v>14583</v>
      </c>
    </row>
    <row r="73" customFormat="false" ht="15" hidden="false" customHeight="true" outlineLevel="0" collapsed="false">
      <c r="A73" s="0" t="s">
        <v>244</v>
      </c>
      <c r="B73" s="0" t="s">
        <v>245</v>
      </c>
      <c r="C73" s="0" t="n">
        <v>24503</v>
      </c>
    </row>
    <row r="74" customFormat="false" ht="15" hidden="false" customHeight="true" outlineLevel="0" collapsed="false">
      <c r="A74" s="0" t="s">
        <v>246</v>
      </c>
      <c r="B74" s="0" t="s">
        <v>247</v>
      </c>
      <c r="C74" s="0" t="n">
        <v>30039</v>
      </c>
    </row>
    <row r="75" customFormat="false" ht="15" hidden="false" customHeight="true" outlineLevel="0" collapsed="false">
      <c r="A75" s="0" t="s">
        <v>248</v>
      </c>
      <c r="B75" s="0" t="s">
        <v>249</v>
      </c>
      <c r="C75" s="0" t="n">
        <v>28601</v>
      </c>
    </row>
    <row r="76" customFormat="false" ht="15" hidden="false" customHeight="true" outlineLevel="0" collapsed="false">
      <c r="A76" s="0" t="s">
        <v>250</v>
      </c>
      <c r="B76" s="0" t="s">
        <v>251</v>
      </c>
      <c r="C76" s="0" t="n">
        <v>9692</v>
      </c>
    </row>
    <row r="77" customFormat="false" ht="15" hidden="false" customHeight="true" outlineLevel="0" collapsed="false">
      <c r="A77" s="0" t="s">
        <v>252</v>
      </c>
      <c r="B77" s="0" t="s">
        <v>253</v>
      </c>
      <c r="C77" s="0" t="n">
        <v>13766</v>
      </c>
    </row>
    <row r="78" customFormat="false" ht="15" hidden="false" customHeight="true" outlineLevel="0" collapsed="false">
      <c r="A78" s="0" t="s">
        <v>254</v>
      </c>
      <c r="B78" s="0" t="s">
        <v>255</v>
      </c>
      <c r="C78" s="0" t="n">
        <v>37064</v>
      </c>
    </row>
    <row r="79" customFormat="false" ht="15" hidden="false" customHeight="true" outlineLevel="0" collapsed="false">
      <c r="A79" s="0" t="s">
        <v>256</v>
      </c>
      <c r="B79" s="0" t="s">
        <v>257</v>
      </c>
      <c r="C79" s="0" t="n">
        <v>10413</v>
      </c>
    </row>
    <row r="80" customFormat="false" ht="15" hidden="false" customHeight="true" outlineLevel="0" collapsed="false">
      <c r="A80" s="0" t="s">
        <v>258</v>
      </c>
      <c r="B80" s="0" t="s">
        <v>259</v>
      </c>
      <c r="C80" s="0" t="n">
        <v>14097</v>
      </c>
    </row>
    <row r="81" customFormat="false" ht="15" hidden="false" customHeight="true" outlineLevel="0" collapsed="false">
      <c r="A81" s="0" t="s">
        <v>260</v>
      </c>
      <c r="B81" s="0" t="s">
        <v>261</v>
      </c>
      <c r="C81" s="0" t="n">
        <v>30114</v>
      </c>
    </row>
    <row r="82" customFormat="false" ht="15" hidden="false" customHeight="true" outlineLevel="0" collapsed="false">
      <c r="A82" s="0" t="s">
        <v>262</v>
      </c>
      <c r="B82" s="0" t="s">
        <v>263</v>
      </c>
      <c r="C82" s="0" t="n">
        <v>41154</v>
      </c>
    </row>
    <row r="83" customFormat="false" ht="15" hidden="false" customHeight="true" outlineLevel="0" collapsed="false">
      <c r="A83" s="0" t="s">
        <v>264</v>
      </c>
      <c r="B83" s="0" t="s">
        <v>265</v>
      </c>
      <c r="C83" s="0" t="n">
        <v>26733</v>
      </c>
    </row>
    <row r="84" customFormat="false" ht="15" hidden="false" customHeight="true" outlineLevel="0" collapsed="false">
      <c r="A84" s="0" t="s">
        <v>266</v>
      </c>
      <c r="B84" s="0" t="s">
        <v>267</v>
      </c>
      <c r="C84" s="0" t="n">
        <v>123738</v>
      </c>
    </row>
    <row r="85" customFormat="false" ht="15" hidden="false" customHeight="true" outlineLevel="0" collapsed="false">
      <c r="A85" s="0" t="s">
        <v>268</v>
      </c>
      <c r="B85" s="0" t="s">
        <v>269</v>
      </c>
      <c r="C85" s="0" t="n">
        <v>46285</v>
      </c>
    </row>
    <row r="86" customFormat="false" ht="15" hidden="false" customHeight="true" outlineLevel="0" collapsed="false">
      <c r="A86" s="0" t="s">
        <v>270</v>
      </c>
      <c r="B86" s="0" t="s">
        <v>271</v>
      </c>
      <c r="C86" s="0" t="n">
        <v>8850</v>
      </c>
    </row>
    <row r="87" customFormat="false" ht="15" hidden="false" customHeight="true" outlineLevel="0" collapsed="false">
      <c r="A87" s="0" t="s">
        <v>272</v>
      </c>
      <c r="B87" s="0" t="s">
        <v>273</v>
      </c>
      <c r="C87" s="0" t="n">
        <v>17847</v>
      </c>
    </row>
    <row r="88" customFormat="false" ht="15" hidden="false" customHeight="true" outlineLevel="0" collapsed="false">
      <c r="A88" s="0" t="s">
        <v>274</v>
      </c>
      <c r="B88" s="0" t="s">
        <v>275</v>
      </c>
      <c r="C88" s="0" t="n">
        <v>14580</v>
      </c>
    </row>
    <row r="89" customFormat="false" ht="15" hidden="false" customHeight="true" outlineLevel="0" collapsed="false">
      <c r="A89" s="0" t="s">
        <v>276</v>
      </c>
      <c r="B89" s="0" t="s">
        <v>277</v>
      </c>
      <c r="C89" s="0" t="n">
        <v>6911</v>
      </c>
    </row>
    <row r="90" customFormat="false" ht="15" hidden="false" customHeight="true" outlineLevel="0" collapsed="false">
      <c r="A90" s="0" t="s">
        <v>278</v>
      </c>
      <c r="B90" s="0" t="s">
        <v>279</v>
      </c>
      <c r="C90" s="0" t="n">
        <v>15788</v>
      </c>
    </row>
    <row r="91" customFormat="false" ht="15" hidden="false" customHeight="true" outlineLevel="0" collapsed="false">
      <c r="A91" s="0" t="s">
        <v>280</v>
      </c>
      <c r="B91" s="0" t="s">
        <v>281</v>
      </c>
      <c r="C91" s="0" t="n">
        <v>2629</v>
      </c>
    </row>
    <row r="92" customFormat="false" ht="15" hidden="false" customHeight="true" outlineLevel="0" collapsed="false">
      <c r="A92" s="0" t="s">
        <v>282</v>
      </c>
      <c r="B92" s="0" t="s">
        <v>283</v>
      </c>
      <c r="C92" s="0" t="n">
        <v>6796</v>
      </c>
    </row>
    <row r="93" customFormat="false" ht="15" hidden="false" customHeight="true" outlineLevel="0" collapsed="false">
      <c r="A93" s="0" t="s">
        <v>284</v>
      </c>
      <c r="B93" s="0" t="s">
        <v>285</v>
      </c>
      <c r="C93" s="0" t="n">
        <v>1625</v>
      </c>
    </row>
    <row r="94" customFormat="false" ht="15" hidden="false" customHeight="true" outlineLevel="0" collapsed="false">
      <c r="A94" s="0" t="s">
        <v>286</v>
      </c>
      <c r="B94" s="0" t="s">
        <v>287</v>
      </c>
      <c r="C94" s="0" t="n">
        <v>16501</v>
      </c>
    </row>
    <row r="95" customFormat="false" ht="15" hidden="false" customHeight="true" outlineLevel="0" collapsed="false">
      <c r="A95" s="0" t="s">
        <v>288</v>
      </c>
      <c r="B95" s="0" t="s">
        <v>289</v>
      </c>
      <c r="C95" s="0" t="n">
        <v>3266</v>
      </c>
    </row>
    <row r="96" customFormat="false" ht="15" hidden="false" customHeight="true" outlineLevel="0" collapsed="false">
      <c r="A96" s="0" t="s">
        <v>290</v>
      </c>
      <c r="B96" s="0" t="s">
        <v>291</v>
      </c>
      <c r="C96" s="0" t="n">
        <v>10444</v>
      </c>
    </row>
    <row r="97" customFormat="false" ht="15" hidden="false" customHeight="true" outlineLevel="0" collapsed="false">
      <c r="A97" s="0" t="s">
        <v>292</v>
      </c>
      <c r="B97" s="0" t="s">
        <v>293</v>
      </c>
      <c r="C97" s="0" t="n">
        <v>6781</v>
      </c>
    </row>
    <row r="98" customFormat="false" ht="15" hidden="false" customHeight="true" outlineLevel="0" collapsed="false">
      <c r="A98" s="0" t="s">
        <v>294</v>
      </c>
      <c r="B98" s="0" t="s">
        <v>295</v>
      </c>
      <c r="C98" s="0" t="n">
        <v>8669</v>
      </c>
    </row>
    <row r="99" customFormat="false" ht="15" hidden="false" customHeight="true" outlineLevel="0" collapsed="false">
      <c r="A99" s="0" t="s">
        <v>296</v>
      </c>
      <c r="B99" s="0" t="s">
        <v>297</v>
      </c>
      <c r="C99" s="0" t="n">
        <v>2510</v>
      </c>
    </row>
    <row r="100" customFormat="false" ht="15" hidden="false" customHeight="true" outlineLevel="0" collapsed="false">
      <c r="A100" s="0" t="s">
        <v>298</v>
      </c>
      <c r="B100" s="0" t="s">
        <v>299</v>
      </c>
      <c r="C100" s="0" t="n">
        <v>36560</v>
      </c>
    </row>
    <row r="101" customFormat="false" ht="15" hidden="false" customHeight="true" outlineLevel="0" collapsed="false">
      <c r="A101" s="0" t="s">
        <v>300</v>
      </c>
      <c r="B101" s="0" t="s">
        <v>301</v>
      </c>
      <c r="C101" s="0" t="n">
        <v>7303</v>
      </c>
    </row>
    <row r="102" customFormat="false" ht="15" hidden="false" customHeight="true" outlineLevel="0" collapsed="false">
      <c r="A102" s="0" t="s">
        <v>302</v>
      </c>
      <c r="B102" s="0" t="s">
        <v>303</v>
      </c>
      <c r="C102" s="0" t="n">
        <v>7621</v>
      </c>
    </row>
    <row r="103" customFormat="false" ht="15" hidden="false" customHeight="true" outlineLevel="0" collapsed="false">
      <c r="A103" s="0" t="s">
        <v>304</v>
      </c>
      <c r="B103" s="0" t="s">
        <v>305</v>
      </c>
      <c r="C103" s="0" t="n">
        <v>8018</v>
      </c>
    </row>
    <row r="104" customFormat="false" ht="15" hidden="false" customHeight="true" outlineLevel="0" collapsed="false">
      <c r="A104" s="0" t="s">
        <v>306</v>
      </c>
      <c r="B104" s="0" t="s">
        <v>307</v>
      </c>
      <c r="C104" s="0" t="n">
        <v>9697</v>
      </c>
    </row>
    <row r="105" customFormat="false" ht="15" hidden="false" customHeight="true" outlineLevel="0" collapsed="false">
      <c r="A105" s="0" t="s">
        <v>308</v>
      </c>
      <c r="B105" s="0" t="s">
        <v>309</v>
      </c>
      <c r="C105" s="0" t="n">
        <v>7821</v>
      </c>
    </row>
    <row r="106" customFormat="false" ht="15" hidden="false" customHeight="true" outlineLevel="0" collapsed="false">
      <c r="A106" s="0" t="s">
        <v>310</v>
      </c>
      <c r="B106" s="0" t="s">
        <v>311</v>
      </c>
      <c r="C106" s="0" t="n">
        <v>195931</v>
      </c>
    </row>
    <row r="107" customFormat="false" ht="15" hidden="false" customHeight="true" outlineLevel="0" collapsed="false">
      <c r="A107" s="0" t="s">
        <v>312</v>
      </c>
      <c r="B107" s="0" t="s">
        <v>313</v>
      </c>
      <c r="C107" s="0" t="n">
        <v>93776</v>
      </c>
    </row>
    <row r="108" customFormat="false" ht="15" hidden="false" customHeight="true" outlineLevel="0" collapsed="false">
      <c r="A108" s="0" t="s">
        <v>314</v>
      </c>
      <c r="B108" s="0" t="s">
        <v>315</v>
      </c>
      <c r="C108" s="0" t="n">
        <v>47209</v>
      </c>
    </row>
    <row r="109" customFormat="false" ht="15" hidden="false" customHeight="true" outlineLevel="0" collapsed="false">
      <c r="A109" s="0" t="s">
        <v>316</v>
      </c>
      <c r="B109" s="0" t="s">
        <v>317</v>
      </c>
      <c r="C109" s="0" t="n">
        <v>14722</v>
      </c>
    </row>
    <row r="110" customFormat="false" ht="15" hidden="false" customHeight="true" outlineLevel="0" collapsed="false">
      <c r="A110" s="0" t="s">
        <v>318</v>
      </c>
      <c r="B110" s="0" t="s">
        <v>319</v>
      </c>
      <c r="C110" s="0" t="n">
        <v>9727</v>
      </c>
    </row>
    <row r="111" customFormat="false" ht="15" hidden="false" customHeight="true" outlineLevel="0" collapsed="false">
      <c r="A111" s="0" t="s">
        <v>320</v>
      </c>
      <c r="B111" s="0" t="s">
        <v>321</v>
      </c>
      <c r="C111" s="0" t="n">
        <v>3353</v>
      </c>
    </row>
    <row r="112" customFormat="false" ht="15" hidden="false" customHeight="true" outlineLevel="0" collapsed="false">
      <c r="A112" s="0" t="s">
        <v>322</v>
      </c>
      <c r="B112" s="0" t="s">
        <v>323</v>
      </c>
      <c r="C112" s="0" t="n">
        <v>5591</v>
      </c>
    </row>
    <row r="113" customFormat="false" ht="15" hidden="false" customHeight="true" outlineLevel="0" collapsed="false">
      <c r="A113" s="0" t="s">
        <v>324</v>
      </c>
      <c r="B113" s="0" t="s">
        <v>325</v>
      </c>
      <c r="C113" s="0" t="n">
        <v>3082</v>
      </c>
    </row>
    <row r="114" customFormat="false" ht="15" hidden="false" customHeight="true" outlineLevel="0" collapsed="false">
      <c r="A114" s="0" t="s">
        <v>326</v>
      </c>
      <c r="B114" s="0" t="s">
        <v>327</v>
      </c>
      <c r="C114" s="0" t="n">
        <v>3900</v>
      </c>
    </row>
    <row r="115" customFormat="false" ht="15" hidden="false" customHeight="true" outlineLevel="0" collapsed="false">
      <c r="A115" s="0" t="s">
        <v>328</v>
      </c>
      <c r="B115" s="0" t="s">
        <v>329</v>
      </c>
      <c r="C115" s="0" t="n">
        <v>4191</v>
      </c>
    </row>
    <row r="116" customFormat="false" ht="15" hidden="false" customHeight="true" outlineLevel="0" collapsed="false">
      <c r="A116" s="0" t="s">
        <v>330</v>
      </c>
      <c r="B116" s="0" t="s">
        <v>331</v>
      </c>
      <c r="C116" s="0" t="n">
        <v>4323</v>
      </c>
    </row>
    <row r="117" customFormat="false" ht="15" hidden="false" customHeight="true" outlineLevel="0" collapsed="false">
      <c r="A117" s="0" t="s">
        <v>332</v>
      </c>
      <c r="B117" s="0" t="s">
        <v>333</v>
      </c>
      <c r="C117" s="0" t="n">
        <v>5533</v>
      </c>
    </row>
    <row r="118" customFormat="false" ht="15" hidden="false" customHeight="true" outlineLevel="0" collapsed="false">
      <c r="A118" s="0" t="s">
        <v>334</v>
      </c>
      <c r="B118" s="0" t="s">
        <v>335</v>
      </c>
      <c r="C118" s="0" t="n">
        <v>2474</v>
      </c>
    </row>
    <row r="119" customFormat="false" ht="15" hidden="false" customHeight="true" outlineLevel="0" collapsed="false">
      <c r="A119" s="0" t="s">
        <v>336</v>
      </c>
      <c r="B119" s="0" t="s">
        <v>337</v>
      </c>
      <c r="C119" s="0" t="n">
        <v>8928</v>
      </c>
    </row>
    <row r="120" customFormat="false" ht="15" hidden="false" customHeight="true" outlineLevel="0" collapsed="false">
      <c r="A120" s="0" t="s">
        <v>338</v>
      </c>
      <c r="B120" s="0" t="s">
        <v>339</v>
      </c>
      <c r="C120" s="0" t="n">
        <v>8560</v>
      </c>
    </row>
    <row r="121" customFormat="false" ht="15" hidden="false" customHeight="true" outlineLevel="0" collapsed="false">
      <c r="A121" s="0" t="s">
        <v>340</v>
      </c>
      <c r="B121" s="0" t="s">
        <v>341</v>
      </c>
      <c r="C121" s="0" t="n">
        <v>15043</v>
      </c>
    </row>
    <row r="122" customFormat="false" ht="15" hidden="false" customHeight="true" outlineLevel="0" collapsed="false">
      <c r="A122" s="0" t="s">
        <v>342</v>
      </c>
      <c r="B122" s="0" t="s">
        <v>343</v>
      </c>
      <c r="C122" s="0" t="n">
        <v>5617</v>
      </c>
    </row>
    <row r="123" customFormat="false" ht="15" hidden="false" customHeight="true" outlineLevel="0" collapsed="false">
      <c r="A123" s="0" t="s">
        <v>344</v>
      </c>
      <c r="B123" s="0" t="s">
        <v>345</v>
      </c>
      <c r="C123" s="0" t="n">
        <v>2965</v>
      </c>
    </row>
    <row r="124" customFormat="false" ht="15" hidden="false" customHeight="true" outlineLevel="0" collapsed="false">
      <c r="A124" s="0" t="s">
        <v>346</v>
      </c>
      <c r="B124" s="0" t="s">
        <v>347</v>
      </c>
      <c r="C124" s="0" t="n">
        <v>4937</v>
      </c>
    </row>
    <row r="125" customFormat="false" ht="15" hidden="false" customHeight="true" outlineLevel="0" collapsed="false">
      <c r="A125" s="0" t="s">
        <v>348</v>
      </c>
      <c r="B125" s="0" t="s">
        <v>349</v>
      </c>
      <c r="C125" s="0" t="n">
        <v>15860</v>
      </c>
    </row>
    <row r="126" customFormat="false" ht="15" hidden="false" customHeight="true" outlineLevel="0" collapsed="false">
      <c r="A126" s="0" t="s">
        <v>350</v>
      </c>
      <c r="B126" s="0" t="s">
        <v>351</v>
      </c>
      <c r="C126" s="0" t="n">
        <v>8983</v>
      </c>
    </row>
    <row r="127" customFormat="false" ht="15" hidden="false" customHeight="true" outlineLevel="0" collapsed="false">
      <c r="A127" s="0" t="s">
        <v>352</v>
      </c>
      <c r="B127" s="0" t="s">
        <v>353</v>
      </c>
      <c r="C127" s="0" t="n">
        <v>3392</v>
      </c>
    </row>
    <row r="128" customFormat="false" ht="15" hidden="false" customHeight="true" outlineLevel="0" collapsed="false">
      <c r="A128" s="0" t="s">
        <v>354</v>
      </c>
      <c r="B128" s="0" t="s">
        <v>355</v>
      </c>
      <c r="C128" s="0" t="n">
        <v>2552</v>
      </c>
    </row>
    <row r="129" customFormat="false" ht="15" hidden="false" customHeight="true" outlineLevel="0" collapsed="false">
      <c r="A129" s="0" t="s">
        <v>356</v>
      </c>
      <c r="B129" s="0" t="s">
        <v>357</v>
      </c>
      <c r="C129" s="0" t="n">
        <v>6905</v>
      </c>
    </row>
    <row r="130" customFormat="false" ht="15" hidden="false" customHeight="true" outlineLevel="0" collapsed="false">
      <c r="A130" s="0" t="s">
        <v>358</v>
      </c>
      <c r="B130" s="0" t="s">
        <v>359</v>
      </c>
      <c r="C130" s="0" t="n">
        <v>8147</v>
      </c>
    </row>
    <row r="131" customFormat="false" ht="15" hidden="false" customHeight="true" outlineLevel="0" collapsed="false">
      <c r="A131" s="0" t="s">
        <v>360</v>
      </c>
      <c r="B131" s="0" t="s">
        <v>361</v>
      </c>
      <c r="C131" s="0" t="n">
        <v>6725</v>
      </c>
    </row>
    <row r="132" customFormat="false" ht="15" hidden="false" customHeight="true" outlineLevel="0" collapsed="false">
      <c r="A132" s="0" t="s">
        <v>362</v>
      </c>
      <c r="B132" s="0" t="s">
        <v>363</v>
      </c>
      <c r="C132" s="0" t="n">
        <v>8612</v>
      </c>
    </row>
    <row r="133" customFormat="false" ht="15" hidden="false" customHeight="true" outlineLevel="0" collapsed="false">
      <c r="A133" s="0" t="s">
        <v>364</v>
      </c>
      <c r="B133" s="0" t="s">
        <v>365</v>
      </c>
      <c r="C133" s="0" t="n">
        <v>5595</v>
      </c>
    </row>
    <row r="134" customFormat="false" ht="15" hidden="false" customHeight="true" outlineLevel="0" collapsed="false">
      <c r="A134" s="0" t="s">
        <v>366</v>
      </c>
      <c r="B134" s="0" t="s">
        <v>367</v>
      </c>
      <c r="C134" s="0" t="n">
        <v>6912</v>
      </c>
    </row>
    <row r="135" customFormat="false" ht="15" hidden="false" customHeight="true" outlineLevel="0" collapsed="false">
      <c r="A135" s="0" t="s">
        <v>368</v>
      </c>
      <c r="B135" s="0" t="s">
        <v>369</v>
      </c>
      <c r="C135" s="0" t="n">
        <v>6948</v>
      </c>
    </row>
    <row r="136" customFormat="false" ht="15" hidden="false" customHeight="true" outlineLevel="0" collapsed="false">
      <c r="A136" s="0" t="s">
        <v>370</v>
      </c>
      <c r="B136" s="0" t="s">
        <v>371</v>
      </c>
      <c r="C136" s="0" t="n">
        <v>4652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fals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5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23.25" hidden="false" customHeight="true" outlineLevel="0" collapsed="false">
      <c r="A1" s="31" t="s">
        <v>372</v>
      </c>
      <c r="B1" s="31" t="s">
        <v>373</v>
      </c>
      <c r="C1" s="31" t="s">
        <v>374</v>
      </c>
      <c r="D1" s="31" t="s">
        <v>375</v>
      </c>
      <c r="E1" s="31" t="s">
        <v>376</v>
      </c>
      <c r="F1" s="31" t="s">
        <v>377</v>
      </c>
    </row>
    <row r="2" customFormat="false" ht="15" hidden="false" customHeight="true" outlineLevel="0" collapsed="false">
      <c r="A2" s="0" t="n">
        <v>1</v>
      </c>
      <c r="B2" s="0" t="s">
        <v>378</v>
      </c>
      <c r="C2" s="32" t="n">
        <v>16</v>
      </c>
      <c r="D2" s="0" t="s">
        <v>379</v>
      </c>
      <c r="E2" s="32" t="n">
        <v>0.9</v>
      </c>
      <c r="F2" s="0" t="n">
        <f aca="false">E2*C2</f>
        <v>14.4</v>
      </c>
    </row>
    <row r="3" customFormat="false" ht="15" hidden="false" customHeight="true" outlineLevel="0" collapsed="false">
      <c r="A3" s="0" t="n">
        <v>2</v>
      </c>
      <c r="B3" s="0" t="s">
        <v>380</v>
      </c>
      <c r="C3" s="32" t="n">
        <v>10</v>
      </c>
      <c r="D3" s="0" t="s">
        <v>379</v>
      </c>
      <c r="E3" s="32" t="n">
        <v>0.9</v>
      </c>
      <c r="F3" s="0" t="n">
        <f aca="false">E3*C3</f>
        <v>9</v>
      </c>
    </row>
    <row r="4" customFormat="false" ht="15" hidden="false" customHeight="true" outlineLevel="0" collapsed="false">
      <c r="A4" s="0" t="n">
        <v>3</v>
      </c>
      <c r="B4" s="0" t="s">
        <v>381</v>
      </c>
      <c r="C4" s="32" t="n">
        <v>111</v>
      </c>
      <c r="D4" s="0" t="s">
        <v>379</v>
      </c>
      <c r="E4" s="32" t="n">
        <v>0.9</v>
      </c>
      <c r="F4" s="0" t="n">
        <f aca="false">E4*C4</f>
        <v>99.9</v>
      </c>
    </row>
    <row r="5" customFormat="false" ht="15" hidden="false" customHeight="true" outlineLevel="0" collapsed="false">
      <c r="A5" s="0" t="n">
        <v>4</v>
      </c>
      <c r="B5" s="0" t="s">
        <v>382</v>
      </c>
      <c r="C5" s="32" t="n">
        <v>20</v>
      </c>
      <c r="D5" s="0" t="s">
        <v>379</v>
      </c>
      <c r="E5" s="32" t="n">
        <v>0.9</v>
      </c>
      <c r="F5" s="0" t="n">
        <f aca="false">E5*C5</f>
        <v>18</v>
      </c>
    </row>
    <row r="6" customFormat="false" ht="15" hidden="false" customHeight="true" outlineLevel="0" collapsed="false">
      <c r="A6" s="0" t="n">
        <v>5</v>
      </c>
      <c r="B6" s="0" t="s">
        <v>383</v>
      </c>
      <c r="C6" s="32" t="n">
        <v>57</v>
      </c>
      <c r="D6" s="0" t="s">
        <v>379</v>
      </c>
      <c r="E6" s="32" t="n">
        <v>0.9</v>
      </c>
      <c r="F6" s="0" t="n">
        <f aca="false">E6*C6</f>
        <v>51.3</v>
      </c>
    </row>
    <row r="7" customFormat="false" ht="15" hidden="false" customHeight="true" outlineLevel="0" collapsed="false">
      <c r="A7" s="0" t="n">
        <v>6</v>
      </c>
      <c r="B7" s="0" t="s">
        <v>384</v>
      </c>
      <c r="C7" s="32" t="n">
        <v>13</v>
      </c>
      <c r="D7" s="0" t="s">
        <v>379</v>
      </c>
      <c r="E7" s="32" t="n">
        <v>0.9</v>
      </c>
      <c r="F7" s="0" t="n">
        <f aca="false">E7*C7</f>
        <v>11.7</v>
      </c>
    </row>
    <row r="8" customFormat="false" ht="15" hidden="false" customHeight="true" outlineLevel="0" collapsed="false">
      <c r="A8" s="0" t="n">
        <v>7</v>
      </c>
      <c r="B8" s="0" t="s">
        <v>385</v>
      </c>
      <c r="C8" s="32" t="n">
        <v>30</v>
      </c>
      <c r="D8" s="0" t="s">
        <v>379</v>
      </c>
      <c r="E8" s="32" t="n">
        <v>0.9</v>
      </c>
      <c r="F8" s="0" t="n">
        <f aca="false">E8*C8</f>
        <v>27</v>
      </c>
    </row>
    <row r="9" customFormat="false" ht="15" hidden="false" customHeight="true" outlineLevel="0" collapsed="false">
      <c r="A9" s="0" t="n">
        <v>8</v>
      </c>
      <c r="B9" s="0" t="s">
        <v>386</v>
      </c>
      <c r="C9" s="32" t="n">
        <v>24</v>
      </c>
      <c r="D9" s="0" t="s">
        <v>379</v>
      </c>
      <c r="E9" s="32" t="n">
        <v>0.9</v>
      </c>
      <c r="F9" s="0" t="n">
        <f aca="false">E9*C9</f>
        <v>21.6</v>
      </c>
    </row>
    <row r="10" customFormat="false" ht="15" hidden="false" customHeight="true" outlineLevel="0" collapsed="false">
      <c r="A10" s="0" t="n">
        <v>9</v>
      </c>
      <c r="B10" s="0" t="s">
        <v>387</v>
      </c>
      <c r="C10" s="32" t="n">
        <v>15</v>
      </c>
      <c r="D10" s="0" t="s">
        <v>379</v>
      </c>
      <c r="E10" s="32" t="n">
        <v>0.9</v>
      </c>
      <c r="F10" s="0" t="n">
        <f aca="false">E10*C10</f>
        <v>13.5</v>
      </c>
    </row>
    <row r="11" customFormat="false" ht="15" hidden="false" customHeight="true" outlineLevel="0" collapsed="false">
      <c r="A11" s="0" t="n">
        <v>10</v>
      </c>
      <c r="B11" s="0" t="s">
        <v>388</v>
      </c>
      <c r="C11" s="32" t="n">
        <v>15</v>
      </c>
      <c r="D11" s="0" t="s">
        <v>379</v>
      </c>
      <c r="E11" s="32" t="n">
        <v>0.9</v>
      </c>
      <c r="F11" s="0" t="n">
        <f aca="false">E11*C11</f>
        <v>13.5</v>
      </c>
    </row>
    <row r="12" customFormat="false" ht="15" hidden="false" customHeight="true" outlineLevel="0" collapsed="false">
      <c r="A12" s="0" t="n">
        <v>11</v>
      </c>
      <c r="B12" s="0" t="s">
        <v>389</v>
      </c>
      <c r="C12" s="32" t="n">
        <v>80</v>
      </c>
      <c r="D12" s="0" t="s">
        <v>379</v>
      </c>
      <c r="E12" s="32" t="n">
        <v>0.9</v>
      </c>
      <c r="F12" s="0" t="n">
        <f aca="false">E12*C12</f>
        <v>72</v>
      </c>
    </row>
    <row r="13" customFormat="false" ht="15" hidden="false" customHeight="true" outlineLevel="0" collapsed="false">
      <c r="A13" s="0" t="n">
        <v>12</v>
      </c>
      <c r="B13" s="0" t="s">
        <v>390</v>
      </c>
      <c r="C13" s="32" t="n">
        <v>11</v>
      </c>
      <c r="D13" s="0" t="s">
        <v>379</v>
      </c>
      <c r="E13" s="32" t="n">
        <v>0.9</v>
      </c>
      <c r="F13" s="0" t="n">
        <f aca="false">E13*C13</f>
        <v>9.9</v>
      </c>
    </row>
    <row r="14" customFormat="false" ht="15" hidden="false" customHeight="true" outlineLevel="0" collapsed="false">
      <c r="A14" s="0" t="n">
        <v>13</v>
      </c>
      <c r="B14" s="0" t="s">
        <v>391</v>
      </c>
      <c r="C14" s="32" t="n">
        <v>35</v>
      </c>
      <c r="D14" s="0" t="s">
        <v>379</v>
      </c>
      <c r="E14" s="32" t="n">
        <v>0.9</v>
      </c>
      <c r="F14" s="0" t="n">
        <f aca="false">E14*C14</f>
        <v>31.5</v>
      </c>
    </row>
    <row r="15" customFormat="false" ht="15" hidden="false" customHeight="true" outlineLevel="0" collapsed="false">
      <c r="A15" s="0" t="n">
        <v>14</v>
      </c>
      <c r="B15" s="0" t="s">
        <v>392</v>
      </c>
      <c r="C15" s="32" t="n">
        <v>17</v>
      </c>
      <c r="D15" s="0" t="s">
        <v>379</v>
      </c>
      <c r="E15" s="32" t="n">
        <v>0.9</v>
      </c>
      <c r="F15" s="0" t="n">
        <f aca="false">E15*C15</f>
        <v>15.3</v>
      </c>
    </row>
    <row r="16" customFormat="false" ht="15" hidden="false" customHeight="true" outlineLevel="0" collapsed="false">
      <c r="A16" s="0" t="n">
        <v>15</v>
      </c>
      <c r="B16" s="0" t="s">
        <v>393</v>
      </c>
      <c r="C16" s="32" t="n">
        <v>150</v>
      </c>
      <c r="D16" s="0" t="s">
        <v>379</v>
      </c>
      <c r="E16" s="32" t="n">
        <v>0.9</v>
      </c>
      <c r="F16" s="0" t="n">
        <f aca="false">E16*C16</f>
        <v>135</v>
      </c>
    </row>
    <row r="17" customFormat="false" ht="15" hidden="false" customHeight="true" outlineLevel="0" collapsed="false">
      <c r="A17" s="0" t="n">
        <v>16</v>
      </c>
      <c r="B17" s="0" t="s">
        <v>394</v>
      </c>
      <c r="C17" s="32" t="n">
        <v>20</v>
      </c>
      <c r="D17" s="0" t="s">
        <v>379</v>
      </c>
      <c r="E17" s="32" t="n">
        <v>0.9</v>
      </c>
      <c r="F17" s="0" t="n">
        <f aca="false">E17*C17</f>
        <v>18</v>
      </c>
    </row>
    <row r="18" customFormat="false" ht="15" hidden="false" customHeight="true" outlineLevel="0" collapsed="false">
      <c r="A18" s="0" t="n">
        <v>17</v>
      </c>
      <c r="B18" s="0" t="s">
        <v>395</v>
      </c>
      <c r="C18" s="32" t="n">
        <v>15</v>
      </c>
      <c r="D18" s="0" t="s">
        <v>379</v>
      </c>
      <c r="E18" s="32" t="n">
        <v>0.9</v>
      </c>
      <c r="F18" s="0" t="n">
        <f aca="false">E18*C18</f>
        <v>13.5</v>
      </c>
    </row>
    <row r="19" customFormat="false" ht="15" hidden="false" customHeight="true" outlineLevel="0" collapsed="false">
      <c r="A19" s="0" t="n">
        <v>18</v>
      </c>
      <c r="B19" s="0" t="s">
        <v>396</v>
      </c>
      <c r="C19" s="32" t="n">
        <v>16</v>
      </c>
      <c r="D19" s="0" t="s">
        <v>379</v>
      </c>
      <c r="E19" s="32" t="n">
        <v>0.9</v>
      </c>
      <c r="F19" s="0" t="n">
        <f aca="false">E19*C19</f>
        <v>14.4</v>
      </c>
    </row>
    <row r="20" customFormat="false" ht="15" hidden="false" customHeight="true" outlineLevel="0" collapsed="false">
      <c r="A20" s="0" t="n">
        <v>19</v>
      </c>
      <c r="B20" s="0" t="s">
        <v>397</v>
      </c>
      <c r="C20" s="32" t="n">
        <v>26</v>
      </c>
      <c r="D20" s="0" t="s">
        <v>379</v>
      </c>
      <c r="E20" s="32" t="n">
        <v>0.9</v>
      </c>
      <c r="F20" s="0" t="n">
        <f aca="false">E20*C20</f>
        <v>23.4</v>
      </c>
    </row>
    <row r="21" customFormat="false" ht="15" hidden="false" customHeight="true" outlineLevel="0" collapsed="false">
      <c r="A21" s="0" t="n">
        <v>20</v>
      </c>
      <c r="B21" s="0" t="s">
        <v>398</v>
      </c>
      <c r="C21" s="32" t="n">
        <v>113</v>
      </c>
      <c r="D21" s="0" t="s">
        <v>379</v>
      </c>
      <c r="E21" s="32" t="n">
        <v>0.9</v>
      </c>
      <c r="F21" s="0" t="n">
        <f aca="false">E21*C21</f>
        <v>101.7</v>
      </c>
    </row>
    <row r="22" customFormat="false" ht="15" hidden="false" customHeight="true" outlineLevel="0" collapsed="false">
      <c r="A22" s="0" t="n">
        <v>21</v>
      </c>
      <c r="B22" s="0" t="s">
        <v>399</v>
      </c>
      <c r="C22" s="32" t="n">
        <v>22</v>
      </c>
      <c r="D22" s="0" t="s">
        <v>379</v>
      </c>
      <c r="E22" s="32" t="n">
        <v>0.9</v>
      </c>
      <c r="F22" s="0" t="n">
        <f aca="false">E22*C22</f>
        <v>19.8</v>
      </c>
    </row>
    <row r="23" customFormat="false" ht="15" hidden="false" customHeight="true" outlineLevel="0" collapsed="false">
      <c r="A23" s="0" t="n">
        <v>22</v>
      </c>
      <c r="B23" s="0" t="s">
        <v>400</v>
      </c>
      <c r="C23" s="32" t="n">
        <v>30</v>
      </c>
      <c r="D23" s="0" t="s">
        <v>379</v>
      </c>
      <c r="E23" s="32" t="n">
        <v>0.9</v>
      </c>
      <c r="F23" s="0" t="n">
        <f aca="false">E23*C23</f>
        <v>27</v>
      </c>
    </row>
    <row r="24" customFormat="false" ht="15" hidden="false" customHeight="true" outlineLevel="0" collapsed="false">
      <c r="A24" s="0" t="n">
        <v>23</v>
      </c>
      <c r="B24" s="0" t="s">
        <v>401</v>
      </c>
      <c r="C24" s="32" t="n">
        <v>20</v>
      </c>
      <c r="D24" s="0" t="s">
        <v>379</v>
      </c>
      <c r="E24" s="32" t="n">
        <v>0.9</v>
      </c>
      <c r="F24" s="0" t="n">
        <f aca="false">E24*C24</f>
        <v>18</v>
      </c>
    </row>
    <row r="25" customFormat="false" ht="15" hidden="false" customHeight="true" outlineLevel="0" collapsed="false">
      <c r="A25" s="0" t="n">
        <v>24</v>
      </c>
      <c r="B25" s="0" t="s">
        <v>402</v>
      </c>
      <c r="C25" s="32" t="n">
        <v>50</v>
      </c>
      <c r="D25" s="0" t="s">
        <v>379</v>
      </c>
      <c r="E25" s="32" t="n">
        <v>0.9</v>
      </c>
      <c r="F25" s="0" t="n">
        <f aca="false">E25*C25</f>
        <v>45</v>
      </c>
    </row>
    <row r="26" customFormat="false" ht="15" hidden="false" customHeight="true" outlineLevel="0" collapsed="false">
      <c r="A26" s="0" t="n">
        <v>25</v>
      </c>
      <c r="B26" s="0" t="s">
        <v>403</v>
      </c>
      <c r="C26" s="32" t="n">
        <v>100</v>
      </c>
      <c r="D26" s="0" t="s">
        <v>379</v>
      </c>
      <c r="E26" s="32" t="n">
        <v>0.9</v>
      </c>
      <c r="F26" s="0" t="n">
        <f aca="false">E26*C26</f>
        <v>90</v>
      </c>
    </row>
    <row r="27" customFormat="false" ht="15" hidden="false" customHeight="true" outlineLevel="0" collapsed="false">
      <c r="A27" s="0" t="n">
        <v>26</v>
      </c>
      <c r="B27" s="0" t="s">
        <v>404</v>
      </c>
      <c r="C27" s="32" t="n">
        <v>45</v>
      </c>
      <c r="D27" s="0" t="s">
        <v>379</v>
      </c>
      <c r="E27" s="32" t="n">
        <v>0.9</v>
      </c>
      <c r="F27" s="0" t="n">
        <f aca="false">E27*C27</f>
        <v>40.5</v>
      </c>
    </row>
    <row r="28" customFormat="false" ht="15" hidden="false" customHeight="true" outlineLevel="0" collapsed="false">
      <c r="A28" s="0" t="n">
        <v>27</v>
      </c>
      <c r="B28" s="0" t="s">
        <v>405</v>
      </c>
      <c r="C28" s="32" t="n">
        <v>4</v>
      </c>
      <c r="D28" s="0" t="s">
        <v>379</v>
      </c>
      <c r="E28" s="32" t="n">
        <v>0.9</v>
      </c>
      <c r="F28" s="0" t="n">
        <f aca="false">E28*C28</f>
        <v>3.6</v>
      </c>
    </row>
    <row r="29" customFormat="false" ht="15" hidden="false" customHeight="true" outlineLevel="0" collapsed="false">
      <c r="A29" s="0" t="n">
        <v>28</v>
      </c>
      <c r="B29" s="0" t="s">
        <v>406</v>
      </c>
      <c r="C29" s="32" t="n">
        <v>20</v>
      </c>
      <c r="D29" s="0" t="s">
        <v>379</v>
      </c>
      <c r="E29" s="32" t="n">
        <v>0.9</v>
      </c>
      <c r="F29" s="0" t="n">
        <f aca="false">E29*C29</f>
        <v>18</v>
      </c>
    </row>
    <row r="30" customFormat="false" ht="15" hidden="false" customHeight="true" outlineLevel="0" collapsed="false">
      <c r="A30" s="0" t="n">
        <v>29</v>
      </c>
      <c r="B30" s="0" t="s">
        <v>407</v>
      </c>
      <c r="C30" s="32" t="n">
        <v>12</v>
      </c>
      <c r="D30" s="0" t="s">
        <v>379</v>
      </c>
      <c r="E30" s="32" t="n">
        <v>0.9</v>
      </c>
      <c r="F30" s="0" t="n">
        <f aca="false">E30*C30</f>
        <v>10.8</v>
      </c>
    </row>
    <row r="31" customFormat="false" ht="15" hidden="false" customHeight="true" outlineLevel="0" collapsed="false">
      <c r="A31" s="0" t="n">
        <v>30</v>
      </c>
      <c r="B31" s="0" t="s">
        <v>408</v>
      </c>
      <c r="C31" s="32" t="n">
        <v>8</v>
      </c>
      <c r="D31" s="0" t="s">
        <v>379</v>
      </c>
      <c r="E31" s="32" t="n">
        <v>0.9</v>
      </c>
      <c r="F31" s="0" t="n">
        <f aca="false">E31*C31</f>
        <v>7.2</v>
      </c>
    </row>
    <row r="32" customFormat="false" ht="15" hidden="false" customHeight="true" outlineLevel="0" collapsed="false">
      <c r="A32" s="0" t="n">
        <v>31</v>
      </c>
      <c r="B32" s="0" t="s">
        <v>409</v>
      </c>
      <c r="C32" s="32" t="n">
        <v>130</v>
      </c>
      <c r="D32" s="0" t="s">
        <v>410</v>
      </c>
      <c r="E32" s="32" t="n">
        <v>0.1</v>
      </c>
      <c r="F32" s="0" t="n">
        <f aca="false">E32*C32</f>
        <v>13</v>
      </c>
    </row>
    <row r="33" customFormat="false" ht="15" hidden="false" customHeight="true" outlineLevel="0" collapsed="false">
      <c r="A33" s="0" t="n">
        <v>32</v>
      </c>
      <c r="B33" s="0" t="s">
        <v>411</v>
      </c>
      <c r="C33" s="32" t="n">
        <v>445</v>
      </c>
      <c r="D33" s="0" t="s">
        <v>410</v>
      </c>
      <c r="E33" s="32" t="n">
        <v>0.1</v>
      </c>
      <c r="F33" s="0" t="n">
        <f aca="false">E33*C33</f>
        <v>44.5</v>
      </c>
    </row>
    <row r="34" customFormat="false" ht="15" hidden="false" customHeight="true" outlineLevel="0" collapsed="false">
      <c r="A34" s="0" t="n">
        <v>33</v>
      </c>
      <c r="B34" s="0" t="s">
        <v>412</v>
      </c>
      <c r="C34" s="32" t="n">
        <v>66</v>
      </c>
      <c r="D34" s="0" t="s">
        <v>410</v>
      </c>
      <c r="E34" s="32" t="n">
        <v>0.1</v>
      </c>
      <c r="F34" s="0" t="n">
        <f aca="false">E34*C34</f>
        <v>6.6</v>
      </c>
    </row>
    <row r="35" customFormat="false" ht="15" hidden="false" customHeight="true" outlineLevel="0" collapsed="false">
      <c r="A35" s="0" t="n">
        <v>34</v>
      </c>
      <c r="B35" s="0" t="s">
        <v>413</v>
      </c>
      <c r="C35" s="32" t="n">
        <v>410</v>
      </c>
      <c r="D35" s="0" t="s">
        <v>410</v>
      </c>
      <c r="E35" s="32" t="n">
        <v>0.1</v>
      </c>
      <c r="F35" s="0" t="n">
        <f aca="false">E35*C35</f>
        <v>41</v>
      </c>
    </row>
    <row r="36" customFormat="false" ht="15" hidden="false" customHeight="true" outlineLevel="0" collapsed="false">
      <c r="A36" s="0" t="n">
        <v>35</v>
      </c>
      <c r="B36" s="0" t="s">
        <v>414</v>
      </c>
      <c r="C36" s="32" t="n">
        <v>255</v>
      </c>
      <c r="D36" s="0" t="s">
        <v>410</v>
      </c>
      <c r="E36" s="32" t="n">
        <v>0.1</v>
      </c>
      <c r="F36" s="0" t="n">
        <f aca="false">E36*C36</f>
        <v>25.5</v>
      </c>
    </row>
    <row r="37" customFormat="false" ht="14.25" hidden="false" customHeight="false" outlineLevel="0" collapsed="false">
      <c r="A37" s="0" t="n">
        <v>36</v>
      </c>
      <c r="B37" s="0" t="s">
        <v>415</v>
      </c>
      <c r="C37" s="40" t="n">
        <v>40</v>
      </c>
      <c r="D37" s="0" t="s">
        <v>379</v>
      </c>
      <c r="E37" s="40" t="n">
        <v>0.9</v>
      </c>
      <c r="F37" s="0" t="n">
        <f aca="false">E37*C37</f>
        <v>36</v>
      </c>
    </row>
    <row r="38" customFormat="false" ht="19.5" hidden="false" customHeight="true" outlineLevel="0" collapsed="false">
      <c r="A38" s="41" t="n">
        <v>37</v>
      </c>
      <c r="B38" s="0" t="s">
        <v>416</v>
      </c>
      <c r="C38" s="40" t="n">
        <v>40</v>
      </c>
      <c r="D38" s="0" t="s">
        <v>379</v>
      </c>
      <c r="E38" s="40" t="n">
        <v>0.9</v>
      </c>
      <c r="F38" s="0" t="n">
        <f aca="false">E38*C38</f>
        <v>36</v>
      </c>
    </row>
    <row r="39" customFormat="false" ht="30" hidden="false" customHeight="true" outlineLevel="0" collapsed="false">
      <c r="A39" s="42" t="n">
        <v>38</v>
      </c>
      <c r="B39" s="0" t="s">
        <v>417</v>
      </c>
      <c r="C39" s="40" t="n">
        <v>40</v>
      </c>
      <c r="D39" s="0" t="s">
        <v>379</v>
      </c>
      <c r="E39" s="40" t="n">
        <v>0.9</v>
      </c>
      <c r="F39" s="0" t="n">
        <f aca="false">E39*C39</f>
        <v>36</v>
      </c>
    </row>
    <row r="40" customFormat="false" ht="18" hidden="false" customHeight="true" outlineLevel="0" collapsed="false">
      <c r="A40" s="36" t="s">
        <v>418</v>
      </c>
    </row>
    <row r="41" customFormat="false" ht="18" hidden="false" customHeight="true" outlineLevel="0" collapsed="false">
      <c r="A41" s="36" t="s">
        <v>419</v>
      </c>
    </row>
    <row r="42" customFormat="false" ht="18" hidden="false" customHeight="true" outlineLevel="0" collapsed="false">
      <c r="A42" s="36" t="s">
        <v>420</v>
      </c>
    </row>
    <row r="43" customFormat="false" ht="18" hidden="false" customHeight="true" outlineLevel="0" collapsed="false">
      <c r="A43" s="36" t="s">
        <v>418</v>
      </c>
    </row>
    <row r="44" customFormat="false" ht="18" hidden="false" customHeight="true" outlineLevel="0" collapsed="false">
      <c r="A44" s="36" t="s">
        <v>421</v>
      </c>
    </row>
    <row r="45" customFormat="false" ht="18" hidden="false" customHeight="true" outlineLevel="0" collapsed="false">
      <c r="A45" s="36" t="s">
        <v>422</v>
      </c>
    </row>
    <row r="46" customFormat="false" ht="18" hidden="false" customHeight="true" outlineLevel="0" collapsed="false">
      <c r="A46" s="36" t="s">
        <v>423</v>
      </c>
    </row>
    <row r="47" customFormat="false" ht="14.25" hidden="false" customHeight="false" outlineLevel="0" collapsed="false">
      <c r="A47" s="0" t="s">
        <v>424</v>
      </c>
    </row>
    <row r="48" customFormat="false" ht="14.25" hidden="false" customHeight="false" outlineLevel="0" collapsed="false">
      <c r="A48" s="0" t="s">
        <v>425</v>
      </c>
    </row>
    <row r="49" customFormat="false" ht="14.25" hidden="false" customHeight="false" outlineLevel="0" collapsed="false">
      <c r="A49" s="0" t="s">
        <v>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false" showRowColHeaders="true" showZeros="true" rightToLeft="false" tabSelected="false" showOutlineSymbols="true" defaultGridColor="true" view="normal" topLeftCell="A133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5"/>
  </cols>
  <sheetData>
    <row r="1" customFormat="false" ht="79.5" hidden="false" customHeight="true" outlineLevel="0" collapsed="false">
      <c r="A1" s="31" t="s">
        <v>99</v>
      </c>
      <c r="B1" s="31" t="s">
        <v>100</v>
      </c>
      <c r="C1" s="31" t="s">
        <v>378</v>
      </c>
      <c r="D1" s="31" t="s">
        <v>380</v>
      </c>
      <c r="E1" s="31" t="s">
        <v>381</v>
      </c>
      <c r="F1" s="31" t="s">
        <v>382</v>
      </c>
      <c r="G1" s="31" t="s">
        <v>383</v>
      </c>
      <c r="H1" s="31" t="s">
        <v>384</v>
      </c>
      <c r="I1" s="31" t="s">
        <v>385</v>
      </c>
      <c r="J1" s="31" t="s">
        <v>386</v>
      </c>
      <c r="K1" s="31" t="s">
        <v>387</v>
      </c>
      <c r="L1" s="31" t="s">
        <v>388</v>
      </c>
      <c r="M1" s="31" t="s">
        <v>389</v>
      </c>
      <c r="N1" s="31" t="s">
        <v>390</v>
      </c>
      <c r="O1" s="31" t="s">
        <v>391</v>
      </c>
      <c r="P1" s="31" t="s">
        <v>392</v>
      </c>
      <c r="Q1" s="31" t="s">
        <v>393</v>
      </c>
      <c r="R1" s="31" t="s">
        <v>394</v>
      </c>
      <c r="S1" s="31" t="s">
        <v>395</v>
      </c>
      <c r="T1" s="31" t="s">
        <v>396</v>
      </c>
      <c r="U1" s="31" t="s">
        <v>397</v>
      </c>
      <c r="V1" s="31" t="s">
        <v>398</v>
      </c>
      <c r="W1" s="31" t="s">
        <v>399</v>
      </c>
      <c r="X1" s="31" t="s">
        <v>400</v>
      </c>
      <c r="Y1" s="31" t="s">
        <v>401</v>
      </c>
      <c r="Z1" s="31" t="s">
        <v>402</v>
      </c>
      <c r="AA1" s="31" t="s">
        <v>403</v>
      </c>
      <c r="AB1" s="31" t="s">
        <v>404</v>
      </c>
      <c r="AC1" s="31" t="s">
        <v>405</v>
      </c>
      <c r="AD1" s="31" t="s">
        <v>406</v>
      </c>
      <c r="AE1" s="31" t="s">
        <v>407</v>
      </c>
      <c r="AF1" s="31" t="s">
        <v>408</v>
      </c>
      <c r="AG1" s="31" t="s">
        <v>409</v>
      </c>
      <c r="AH1" s="31" t="s">
        <v>411</v>
      </c>
      <c r="AI1" s="31" t="s">
        <v>412</v>
      </c>
      <c r="AJ1" s="31" t="s">
        <v>413</v>
      </c>
      <c r="AK1" s="31" t="s">
        <v>414</v>
      </c>
      <c r="AL1" s="43" t="s">
        <v>415</v>
      </c>
      <c r="AM1" s="43" t="s">
        <v>416</v>
      </c>
      <c r="AN1" s="43" t="s">
        <v>417</v>
      </c>
    </row>
    <row r="2" customFormat="false" ht="15" hidden="false" customHeight="true" outlineLevel="0" collapsed="false">
      <c r="A2" s="0" t="s">
        <v>102</v>
      </c>
      <c r="B2" s="0" t="s">
        <v>103</v>
      </c>
      <c r="C2" s="0" t="n">
        <v>35.97</v>
      </c>
      <c r="D2" s="0" t="n">
        <v>5.1</v>
      </c>
      <c r="E2" s="0" t="n">
        <v>4.81</v>
      </c>
      <c r="F2" s="0" t="n">
        <v>3.64</v>
      </c>
      <c r="G2" s="0" t="n">
        <v>3.15</v>
      </c>
      <c r="H2" s="0" t="n">
        <v>3.6</v>
      </c>
      <c r="I2" s="0" t="n">
        <v>2.4</v>
      </c>
      <c r="J2" s="0" t="n">
        <v>3.11</v>
      </c>
      <c r="K2" s="0" t="n">
        <v>1.59</v>
      </c>
      <c r="L2" s="0" t="n">
        <v>1.76</v>
      </c>
      <c r="M2" s="0" t="n">
        <v>4.04</v>
      </c>
      <c r="N2" s="0" t="n">
        <v>4.02</v>
      </c>
      <c r="O2" s="0" t="n">
        <v>1.79</v>
      </c>
      <c r="P2" s="0" t="n">
        <v>2.3</v>
      </c>
      <c r="Q2" s="0" t="n">
        <v>2.09</v>
      </c>
      <c r="R2" s="0" t="n">
        <v>2.59</v>
      </c>
      <c r="S2" s="0" t="n">
        <v>2.51</v>
      </c>
      <c r="T2" s="0" t="n">
        <v>40.31</v>
      </c>
      <c r="U2" s="0" t="n">
        <v>51.97</v>
      </c>
      <c r="V2" s="0" t="n">
        <v>74.38</v>
      </c>
      <c r="W2" s="0" t="n">
        <v>76.07</v>
      </c>
      <c r="X2" s="0" t="n">
        <v>74.71</v>
      </c>
      <c r="Y2" s="0" t="n">
        <v>74.73</v>
      </c>
      <c r="Z2" s="0" t="n">
        <v>75.02</v>
      </c>
      <c r="AA2" s="0" t="n">
        <v>74.5</v>
      </c>
      <c r="AB2" s="0" t="n">
        <v>73.27</v>
      </c>
      <c r="AC2" s="0" t="n">
        <v>122.1</v>
      </c>
      <c r="AD2" s="0" t="n">
        <v>122.53</v>
      </c>
      <c r="AE2" s="0" t="n">
        <v>123.35</v>
      </c>
      <c r="AF2" s="0" t="n">
        <v>123.45</v>
      </c>
      <c r="AG2" s="0" t="n">
        <v>90.51</v>
      </c>
      <c r="AH2" s="0" t="n">
        <v>3.28</v>
      </c>
      <c r="AI2" s="0" t="n">
        <v>41.23</v>
      </c>
      <c r="AJ2" s="0" t="n">
        <v>75.56</v>
      </c>
      <c r="AK2" s="0" t="n">
        <v>127.92</v>
      </c>
      <c r="AL2" s="0" t="n">
        <v>123.4</v>
      </c>
      <c r="AM2" s="0" t="n">
        <v>37.6</v>
      </c>
      <c r="AN2" s="0" t="n">
        <v>138.1</v>
      </c>
    </row>
    <row r="3" customFormat="false" ht="15" hidden="false" customHeight="true" outlineLevel="0" collapsed="false">
      <c r="A3" s="0" t="s">
        <v>104</v>
      </c>
      <c r="B3" s="0" t="s">
        <v>105</v>
      </c>
      <c r="C3" s="0" t="n">
        <v>70.38</v>
      </c>
      <c r="D3" s="0" t="n">
        <v>40.1</v>
      </c>
      <c r="E3" s="0" t="n">
        <v>39.81</v>
      </c>
      <c r="F3" s="0" t="n">
        <v>39.54</v>
      </c>
      <c r="G3" s="0" t="n">
        <v>39.82</v>
      </c>
      <c r="H3" s="0" t="n">
        <v>37.56</v>
      </c>
      <c r="I3" s="0" t="n">
        <v>37.76</v>
      </c>
      <c r="J3" s="0" t="n">
        <v>38.47</v>
      </c>
      <c r="K3" s="0" t="n">
        <v>39.19</v>
      </c>
      <c r="L3" s="0" t="n">
        <v>37.74</v>
      </c>
      <c r="M3" s="0" t="n">
        <v>36.53</v>
      </c>
      <c r="N3" s="0" t="n">
        <v>38.3</v>
      </c>
      <c r="O3" s="0" t="n">
        <v>38.13</v>
      </c>
      <c r="P3" s="0" t="n">
        <v>37.76</v>
      </c>
      <c r="Q3" s="0" t="n">
        <v>37.66</v>
      </c>
      <c r="R3" s="0" t="n">
        <v>37.86</v>
      </c>
      <c r="S3" s="0" t="n">
        <v>38.45</v>
      </c>
      <c r="T3" s="0" t="n">
        <v>43.72</v>
      </c>
      <c r="U3" s="0" t="n">
        <v>43.98</v>
      </c>
      <c r="V3" s="0" t="n">
        <v>69.82</v>
      </c>
      <c r="W3" s="0" t="n">
        <v>68.08</v>
      </c>
      <c r="X3" s="0" t="n">
        <v>66.72</v>
      </c>
      <c r="Y3" s="0" t="n">
        <v>66.73</v>
      </c>
      <c r="Z3" s="0" t="n">
        <v>67.02</v>
      </c>
      <c r="AA3" s="0" t="n">
        <v>66.51</v>
      </c>
      <c r="AB3" s="0" t="n">
        <v>65.28</v>
      </c>
      <c r="AC3" s="0" t="n">
        <v>94.33</v>
      </c>
      <c r="AD3" s="0" t="n">
        <v>94.77</v>
      </c>
      <c r="AE3" s="0" t="n">
        <v>95.59</v>
      </c>
      <c r="AF3" s="0" t="n">
        <v>95.68</v>
      </c>
      <c r="AG3" s="0" t="n">
        <v>125.5</v>
      </c>
      <c r="AH3" s="0" t="n">
        <v>36.91</v>
      </c>
      <c r="AI3" s="0" t="n">
        <v>44.64</v>
      </c>
      <c r="AJ3" s="0" t="n">
        <v>67.56</v>
      </c>
      <c r="AK3" s="0" t="n">
        <v>100.15</v>
      </c>
      <c r="AL3" s="0" t="n">
        <v>95.6</v>
      </c>
      <c r="AM3" s="0" t="n">
        <v>71.3</v>
      </c>
      <c r="AN3" s="0" t="n">
        <v>173.1</v>
      </c>
    </row>
    <row r="4" customFormat="false" ht="15" hidden="false" customHeight="true" outlineLevel="0" collapsed="false">
      <c r="A4" s="0" t="s">
        <v>106</v>
      </c>
      <c r="B4" s="0" t="s">
        <v>107</v>
      </c>
      <c r="C4" s="0" t="n">
        <v>94.92</v>
      </c>
      <c r="D4" s="0" t="n">
        <v>64.05</v>
      </c>
      <c r="E4" s="0" t="n">
        <v>63.77</v>
      </c>
      <c r="F4" s="0" t="n">
        <v>63.49</v>
      </c>
      <c r="G4" s="0" t="n">
        <v>63.78</v>
      </c>
      <c r="H4" s="0" t="n">
        <v>61.52</v>
      </c>
      <c r="I4" s="0" t="n">
        <v>61.72</v>
      </c>
      <c r="J4" s="0" t="n">
        <v>62.43</v>
      </c>
      <c r="K4" s="0" t="n">
        <v>63.15</v>
      </c>
      <c r="L4" s="0" t="n">
        <v>61.7</v>
      </c>
      <c r="M4" s="0" t="n">
        <v>60.49</v>
      </c>
      <c r="N4" s="0" t="n">
        <v>62.25</v>
      </c>
      <c r="O4" s="0" t="n">
        <v>62.09</v>
      </c>
      <c r="P4" s="0" t="n">
        <v>61.72</v>
      </c>
      <c r="Q4" s="0" t="n">
        <v>61.62</v>
      </c>
      <c r="R4" s="0" t="n">
        <v>61.81</v>
      </c>
      <c r="S4" s="0" t="n">
        <v>62.4</v>
      </c>
      <c r="T4" s="0" t="n">
        <v>71.86</v>
      </c>
      <c r="U4" s="0" t="n">
        <v>72.12</v>
      </c>
      <c r="V4" s="0" t="n">
        <v>97.96</v>
      </c>
      <c r="W4" s="0" t="n">
        <v>96.23</v>
      </c>
      <c r="X4" s="0" t="n">
        <v>94.86</v>
      </c>
      <c r="Y4" s="0" t="n">
        <v>94.88</v>
      </c>
      <c r="Z4" s="0" t="n">
        <v>95.17</v>
      </c>
      <c r="AA4" s="0" t="n">
        <v>94.65</v>
      </c>
      <c r="AB4" s="0" t="n">
        <v>93.43</v>
      </c>
      <c r="AC4" s="0" t="n">
        <v>58.94</v>
      </c>
      <c r="AD4" s="0" t="n">
        <v>59.37</v>
      </c>
      <c r="AE4" s="0" t="n">
        <v>60.19</v>
      </c>
      <c r="AF4" s="0" t="n">
        <v>60.28</v>
      </c>
      <c r="AG4" s="0" t="n">
        <v>149.46</v>
      </c>
      <c r="AH4" s="0" t="n">
        <v>60.87</v>
      </c>
      <c r="AI4" s="0" t="n">
        <v>72.79</v>
      </c>
      <c r="AJ4" s="0" t="n">
        <v>95.71</v>
      </c>
      <c r="AK4" s="0" t="n">
        <v>64.75</v>
      </c>
      <c r="AL4" s="0" t="n">
        <v>60.2</v>
      </c>
      <c r="AM4" s="0" t="n">
        <v>96.6</v>
      </c>
      <c r="AN4" s="0" t="n">
        <v>197.1</v>
      </c>
    </row>
    <row r="5" customFormat="false" ht="15" hidden="false" customHeight="true" outlineLevel="0" collapsed="false">
      <c r="A5" s="0" t="s">
        <v>108</v>
      </c>
      <c r="B5" s="0" t="s">
        <v>109</v>
      </c>
      <c r="C5" s="0" t="n">
        <v>89.69</v>
      </c>
      <c r="D5" s="0" t="n">
        <v>58.82</v>
      </c>
      <c r="E5" s="0" t="n">
        <v>58.53</v>
      </c>
      <c r="F5" s="0" t="n">
        <v>58.26</v>
      </c>
      <c r="G5" s="0" t="n">
        <v>58.54</v>
      </c>
      <c r="H5" s="0" t="n">
        <v>56.28</v>
      </c>
      <c r="I5" s="0" t="n">
        <v>56.49</v>
      </c>
      <c r="J5" s="0" t="n">
        <v>57.19</v>
      </c>
      <c r="K5" s="0" t="n">
        <v>57.91</v>
      </c>
      <c r="L5" s="0" t="n">
        <v>56.46</v>
      </c>
      <c r="M5" s="0" t="n">
        <v>55.25</v>
      </c>
      <c r="N5" s="0" t="n">
        <v>57.02</v>
      </c>
      <c r="O5" s="0" t="n">
        <v>56.85</v>
      </c>
      <c r="P5" s="0" t="n">
        <v>56.48</v>
      </c>
      <c r="Q5" s="0" t="n">
        <v>56.38</v>
      </c>
      <c r="R5" s="0" t="n">
        <v>56.58</v>
      </c>
      <c r="S5" s="0" t="n">
        <v>57.17</v>
      </c>
      <c r="T5" s="0" t="n">
        <v>67.64</v>
      </c>
      <c r="U5" s="0" t="n">
        <v>67.9</v>
      </c>
      <c r="V5" s="0" t="n">
        <v>93.74</v>
      </c>
      <c r="W5" s="0" t="n">
        <v>92</v>
      </c>
      <c r="X5" s="0" t="n">
        <v>90.64</v>
      </c>
      <c r="Y5" s="0" t="n">
        <v>90.65</v>
      </c>
      <c r="Z5" s="0" t="n">
        <v>90.94</v>
      </c>
      <c r="AA5" s="0" t="n">
        <v>90.43</v>
      </c>
      <c r="AB5" s="0" t="n">
        <v>89.2</v>
      </c>
      <c r="AC5" s="0" t="n">
        <v>79.45</v>
      </c>
      <c r="AD5" s="0" t="n">
        <v>79.88</v>
      </c>
      <c r="AE5" s="0" t="n">
        <v>80.7</v>
      </c>
      <c r="AF5" s="0" t="n">
        <v>80.79</v>
      </c>
      <c r="AG5" s="0" t="n">
        <v>144.22</v>
      </c>
      <c r="AH5" s="0" t="n">
        <v>55.64</v>
      </c>
      <c r="AI5" s="0" t="n">
        <v>68.56</v>
      </c>
      <c r="AJ5" s="0" t="n">
        <v>91.48</v>
      </c>
      <c r="AK5" s="0" t="n">
        <v>85.26</v>
      </c>
      <c r="AL5" s="0" t="n">
        <v>80.7</v>
      </c>
      <c r="AM5" s="0" t="n">
        <v>91.3</v>
      </c>
      <c r="AN5" s="0" t="n">
        <v>191.8</v>
      </c>
    </row>
    <row r="6" customFormat="false" ht="15" hidden="false" customHeight="true" outlineLevel="0" collapsed="false">
      <c r="A6" s="0" t="s">
        <v>110</v>
      </c>
      <c r="B6" s="0" t="s">
        <v>111</v>
      </c>
      <c r="C6" s="0" t="n">
        <v>27.67</v>
      </c>
      <c r="D6" s="0" t="n">
        <v>21.84</v>
      </c>
      <c r="E6" s="0" t="n">
        <v>23.24</v>
      </c>
      <c r="F6" s="0" t="n">
        <v>22.97</v>
      </c>
      <c r="G6" s="0" t="n">
        <v>23.88</v>
      </c>
      <c r="H6" s="0" t="n">
        <v>20.99</v>
      </c>
      <c r="I6" s="0" t="n">
        <v>22.86</v>
      </c>
      <c r="J6" s="0" t="n">
        <v>23.39</v>
      </c>
      <c r="K6" s="0" t="n">
        <v>23.58</v>
      </c>
      <c r="L6" s="0" t="n">
        <v>22.83</v>
      </c>
      <c r="M6" s="0" t="n">
        <v>21.74</v>
      </c>
      <c r="N6" s="0" t="n">
        <v>22.94</v>
      </c>
      <c r="O6" s="0" t="n">
        <v>23.22</v>
      </c>
      <c r="P6" s="0" t="n">
        <v>23.31</v>
      </c>
      <c r="Q6" s="0" t="n">
        <v>23.65</v>
      </c>
      <c r="R6" s="0" t="n">
        <v>23.78</v>
      </c>
      <c r="S6" s="0" t="n">
        <v>24.06</v>
      </c>
      <c r="T6" s="0" t="n">
        <v>41.27</v>
      </c>
      <c r="U6" s="0" t="n">
        <v>69.26</v>
      </c>
      <c r="V6" s="0" t="n">
        <v>75.34</v>
      </c>
      <c r="W6" s="0" t="n">
        <v>77.5</v>
      </c>
      <c r="X6" s="0" t="n">
        <v>77.61</v>
      </c>
      <c r="Y6" s="0" t="n">
        <v>77.63</v>
      </c>
      <c r="Z6" s="0" t="n">
        <v>77.92</v>
      </c>
      <c r="AA6" s="0" t="n">
        <v>79.37</v>
      </c>
      <c r="AB6" s="0" t="n">
        <v>80.1</v>
      </c>
      <c r="AC6" s="0" t="n">
        <v>139.39</v>
      </c>
      <c r="AD6" s="0" t="n">
        <v>139.83</v>
      </c>
      <c r="AE6" s="0" t="n">
        <v>140.64</v>
      </c>
      <c r="AF6" s="0" t="n">
        <v>140.74</v>
      </c>
      <c r="AG6" s="0" t="n">
        <v>89.36</v>
      </c>
      <c r="AH6" s="0" t="n">
        <v>24.84</v>
      </c>
      <c r="AI6" s="0" t="n">
        <v>40.88</v>
      </c>
      <c r="AJ6" s="0" t="n">
        <v>78.46</v>
      </c>
      <c r="AK6" s="0" t="n">
        <v>145.21</v>
      </c>
      <c r="AL6" s="0" t="n">
        <v>140.7</v>
      </c>
      <c r="AM6" s="0" t="n">
        <v>28.6</v>
      </c>
      <c r="AN6" s="0" t="n">
        <v>134</v>
      </c>
    </row>
    <row r="7" customFormat="false" ht="15" hidden="false" customHeight="true" outlineLevel="0" collapsed="false">
      <c r="A7" s="0" t="s">
        <v>112</v>
      </c>
      <c r="B7" s="0" t="s">
        <v>113</v>
      </c>
      <c r="C7" s="0" t="n">
        <v>22.8</v>
      </c>
      <c r="D7" s="0" t="n">
        <v>14.52</v>
      </c>
      <c r="E7" s="0" t="n">
        <v>16.08</v>
      </c>
      <c r="F7" s="0" t="n">
        <v>16.19</v>
      </c>
      <c r="G7" s="0" t="n">
        <v>16.72</v>
      </c>
      <c r="H7" s="0" t="n">
        <v>17.37</v>
      </c>
      <c r="I7" s="0" t="n">
        <v>17.5</v>
      </c>
      <c r="J7" s="0" t="n">
        <v>17.81</v>
      </c>
      <c r="K7" s="0" t="n">
        <v>18</v>
      </c>
      <c r="L7" s="0" t="n">
        <v>18.08</v>
      </c>
      <c r="M7" s="0" t="n">
        <v>18.11</v>
      </c>
      <c r="N7" s="0" t="n">
        <v>18.4</v>
      </c>
      <c r="O7" s="0" t="n">
        <v>18.46</v>
      </c>
      <c r="P7" s="0" t="n">
        <v>18.56</v>
      </c>
      <c r="Q7" s="0" t="n">
        <v>18.89</v>
      </c>
      <c r="R7" s="0" t="n">
        <v>19.02</v>
      </c>
      <c r="S7" s="0" t="n">
        <v>19.3</v>
      </c>
      <c r="T7" s="0" t="n">
        <v>44.14</v>
      </c>
      <c r="U7" s="0" t="n">
        <v>66.78</v>
      </c>
      <c r="V7" s="0" t="n">
        <v>78.22</v>
      </c>
      <c r="W7" s="0" t="n">
        <v>80.38</v>
      </c>
      <c r="X7" s="0" t="n">
        <v>80.49</v>
      </c>
      <c r="Y7" s="0" t="n">
        <v>80.51</v>
      </c>
      <c r="Z7" s="0" t="n">
        <v>80.8</v>
      </c>
      <c r="AA7" s="0" t="n">
        <v>82.25</v>
      </c>
      <c r="AB7" s="0" t="n">
        <v>82.97</v>
      </c>
      <c r="AC7" s="0" t="n">
        <v>136.91</v>
      </c>
      <c r="AD7" s="0" t="n">
        <v>137.34</v>
      </c>
      <c r="AE7" s="0" t="n">
        <v>138.16</v>
      </c>
      <c r="AF7" s="0" t="n">
        <v>138.26</v>
      </c>
      <c r="AG7" s="0" t="n">
        <v>77.34</v>
      </c>
      <c r="AH7" s="0" t="n">
        <v>20.08</v>
      </c>
      <c r="AI7" s="0" t="n">
        <v>45.07</v>
      </c>
      <c r="AJ7" s="0" t="n">
        <v>81.34</v>
      </c>
      <c r="AK7" s="0" t="n">
        <v>142.72</v>
      </c>
      <c r="AL7" s="0" t="n">
        <v>138.2</v>
      </c>
      <c r="AM7" s="0" t="n">
        <v>24.4</v>
      </c>
      <c r="AN7" s="0" t="n">
        <v>124.9</v>
      </c>
    </row>
    <row r="8" customFormat="false" ht="15" hidden="false" customHeight="true" outlineLevel="0" collapsed="false">
      <c r="A8" s="0" t="s">
        <v>114</v>
      </c>
      <c r="B8" s="0" t="s">
        <v>115</v>
      </c>
      <c r="C8" s="0" t="n">
        <v>32.58</v>
      </c>
      <c r="D8" s="0" t="n">
        <v>13.32</v>
      </c>
      <c r="E8" s="0" t="n">
        <v>14.88</v>
      </c>
      <c r="F8" s="0" t="n">
        <v>14.99</v>
      </c>
      <c r="G8" s="0" t="n">
        <v>15.52</v>
      </c>
      <c r="H8" s="0" t="n">
        <v>16.17</v>
      </c>
      <c r="I8" s="0" t="n">
        <v>16.3</v>
      </c>
      <c r="J8" s="0" t="n">
        <v>16.61</v>
      </c>
      <c r="K8" s="0" t="n">
        <v>16.8</v>
      </c>
      <c r="L8" s="0" t="n">
        <v>16.88</v>
      </c>
      <c r="M8" s="0" t="n">
        <v>16.91</v>
      </c>
      <c r="N8" s="0" t="n">
        <v>17.2</v>
      </c>
      <c r="O8" s="0" t="n">
        <v>17.27</v>
      </c>
      <c r="P8" s="0" t="n">
        <v>17.36</v>
      </c>
      <c r="Q8" s="0" t="n">
        <v>17.7</v>
      </c>
      <c r="R8" s="0" t="n">
        <v>17.82</v>
      </c>
      <c r="S8" s="0" t="n">
        <v>18.11</v>
      </c>
      <c r="T8" s="0" t="n">
        <v>45.8</v>
      </c>
      <c r="U8" s="0" t="n">
        <v>65.58</v>
      </c>
      <c r="V8" s="0" t="n">
        <v>79.88</v>
      </c>
      <c r="W8" s="0" t="n">
        <v>82.04</v>
      </c>
      <c r="X8" s="0" t="n">
        <v>82.15</v>
      </c>
      <c r="Y8" s="0" t="n">
        <v>82.16</v>
      </c>
      <c r="Z8" s="0" t="n">
        <v>82.45</v>
      </c>
      <c r="AA8" s="0" t="n">
        <v>83.91</v>
      </c>
      <c r="AB8" s="0" t="n">
        <v>84.63</v>
      </c>
      <c r="AC8" s="0" t="n">
        <v>135.71</v>
      </c>
      <c r="AD8" s="0" t="n">
        <v>136.15</v>
      </c>
      <c r="AE8" s="0" t="n">
        <v>136.96</v>
      </c>
      <c r="AF8" s="0" t="n">
        <v>137.06</v>
      </c>
      <c r="AG8" s="0" t="n">
        <v>86.35</v>
      </c>
      <c r="AH8" s="0" t="n">
        <v>18.88</v>
      </c>
      <c r="AI8" s="0" t="n">
        <v>46.73</v>
      </c>
      <c r="AJ8" s="0" t="n">
        <v>82.99</v>
      </c>
      <c r="AK8" s="0" t="n">
        <v>141.53</v>
      </c>
      <c r="AL8" s="0" t="n">
        <v>137</v>
      </c>
      <c r="AM8" s="0" t="n">
        <v>34.2</v>
      </c>
      <c r="AN8" s="0" t="n">
        <v>134.7</v>
      </c>
    </row>
    <row r="9" customFormat="false" ht="15" hidden="false" customHeight="true" outlineLevel="0" collapsed="false">
      <c r="A9" s="0" t="s">
        <v>116</v>
      </c>
      <c r="B9" s="0" t="s">
        <v>117</v>
      </c>
      <c r="C9" s="0" t="n">
        <v>51.13</v>
      </c>
      <c r="D9" s="0" t="n">
        <v>20.26</v>
      </c>
      <c r="E9" s="0" t="n">
        <v>19.97</v>
      </c>
      <c r="F9" s="0" t="n">
        <v>19.7</v>
      </c>
      <c r="G9" s="0" t="n">
        <v>19.98</v>
      </c>
      <c r="H9" s="0" t="n">
        <v>17.72</v>
      </c>
      <c r="I9" s="0" t="n">
        <v>17.93</v>
      </c>
      <c r="J9" s="0" t="n">
        <v>18.63</v>
      </c>
      <c r="K9" s="0" t="n">
        <v>19.35</v>
      </c>
      <c r="L9" s="0" t="n">
        <v>17.9</v>
      </c>
      <c r="M9" s="0" t="n">
        <v>16.69</v>
      </c>
      <c r="N9" s="0" t="n">
        <v>18.46</v>
      </c>
      <c r="O9" s="0" t="n">
        <v>18.29</v>
      </c>
      <c r="P9" s="0" t="n">
        <v>17.92</v>
      </c>
      <c r="Q9" s="0" t="n">
        <v>17.82</v>
      </c>
      <c r="R9" s="0" t="n">
        <v>18.02</v>
      </c>
      <c r="S9" s="0" t="n">
        <v>18.61</v>
      </c>
      <c r="T9" s="0" t="n">
        <v>46.35</v>
      </c>
      <c r="U9" s="0" t="n">
        <v>44.33</v>
      </c>
      <c r="V9" s="0" t="n">
        <v>70.17</v>
      </c>
      <c r="W9" s="0" t="n">
        <v>68.43</v>
      </c>
      <c r="X9" s="0" t="n">
        <v>67.07</v>
      </c>
      <c r="Y9" s="0" t="n">
        <v>67.08</v>
      </c>
      <c r="Z9" s="0" t="n">
        <v>67.37</v>
      </c>
      <c r="AA9" s="0" t="n">
        <v>66.86</v>
      </c>
      <c r="AB9" s="0" t="n">
        <v>65.63</v>
      </c>
      <c r="AC9" s="0" t="n">
        <v>107.46</v>
      </c>
      <c r="AD9" s="0" t="n">
        <v>107.9</v>
      </c>
      <c r="AE9" s="0" t="n">
        <v>108.72</v>
      </c>
      <c r="AF9" s="0" t="n">
        <v>108.81</v>
      </c>
      <c r="AG9" s="0" t="n">
        <v>105.66</v>
      </c>
      <c r="AH9" s="0" t="n">
        <v>17.08</v>
      </c>
      <c r="AI9" s="0" t="n">
        <v>47.27</v>
      </c>
      <c r="AJ9" s="0" t="n">
        <v>67.91</v>
      </c>
      <c r="AK9" s="0" t="n">
        <v>113.28</v>
      </c>
      <c r="AL9" s="0" t="n">
        <v>108.8</v>
      </c>
      <c r="AM9" s="0" t="n">
        <v>52.8</v>
      </c>
      <c r="AN9" s="0" t="n">
        <v>153.3</v>
      </c>
    </row>
    <row r="10" customFormat="false" ht="15" hidden="false" customHeight="true" outlineLevel="0" collapsed="false">
      <c r="A10" s="0" t="s">
        <v>118</v>
      </c>
      <c r="B10" s="0" t="s">
        <v>119</v>
      </c>
      <c r="C10" s="0" t="n">
        <v>38.17</v>
      </c>
      <c r="D10" s="0" t="n">
        <v>12.27</v>
      </c>
      <c r="E10" s="0" t="n">
        <v>13.66</v>
      </c>
      <c r="F10" s="0" t="n">
        <v>13.39</v>
      </c>
      <c r="G10" s="0" t="n">
        <v>14.3</v>
      </c>
      <c r="H10" s="0" t="n">
        <v>11.42</v>
      </c>
      <c r="I10" s="0" t="n">
        <v>13.28</v>
      </c>
      <c r="J10" s="0" t="n">
        <v>13.81</v>
      </c>
      <c r="K10" s="0" t="n">
        <v>14</v>
      </c>
      <c r="L10" s="0" t="n">
        <v>13.26</v>
      </c>
      <c r="M10" s="0" t="n">
        <v>12.16</v>
      </c>
      <c r="N10" s="0" t="n">
        <v>13.36</v>
      </c>
      <c r="O10" s="0" t="n">
        <v>13.64</v>
      </c>
      <c r="P10" s="0" t="n">
        <v>13.74</v>
      </c>
      <c r="Q10" s="0" t="n">
        <v>14.07</v>
      </c>
      <c r="R10" s="0" t="n">
        <v>14.2</v>
      </c>
      <c r="S10" s="0" t="n">
        <v>14.48</v>
      </c>
      <c r="T10" s="0" t="n">
        <v>30.33</v>
      </c>
      <c r="U10" s="0" t="n">
        <v>59.69</v>
      </c>
      <c r="V10" s="0" t="n">
        <v>64.4</v>
      </c>
      <c r="W10" s="0" t="n">
        <v>66.56</v>
      </c>
      <c r="X10" s="0" t="n">
        <v>66.67</v>
      </c>
      <c r="Y10" s="0" t="n">
        <v>66.69</v>
      </c>
      <c r="Z10" s="0" t="n">
        <v>66.98</v>
      </c>
      <c r="AA10" s="0" t="n">
        <v>68.43</v>
      </c>
      <c r="AB10" s="0" t="n">
        <v>69.16</v>
      </c>
      <c r="AC10" s="0" t="n">
        <v>129.81</v>
      </c>
      <c r="AD10" s="0" t="n">
        <v>130.25</v>
      </c>
      <c r="AE10" s="0" t="n">
        <v>131.07</v>
      </c>
      <c r="AF10" s="0" t="n">
        <v>131.16</v>
      </c>
      <c r="AG10" s="0" t="n">
        <v>92.7</v>
      </c>
      <c r="AH10" s="0" t="n">
        <v>15.26</v>
      </c>
      <c r="AI10" s="0" t="n">
        <v>31.25</v>
      </c>
      <c r="AJ10" s="0" t="n">
        <v>67.52</v>
      </c>
      <c r="AK10" s="0" t="n">
        <v>135.63</v>
      </c>
      <c r="AL10" s="0" t="n">
        <v>131.1</v>
      </c>
      <c r="AM10" s="0" t="n">
        <v>39.8</v>
      </c>
      <c r="AN10" s="0" t="n">
        <v>140.3</v>
      </c>
    </row>
    <row r="11" customFormat="false" ht="15" hidden="false" customHeight="true" outlineLevel="0" collapsed="false">
      <c r="A11" s="0" t="s">
        <v>120</v>
      </c>
      <c r="B11" s="0" t="s">
        <v>121</v>
      </c>
      <c r="C11" s="0" t="n">
        <v>63</v>
      </c>
      <c r="D11" s="0" t="n">
        <v>27</v>
      </c>
      <c r="E11" s="0" t="n">
        <v>27</v>
      </c>
      <c r="F11" s="0" t="n">
        <v>26</v>
      </c>
      <c r="G11" s="0" t="n">
        <v>24</v>
      </c>
      <c r="H11" s="0" t="n">
        <v>26</v>
      </c>
      <c r="I11" s="0" t="n">
        <v>23</v>
      </c>
      <c r="J11" s="0" t="n">
        <v>24</v>
      </c>
      <c r="K11" s="0" t="n">
        <v>24</v>
      </c>
      <c r="L11" s="0" t="n">
        <v>22</v>
      </c>
      <c r="M11" s="0" t="n">
        <v>27</v>
      </c>
      <c r="N11" s="0" t="n">
        <v>24</v>
      </c>
      <c r="O11" s="0" t="n">
        <v>23</v>
      </c>
      <c r="P11" s="0" t="n">
        <v>22</v>
      </c>
      <c r="Q11" s="0" t="n">
        <v>21</v>
      </c>
      <c r="R11" s="0" t="n">
        <v>22</v>
      </c>
      <c r="S11" s="0" t="n">
        <v>22</v>
      </c>
      <c r="T11" s="0" t="n">
        <v>66</v>
      </c>
      <c r="U11" s="0" t="n">
        <v>81</v>
      </c>
      <c r="V11" s="0" t="n">
        <v>112</v>
      </c>
      <c r="W11" s="0" t="n">
        <v>115</v>
      </c>
      <c r="X11" s="0" t="n">
        <v>113</v>
      </c>
      <c r="Y11" s="0" t="n">
        <v>114</v>
      </c>
      <c r="Z11" s="0" t="n">
        <v>116</v>
      </c>
      <c r="AA11" s="0" t="n">
        <v>116</v>
      </c>
      <c r="AB11" s="0" t="n">
        <v>117</v>
      </c>
      <c r="AC11" s="0" t="n">
        <v>135</v>
      </c>
      <c r="AD11" s="0" t="n">
        <v>135</v>
      </c>
      <c r="AE11" s="0" t="n">
        <v>137</v>
      </c>
      <c r="AF11" s="0" t="n">
        <v>138</v>
      </c>
      <c r="AG11" s="0" t="n">
        <v>122</v>
      </c>
      <c r="AH11" s="0" t="n">
        <v>21</v>
      </c>
      <c r="AI11" s="0" t="n">
        <v>66</v>
      </c>
      <c r="AJ11" s="0" t="n">
        <v>115</v>
      </c>
      <c r="AK11" s="0" t="n">
        <v>150</v>
      </c>
      <c r="AL11" s="0" t="n">
        <v>140</v>
      </c>
      <c r="AM11" s="0" t="n">
        <v>62</v>
      </c>
      <c r="AN11" s="0" t="n">
        <v>165</v>
      </c>
    </row>
    <row r="12" customFormat="false" ht="15" hidden="false" customHeight="true" outlineLevel="0" collapsed="false">
      <c r="A12" s="0" t="s">
        <v>122</v>
      </c>
      <c r="B12" s="0" t="s">
        <v>123</v>
      </c>
      <c r="C12" s="0" t="n">
        <v>137.12</v>
      </c>
      <c r="D12" s="0" t="n">
        <v>106.25</v>
      </c>
      <c r="E12" s="0" t="n">
        <v>105.96</v>
      </c>
      <c r="F12" s="0" t="n">
        <v>105.69</v>
      </c>
      <c r="G12" s="0" t="n">
        <v>105.97</v>
      </c>
      <c r="H12" s="0" t="n">
        <v>103.71</v>
      </c>
      <c r="I12" s="0" t="n">
        <v>103.91</v>
      </c>
      <c r="J12" s="0" t="n">
        <v>104.62</v>
      </c>
      <c r="K12" s="0" t="n">
        <v>105.34</v>
      </c>
      <c r="L12" s="0" t="n">
        <v>103.89</v>
      </c>
      <c r="M12" s="0" t="n">
        <v>102.68</v>
      </c>
      <c r="N12" s="0" t="n">
        <v>104.45</v>
      </c>
      <c r="O12" s="0" t="n">
        <v>104.28</v>
      </c>
      <c r="P12" s="0" t="n">
        <v>103.91</v>
      </c>
      <c r="Q12" s="0" t="n">
        <v>103.81</v>
      </c>
      <c r="R12" s="0" t="n">
        <v>104.01</v>
      </c>
      <c r="S12" s="0" t="n">
        <v>104.6</v>
      </c>
      <c r="T12" s="0" t="n">
        <v>114.06</v>
      </c>
      <c r="U12" s="0" t="n">
        <v>114.31</v>
      </c>
      <c r="V12" s="0" t="n">
        <v>140.15</v>
      </c>
      <c r="W12" s="0" t="n">
        <v>138.42</v>
      </c>
      <c r="X12" s="0" t="n">
        <v>137.05</v>
      </c>
      <c r="Y12" s="0" t="n">
        <v>137.07</v>
      </c>
      <c r="Z12" s="0" t="n">
        <v>137.36</v>
      </c>
      <c r="AA12" s="0" t="n">
        <v>136.84</v>
      </c>
      <c r="AB12" s="0" t="n">
        <v>135.62</v>
      </c>
      <c r="AC12" s="0" t="n">
        <v>124.55</v>
      </c>
      <c r="AD12" s="0" t="n">
        <v>124.99</v>
      </c>
      <c r="AE12" s="0" t="n">
        <v>125.8</v>
      </c>
      <c r="AF12" s="0" t="n">
        <v>125.9</v>
      </c>
      <c r="AG12" s="0" t="n">
        <v>159.02</v>
      </c>
      <c r="AH12" s="0" t="n">
        <v>103.06</v>
      </c>
      <c r="AI12" s="0" t="n">
        <v>114.98</v>
      </c>
      <c r="AJ12" s="0" t="n">
        <v>137.9</v>
      </c>
      <c r="AK12" s="0" t="n">
        <v>130.37</v>
      </c>
      <c r="AL12" s="0" t="n">
        <v>125.9</v>
      </c>
      <c r="AM12" s="0" t="n">
        <v>138.8</v>
      </c>
      <c r="AN12" s="0" t="n">
        <v>236.7</v>
      </c>
    </row>
    <row r="13" customFormat="false" ht="15" hidden="false" customHeight="true" outlineLevel="0" collapsed="false">
      <c r="A13" s="0" t="s">
        <v>124</v>
      </c>
      <c r="B13" s="0" t="s">
        <v>125</v>
      </c>
      <c r="C13" s="0" t="n">
        <v>89.47</v>
      </c>
      <c r="D13" s="0" t="n">
        <v>58.6</v>
      </c>
      <c r="E13" s="0" t="n">
        <v>58.31</v>
      </c>
      <c r="F13" s="0" t="n">
        <v>58.04</v>
      </c>
      <c r="G13" s="0" t="n">
        <v>58.33</v>
      </c>
      <c r="H13" s="0" t="n">
        <v>56.07</v>
      </c>
      <c r="I13" s="0" t="n">
        <v>56.27</v>
      </c>
      <c r="J13" s="0" t="n">
        <v>56.98</v>
      </c>
      <c r="K13" s="0" t="n">
        <v>57.69</v>
      </c>
      <c r="L13" s="0" t="n">
        <v>56.25</v>
      </c>
      <c r="M13" s="0" t="n">
        <v>55.04</v>
      </c>
      <c r="N13" s="0" t="n">
        <v>56.8</v>
      </c>
      <c r="O13" s="0" t="n">
        <v>56.64</v>
      </c>
      <c r="P13" s="0" t="n">
        <v>56.27</v>
      </c>
      <c r="Q13" s="0" t="n">
        <v>56.16</v>
      </c>
      <c r="R13" s="0" t="n">
        <v>56.36</v>
      </c>
      <c r="S13" s="0" t="n">
        <v>56.95</v>
      </c>
      <c r="T13" s="0" t="n">
        <v>69.08</v>
      </c>
      <c r="U13" s="0" t="n">
        <v>69.34</v>
      </c>
      <c r="V13" s="0" t="n">
        <v>95.18</v>
      </c>
      <c r="W13" s="0" t="n">
        <v>93.44</v>
      </c>
      <c r="X13" s="0" t="n">
        <v>92.08</v>
      </c>
      <c r="Y13" s="0" t="n">
        <v>92.1</v>
      </c>
      <c r="Z13" s="0" t="n">
        <v>92.39</v>
      </c>
      <c r="AA13" s="0" t="n">
        <v>91.87</v>
      </c>
      <c r="AB13" s="0" t="n">
        <v>90.65</v>
      </c>
      <c r="AC13" s="0" t="n">
        <v>80.89</v>
      </c>
      <c r="AD13" s="0" t="n">
        <v>81.33</v>
      </c>
      <c r="AE13" s="0" t="n">
        <v>82.14</v>
      </c>
      <c r="AF13" s="0" t="n">
        <v>82.24</v>
      </c>
      <c r="AG13" s="0" t="n">
        <v>144.01</v>
      </c>
      <c r="AH13" s="0" t="n">
        <v>55.42</v>
      </c>
      <c r="AI13" s="0" t="n">
        <v>70.01</v>
      </c>
      <c r="AJ13" s="0" t="n">
        <v>92.93</v>
      </c>
      <c r="AK13" s="0" t="n">
        <v>86.71</v>
      </c>
      <c r="AL13" s="0" t="n">
        <v>82.2</v>
      </c>
      <c r="AM13" s="0" t="n">
        <v>91.1</v>
      </c>
      <c r="AN13" s="0" t="n">
        <v>191.6</v>
      </c>
    </row>
    <row r="14" customFormat="false" ht="15" hidden="false" customHeight="true" outlineLevel="0" collapsed="false">
      <c r="A14" s="0" t="s">
        <v>126</v>
      </c>
      <c r="B14" s="0" t="s">
        <v>127</v>
      </c>
      <c r="C14" s="0" t="n">
        <v>92.2</v>
      </c>
      <c r="D14" s="0" t="n">
        <v>61.33</v>
      </c>
      <c r="E14" s="0" t="n">
        <v>61.04</v>
      </c>
      <c r="F14" s="0" t="n">
        <v>60.77</v>
      </c>
      <c r="G14" s="0" t="n">
        <v>61.05</v>
      </c>
      <c r="H14" s="0" t="n">
        <v>58.79</v>
      </c>
      <c r="I14" s="0" t="n">
        <v>59</v>
      </c>
      <c r="J14" s="0" t="n">
        <v>59.7</v>
      </c>
      <c r="K14" s="0" t="n">
        <v>60.42</v>
      </c>
      <c r="L14" s="0" t="n">
        <v>58.97</v>
      </c>
      <c r="M14" s="0" t="n">
        <v>57.76</v>
      </c>
      <c r="N14" s="0" t="n">
        <v>59.53</v>
      </c>
      <c r="O14" s="0" t="n">
        <v>59.36</v>
      </c>
      <c r="P14" s="0" t="n">
        <v>58.99</v>
      </c>
      <c r="Q14" s="0" t="n">
        <v>58.89</v>
      </c>
      <c r="R14" s="0" t="n">
        <v>59.09</v>
      </c>
      <c r="S14" s="0" t="n">
        <v>59.68</v>
      </c>
      <c r="T14" s="0" t="n">
        <v>90.03</v>
      </c>
      <c r="U14" s="0" t="n">
        <v>90.29</v>
      </c>
      <c r="V14" s="0" t="n">
        <v>116.13</v>
      </c>
      <c r="W14" s="0" t="n">
        <v>114.4</v>
      </c>
      <c r="X14" s="0" t="n">
        <v>113.03</v>
      </c>
      <c r="Y14" s="0" t="n">
        <v>113.05</v>
      </c>
      <c r="Z14" s="0" t="n">
        <v>113.34</v>
      </c>
      <c r="AA14" s="0" t="n">
        <v>112.82</v>
      </c>
      <c r="AB14" s="0" t="n">
        <v>111.6</v>
      </c>
      <c r="AC14" s="0" t="n">
        <v>118.16</v>
      </c>
      <c r="AD14" s="0" t="n">
        <v>118.59</v>
      </c>
      <c r="AE14" s="0" t="n">
        <v>119.41</v>
      </c>
      <c r="AF14" s="0" t="n">
        <v>119.5</v>
      </c>
      <c r="AG14" s="0" t="n">
        <v>146.73</v>
      </c>
      <c r="AH14" s="0" t="n">
        <v>58.15</v>
      </c>
      <c r="AI14" s="0" t="n">
        <v>90.96</v>
      </c>
      <c r="AJ14" s="0" t="n">
        <v>113.88</v>
      </c>
      <c r="AK14" s="0" t="n">
        <v>123.97</v>
      </c>
      <c r="AL14" s="0" t="n">
        <v>119.5</v>
      </c>
      <c r="AM14" s="0" t="n">
        <v>93.8</v>
      </c>
      <c r="AN14" s="0" t="n">
        <v>194.3</v>
      </c>
    </row>
    <row r="15" customFormat="false" ht="15" hidden="false" customHeight="true" outlineLevel="0" collapsed="false">
      <c r="A15" s="0" t="s">
        <v>128</v>
      </c>
      <c r="B15" s="0" t="s">
        <v>129</v>
      </c>
      <c r="C15" s="0" t="n">
        <v>69.97</v>
      </c>
      <c r="D15" s="0" t="n">
        <v>39.1</v>
      </c>
      <c r="E15" s="0" t="n">
        <v>38.81</v>
      </c>
      <c r="F15" s="0" t="n">
        <v>38.54</v>
      </c>
      <c r="G15" s="0" t="n">
        <v>38.83</v>
      </c>
      <c r="H15" s="0" t="n">
        <v>36.56</v>
      </c>
      <c r="I15" s="0" t="n">
        <v>36.77</v>
      </c>
      <c r="J15" s="0" t="n">
        <v>37.47</v>
      </c>
      <c r="K15" s="0" t="n">
        <v>38.19</v>
      </c>
      <c r="L15" s="0" t="n">
        <v>36.75</v>
      </c>
      <c r="M15" s="0" t="n">
        <v>35.53</v>
      </c>
      <c r="N15" s="0" t="n">
        <v>37.3</v>
      </c>
      <c r="O15" s="0" t="n">
        <v>37.13</v>
      </c>
      <c r="P15" s="0" t="n">
        <v>36.77</v>
      </c>
      <c r="Q15" s="0" t="n">
        <v>36.66</v>
      </c>
      <c r="R15" s="0" t="n">
        <v>36.86</v>
      </c>
      <c r="S15" s="0" t="n">
        <v>37.45</v>
      </c>
      <c r="T15" s="0" t="n">
        <v>68.15</v>
      </c>
      <c r="U15" s="0" t="n">
        <v>68.45</v>
      </c>
      <c r="V15" s="0" t="n">
        <v>94.29</v>
      </c>
      <c r="W15" s="0" t="n">
        <v>92.55</v>
      </c>
      <c r="X15" s="0" t="n">
        <v>91.19</v>
      </c>
      <c r="Y15" s="0" t="n">
        <v>91.21</v>
      </c>
      <c r="Z15" s="0" t="n">
        <v>91.5</v>
      </c>
      <c r="AA15" s="0" t="n">
        <v>90.98</v>
      </c>
      <c r="AB15" s="0" t="n">
        <v>89.75</v>
      </c>
      <c r="AC15" s="0" t="n">
        <v>113.88</v>
      </c>
      <c r="AD15" s="0" t="n">
        <v>114.32</v>
      </c>
      <c r="AE15" s="0" t="n">
        <v>115.13</v>
      </c>
      <c r="AF15" s="0" t="n">
        <v>115.23</v>
      </c>
      <c r="AG15" s="0" t="n">
        <v>124.51</v>
      </c>
      <c r="AH15" s="0" t="n">
        <v>35.92</v>
      </c>
      <c r="AI15" s="0" t="n">
        <v>69.08</v>
      </c>
      <c r="AJ15" s="0" t="n">
        <v>92.04</v>
      </c>
      <c r="AK15" s="0" t="n">
        <v>119.7</v>
      </c>
      <c r="AL15" s="0" t="n">
        <v>115.2</v>
      </c>
      <c r="AM15" s="0" t="n">
        <v>71.6</v>
      </c>
      <c r="AN15" s="0" t="n">
        <v>172.1</v>
      </c>
    </row>
    <row r="16" customFormat="false" ht="15" hidden="false" customHeight="true" outlineLevel="0" collapsed="false">
      <c r="A16" s="0" t="s">
        <v>130</v>
      </c>
      <c r="B16" s="0" t="s">
        <v>131</v>
      </c>
      <c r="C16" s="0" t="n">
        <v>99.08</v>
      </c>
      <c r="D16" s="0" t="n">
        <v>68.21</v>
      </c>
      <c r="E16" s="0" t="n">
        <v>67.92</v>
      </c>
      <c r="F16" s="0" t="n">
        <v>67.65</v>
      </c>
      <c r="G16" s="0" t="n">
        <v>67.93</v>
      </c>
      <c r="H16" s="0" t="n">
        <v>65.67</v>
      </c>
      <c r="I16" s="0" t="n">
        <v>65.88</v>
      </c>
      <c r="J16" s="0" t="n">
        <v>66.58</v>
      </c>
      <c r="K16" s="0" t="n">
        <v>67.3</v>
      </c>
      <c r="L16" s="0" t="n">
        <v>65.85</v>
      </c>
      <c r="M16" s="0" t="n">
        <v>64.64</v>
      </c>
      <c r="N16" s="0" t="n">
        <v>66.41</v>
      </c>
      <c r="O16" s="0" t="n">
        <v>66.24</v>
      </c>
      <c r="P16" s="0" t="n">
        <v>65.87</v>
      </c>
      <c r="Q16" s="0" t="n">
        <v>65.77</v>
      </c>
      <c r="R16" s="0" t="n">
        <v>65.97</v>
      </c>
      <c r="S16" s="0" t="n">
        <v>66.56</v>
      </c>
      <c r="T16" s="0" t="n">
        <v>76.02</v>
      </c>
      <c r="U16" s="0" t="n">
        <v>76.27</v>
      </c>
      <c r="V16" s="0" t="n">
        <v>102.11</v>
      </c>
      <c r="W16" s="0" t="n">
        <v>100.38</v>
      </c>
      <c r="X16" s="0" t="n">
        <v>99.01</v>
      </c>
      <c r="Y16" s="0" t="n">
        <v>99.03</v>
      </c>
      <c r="Z16" s="0" t="n">
        <v>99.32</v>
      </c>
      <c r="AA16" s="0" t="n">
        <v>98.8</v>
      </c>
      <c r="AB16" s="0" t="n">
        <v>97.58</v>
      </c>
      <c r="AC16" s="0" t="n">
        <v>61.38</v>
      </c>
      <c r="AD16" s="0" t="n">
        <v>61.81</v>
      </c>
      <c r="AE16" s="0" t="n">
        <v>62.63</v>
      </c>
      <c r="AF16" s="0" t="n">
        <v>62.72</v>
      </c>
      <c r="AG16" s="0" t="n">
        <v>153.61</v>
      </c>
      <c r="AH16" s="0" t="n">
        <v>65.03</v>
      </c>
      <c r="AI16" s="0" t="n">
        <v>76.94</v>
      </c>
      <c r="AJ16" s="0" t="n">
        <v>99.86</v>
      </c>
      <c r="AK16" s="0" t="n">
        <v>67.19</v>
      </c>
      <c r="AL16" s="0" t="n">
        <v>62.7</v>
      </c>
      <c r="AM16" s="0" t="n">
        <v>100.7</v>
      </c>
      <c r="AN16" s="0" t="n">
        <v>201.2</v>
      </c>
    </row>
    <row r="17" customFormat="false" ht="15" hidden="false" customHeight="true" outlineLevel="0" collapsed="false">
      <c r="A17" s="0" t="s">
        <v>132</v>
      </c>
      <c r="B17" s="0" t="s">
        <v>133</v>
      </c>
      <c r="C17" s="0" t="n">
        <v>179.29</v>
      </c>
      <c r="D17" s="0" t="n">
        <v>148.42</v>
      </c>
      <c r="E17" s="0" t="n">
        <v>148.13</v>
      </c>
      <c r="F17" s="0" t="n">
        <v>147.86</v>
      </c>
      <c r="G17" s="0" t="n">
        <v>148.14</v>
      </c>
      <c r="H17" s="0" t="n">
        <v>145.88</v>
      </c>
      <c r="I17" s="0" t="n">
        <v>146.09</v>
      </c>
      <c r="J17" s="0" t="n">
        <v>146.79</v>
      </c>
      <c r="K17" s="0" t="n">
        <v>147.51</v>
      </c>
      <c r="L17" s="0" t="n">
        <v>146.07</v>
      </c>
      <c r="M17" s="0" t="n">
        <v>144.85</v>
      </c>
      <c r="N17" s="0" t="n">
        <v>146.62</v>
      </c>
      <c r="O17" s="0" t="n">
        <v>146.45</v>
      </c>
      <c r="P17" s="0" t="n">
        <v>146.08</v>
      </c>
      <c r="Q17" s="0" t="n">
        <v>145.98</v>
      </c>
      <c r="R17" s="0" t="n">
        <v>146.18</v>
      </c>
      <c r="S17" s="0" t="n">
        <v>146.77</v>
      </c>
      <c r="T17" s="0" t="n">
        <v>156.23</v>
      </c>
      <c r="U17" s="0" t="n">
        <v>156.49</v>
      </c>
      <c r="V17" s="0" t="n">
        <v>182.33</v>
      </c>
      <c r="W17" s="0" t="n">
        <v>180.59</v>
      </c>
      <c r="X17" s="0" t="n">
        <v>179.23</v>
      </c>
      <c r="Y17" s="0" t="n">
        <v>179.24</v>
      </c>
      <c r="Z17" s="0" t="n">
        <v>179.53</v>
      </c>
      <c r="AA17" s="0" t="n">
        <v>179.02</v>
      </c>
      <c r="AB17" s="0" t="n">
        <v>177.79</v>
      </c>
      <c r="AC17" s="0" t="n">
        <v>104.77</v>
      </c>
      <c r="AD17" s="0" t="n">
        <v>105.2</v>
      </c>
      <c r="AE17" s="0" t="n">
        <v>106.02</v>
      </c>
      <c r="AF17" s="0" t="n">
        <v>106.11</v>
      </c>
      <c r="AG17" s="0" t="n">
        <v>206.92</v>
      </c>
      <c r="AH17" s="0" t="n">
        <v>145.24</v>
      </c>
      <c r="AI17" s="0" t="n">
        <v>157.15</v>
      </c>
      <c r="AJ17" s="0" t="n">
        <v>180.07</v>
      </c>
      <c r="AK17" s="0" t="n">
        <v>110.58</v>
      </c>
      <c r="AL17" s="0" t="n">
        <v>106.1</v>
      </c>
      <c r="AM17" s="0" t="n">
        <v>180.9</v>
      </c>
      <c r="AN17" s="0" t="n">
        <v>281.4</v>
      </c>
    </row>
    <row r="18" customFormat="false" ht="15" hidden="false" customHeight="true" outlineLevel="0" collapsed="false">
      <c r="A18" s="0" t="s">
        <v>134</v>
      </c>
      <c r="B18" s="0" t="s">
        <v>135</v>
      </c>
      <c r="C18" s="0" t="n">
        <v>147.76</v>
      </c>
      <c r="D18" s="0" t="n">
        <v>116.89</v>
      </c>
      <c r="E18" s="0" t="n">
        <v>116.6</v>
      </c>
      <c r="F18" s="0" t="n">
        <v>116.33</v>
      </c>
      <c r="G18" s="0" t="n">
        <v>116.62</v>
      </c>
      <c r="H18" s="0" t="n">
        <v>114.36</v>
      </c>
      <c r="I18" s="0" t="n">
        <v>114.56</v>
      </c>
      <c r="J18" s="0" t="n">
        <v>115.27</v>
      </c>
      <c r="K18" s="0" t="n">
        <v>115.98</v>
      </c>
      <c r="L18" s="0" t="n">
        <v>114.54</v>
      </c>
      <c r="M18" s="0" t="n">
        <v>113.33</v>
      </c>
      <c r="N18" s="0" t="n">
        <v>115.09</v>
      </c>
      <c r="O18" s="0" t="n">
        <v>114.93</v>
      </c>
      <c r="P18" s="0" t="n">
        <v>114.56</v>
      </c>
      <c r="Q18" s="0" t="n">
        <v>114.45</v>
      </c>
      <c r="R18" s="0" t="n">
        <v>114.65</v>
      </c>
      <c r="S18" s="0" t="n">
        <v>115.24</v>
      </c>
      <c r="T18" s="0" t="n">
        <v>124.7</v>
      </c>
      <c r="U18" s="0" t="n">
        <v>124.96</v>
      </c>
      <c r="V18" s="0" t="n">
        <v>150.8</v>
      </c>
      <c r="W18" s="0" t="n">
        <v>149.06</v>
      </c>
      <c r="X18" s="0" t="n">
        <v>147.7</v>
      </c>
      <c r="Y18" s="0" t="n">
        <v>147.72</v>
      </c>
      <c r="Z18" s="0" t="n">
        <v>148.01</v>
      </c>
      <c r="AA18" s="0" t="n">
        <v>147.49</v>
      </c>
      <c r="AB18" s="0" t="n">
        <v>146.26</v>
      </c>
      <c r="AC18" s="0" t="n">
        <v>109.26</v>
      </c>
      <c r="AD18" s="0" t="n">
        <v>109.7</v>
      </c>
      <c r="AE18" s="0" t="n">
        <v>110.51</v>
      </c>
      <c r="AF18" s="0" t="n">
        <v>110.61</v>
      </c>
      <c r="AG18" s="0" t="n">
        <v>175.4</v>
      </c>
      <c r="AH18" s="0" t="n">
        <v>113.71</v>
      </c>
      <c r="AI18" s="0" t="n">
        <v>125.62</v>
      </c>
      <c r="AJ18" s="0" t="n">
        <v>148.55</v>
      </c>
      <c r="AK18" s="0" t="n">
        <v>115.08</v>
      </c>
      <c r="AL18" s="0" t="n">
        <v>110.6</v>
      </c>
      <c r="AM18" s="0" t="n">
        <v>149.4</v>
      </c>
      <c r="AN18" s="0" t="n">
        <v>249.9</v>
      </c>
    </row>
    <row r="19" customFormat="false" ht="15" hidden="false" customHeight="true" outlineLevel="0" collapsed="false">
      <c r="A19" s="0" t="s">
        <v>136</v>
      </c>
      <c r="B19" s="0" t="s">
        <v>137</v>
      </c>
      <c r="C19" s="0" t="n">
        <v>194.91</v>
      </c>
      <c r="D19" s="0" t="n">
        <v>164.49</v>
      </c>
      <c r="E19" s="0" t="n">
        <v>164.2</v>
      </c>
      <c r="F19" s="0" t="n">
        <v>163.05</v>
      </c>
      <c r="G19" s="0" t="n">
        <v>162.7</v>
      </c>
      <c r="H19" s="0" t="n">
        <v>162.09</v>
      </c>
      <c r="I19" s="0" t="n">
        <v>160.9</v>
      </c>
      <c r="J19" s="0" t="n">
        <v>161.61</v>
      </c>
      <c r="K19" s="0" t="n">
        <v>162.3</v>
      </c>
      <c r="L19" s="0" t="n">
        <v>160.26</v>
      </c>
      <c r="M19" s="0" t="n">
        <v>162.54</v>
      </c>
      <c r="N19" s="0" t="n">
        <v>162.52</v>
      </c>
      <c r="O19" s="0" t="n">
        <v>160.29</v>
      </c>
      <c r="P19" s="0" t="n">
        <v>160.8</v>
      </c>
      <c r="Q19" s="0" t="n">
        <v>159.9</v>
      </c>
      <c r="R19" s="0" t="n">
        <v>161.09</v>
      </c>
      <c r="S19" s="0" t="n">
        <v>159.83</v>
      </c>
      <c r="T19" s="0" t="n">
        <v>198.8</v>
      </c>
      <c r="U19" s="0" t="n">
        <v>206.01</v>
      </c>
      <c r="V19" s="0" t="n">
        <v>231.85</v>
      </c>
      <c r="W19" s="0" t="n">
        <v>230.12</v>
      </c>
      <c r="X19" s="0" t="n">
        <v>228.75</v>
      </c>
      <c r="Y19" s="0" t="n">
        <v>228.77</v>
      </c>
      <c r="Z19" s="0" t="n">
        <v>229.06</v>
      </c>
      <c r="AA19" s="0" t="n">
        <v>228.54</v>
      </c>
      <c r="AB19" s="0" t="n">
        <v>227.32</v>
      </c>
      <c r="AC19" s="0" t="n">
        <v>182.9</v>
      </c>
      <c r="AD19" s="0" t="n">
        <v>183.34</v>
      </c>
      <c r="AE19" s="0" t="n">
        <v>184.15</v>
      </c>
      <c r="AF19" s="0" t="n">
        <v>184.25</v>
      </c>
      <c r="AG19" s="0" t="n">
        <v>192.71</v>
      </c>
      <c r="AH19" s="0" t="n">
        <v>159.37</v>
      </c>
      <c r="AI19" s="0" t="n">
        <v>199.73</v>
      </c>
      <c r="AJ19" s="0" t="n">
        <v>229.6</v>
      </c>
      <c r="AK19" s="0" t="n">
        <v>188.72</v>
      </c>
      <c r="AL19" s="0" t="n">
        <v>184.2</v>
      </c>
      <c r="AM19" s="0" t="n">
        <v>196.5</v>
      </c>
      <c r="AN19" s="0" t="n">
        <v>270.4</v>
      </c>
    </row>
    <row r="20" customFormat="false" ht="15" hidden="false" customHeight="true" outlineLevel="0" collapsed="false">
      <c r="A20" s="0" t="s">
        <v>138</v>
      </c>
      <c r="B20" s="0" t="s">
        <v>139</v>
      </c>
      <c r="C20" s="0" t="n">
        <v>67.89</v>
      </c>
      <c r="D20" s="0" t="n">
        <v>37.02</v>
      </c>
      <c r="E20" s="0" t="n">
        <v>36.73</v>
      </c>
      <c r="F20" s="0" t="n">
        <v>36.46</v>
      </c>
      <c r="G20" s="0" t="n">
        <v>36.75</v>
      </c>
      <c r="H20" s="0" t="n">
        <v>34.49</v>
      </c>
      <c r="I20" s="0" t="n">
        <v>34.69</v>
      </c>
      <c r="J20" s="0" t="n">
        <v>35.4</v>
      </c>
      <c r="K20" s="0" t="n">
        <v>36.11</v>
      </c>
      <c r="L20" s="0" t="n">
        <v>34.67</v>
      </c>
      <c r="M20" s="0" t="n">
        <v>33.46</v>
      </c>
      <c r="N20" s="0" t="n">
        <v>35.22</v>
      </c>
      <c r="O20" s="0" t="n">
        <v>35.06</v>
      </c>
      <c r="P20" s="0" t="n">
        <v>34.69</v>
      </c>
      <c r="Q20" s="0" t="n">
        <v>34.58</v>
      </c>
      <c r="R20" s="0" t="n">
        <v>34.78</v>
      </c>
      <c r="S20" s="0" t="n">
        <v>35.37</v>
      </c>
      <c r="T20" s="0" t="n">
        <v>46.71</v>
      </c>
      <c r="U20" s="0" t="n">
        <v>46.96</v>
      </c>
      <c r="V20" s="0" t="n">
        <v>72.8</v>
      </c>
      <c r="W20" s="0" t="n">
        <v>71.07</v>
      </c>
      <c r="X20" s="0" t="n">
        <v>69.7</v>
      </c>
      <c r="Y20" s="0" t="n">
        <v>69.72</v>
      </c>
      <c r="Z20" s="0" t="n">
        <v>70.01</v>
      </c>
      <c r="AA20" s="0" t="n">
        <v>69.49</v>
      </c>
      <c r="AB20" s="0" t="n">
        <v>68.27</v>
      </c>
      <c r="AC20" s="0" t="n">
        <v>96.46</v>
      </c>
      <c r="AD20" s="0" t="n">
        <v>96.9</v>
      </c>
      <c r="AE20" s="0" t="n">
        <v>97.72</v>
      </c>
      <c r="AF20" s="0" t="n">
        <v>97.81</v>
      </c>
      <c r="AG20" s="0" t="n">
        <v>122.43</v>
      </c>
      <c r="AH20" s="0" t="n">
        <v>33.84</v>
      </c>
      <c r="AI20" s="0" t="n">
        <v>47.63</v>
      </c>
      <c r="AJ20" s="0" t="n">
        <v>70.55</v>
      </c>
      <c r="AK20" s="0" t="n">
        <v>102.28</v>
      </c>
      <c r="AL20" s="0" t="n">
        <v>97.8</v>
      </c>
      <c r="AM20" s="0" t="n">
        <v>69.5</v>
      </c>
      <c r="AN20" s="0" t="n">
        <v>170</v>
      </c>
    </row>
    <row r="21" customFormat="false" ht="15" hidden="false" customHeight="true" outlineLevel="0" collapsed="false">
      <c r="A21" s="0" t="s">
        <v>140</v>
      </c>
      <c r="B21" s="0" t="s">
        <v>141</v>
      </c>
      <c r="C21" s="0" t="n">
        <v>80.69</v>
      </c>
      <c r="D21" s="0" t="n">
        <v>49.82</v>
      </c>
      <c r="E21" s="0" t="n">
        <v>49.53</v>
      </c>
      <c r="F21" s="0" t="n">
        <v>49.26</v>
      </c>
      <c r="G21" s="0" t="n">
        <v>49.54</v>
      </c>
      <c r="H21" s="0" t="n">
        <v>47.28</v>
      </c>
      <c r="I21" s="0" t="n">
        <v>47.49</v>
      </c>
      <c r="J21" s="0" t="n">
        <v>48.19</v>
      </c>
      <c r="K21" s="0" t="n">
        <v>48.91</v>
      </c>
      <c r="L21" s="0" t="n">
        <v>47.47</v>
      </c>
      <c r="M21" s="0" t="n">
        <v>46.25</v>
      </c>
      <c r="N21" s="0" t="n">
        <v>48.02</v>
      </c>
      <c r="O21" s="0" t="n">
        <v>47.85</v>
      </c>
      <c r="P21" s="0" t="n">
        <v>47.48</v>
      </c>
      <c r="Q21" s="0" t="n">
        <v>47.38</v>
      </c>
      <c r="R21" s="0" t="n">
        <v>47.58</v>
      </c>
      <c r="S21" s="0" t="n">
        <v>48.17</v>
      </c>
      <c r="T21" s="0" t="n">
        <v>57.2</v>
      </c>
      <c r="U21" s="0" t="n">
        <v>57.46</v>
      </c>
      <c r="V21" s="0" t="n">
        <v>83.3</v>
      </c>
      <c r="W21" s="0" t="n">
        <v>81.56</v>
      </c>
      <c r="X21" s="0" t="n">
        <v>80.2</v>
      </c>
      <c r="Y21" s="0" t="n">
        <v>80.22</v>
      </c>
      <c r="Z21" s="0" t="n">
        <v>80.51</v>
      </c>
      <c r="AA21" s="0" t="n">
        <v>79.99</v>
      </c>
      <c r="AB21" s="0" t="n">
        <v>78.76</v>
      </c>
      <c r="AC21" s="0" t="n">
        <v>102.11</v>
      </c>
      <c r="AD21" s="0" t="n">
        <v>102.55</v>
      </c>
      <c r="AE21" s="0" t="n">
        <v>103.36</v>
      </c>
      <c r="AF21" s="0" t="n">
        <v>103.46</v>
      </c>
      <c r="AG21" s="0" t="n">
        <v>135.22</v>
      </c>
      <c r="AH21" s="0" t="n">
        <v>46.64</v>
      </c>
      <c r="AI21" s="0" t="n">
        <v>58.13</v>
      </c>
      <c r="AJ21" s="0" t="n">
        <v>81.05</v>
      </c>
      <c r="AK21" s="0" t="n">
        <v>107.93</v>
      </c>
      <c r="AL21" s="0" t="n">
        <v>103.4</v>
      </c>
      <c r="AM21" s="0" t="n">
        <v>82.3</v>
      </c>
      <c r="AN21" s="0" t="n">
        <v>182.8</v>
      </c>
    </row>
    <row r="22" customFormat="false" ht="15" hidden="false" customHeight="true" outlineLevel="0" collapsed="false">
      <c r="A22" s="0" t="s">
        <v>142</v>
      </c>
      <c r="B22" s="0" t="s">
        <v>143</v>
      </c>
      <c r="C22" s="0" t="n">
        <v>51.89</v>
      </c>
      <c r="D22" s="0" t="n">
        <v>40.37</v>
      </c>
      <c r="E22" s="0" t="n">
        <v>40.08</v>
      </c>
      <c r="F22" s="0" t="n">
        <v>39.81</v>
      </c>
      <c r="G22" s="0" t="n">
        <v>40.09</v>
      </c>
      <c r="H22" s="0" t="n">
        <v>37.83</v>
      </c>
      <c r="I22" s="0" t="n">
        <v>38.03</v>
      </c>
      <c r="J22" s="0" t="n">
        <v>38.74</v>
      </c>
      <c r="K22" s="0" t="n">
        <v>39.46</v>
      </c>
      <c r="L22" s="0" t="n">
        <v>38.01</v>
      </c>
      <c r="M22" s="0" t="n">
        <v>36.8</v>
      </c>
      <c r="N22" s="0" t="n">
        <v>38.57</v>
      </c>
      <c r="O22" s="0" t="n">
        <v>38.4</v>
      </c>
      <c r="P22" s="0" t="n">
        <v>38.03</v>
      </c>
      <c r="Q22" s="0" t="n">
        <v>37.93</v>
      </c>
      <c r="R22" s="0" t="n">
        <v>38.12</v>
      </c>
      <c r="S22" s="0" t="n">
        <v>38.72</v>
      </c>
      <c r="T22" s="0" t="n">
        <v>25.23</v>
      </c>
      <c r="U22" s="0" t="n">
        <v>41.4</v>
      </c>
      <c r="V22" s="0" t="n">
        <v>59.3</v>
      </c>
      <c r="W22" s="0" t="n">
        <v>61.46</v>
      </c>
      <c r="X22" s="0" t="n">
        <v>61.57</v>
      </c>
      <c r="Y22" s="0" t="n">
        <v>61.59</v>
      </c>
      <c r="Z22" s="0" t="n">
        <v>61.88</v>
      </c>
      <c r="AA22" s="0" t="n">
        <v>63.33</v>
      </c>
      <c r="AB22" s="0" t="n">
        <v>62.7</v>
      </c>
      <c r="AC22" s="0" t="n">
        <v>114.66</v>
      </c>
      <c r="AD22" s="0" t="n">
        <v>115.09</v>
      </c>
      <c r="AE22" s="0" t="n">
        <v>115.91</v>
      </c>
      <c r="AF22" s="0" t="n">
        <v>116</v>
      </c>
      <c r="AG22" s="0" t="n">
        <v>121.56</v>
      </c>
      <c r="AH22" s="0" t="n">
        <v>37.18</v>
      </c>
      <c r="AI22" s="0" t="n">
        <v>26.15</v>
      </c>
      <c r="AJ22" s="0" t="n">
        <v>62.42</v>
      </c>
      <c r="AK22" s="0" t="n">
        <v>120.47</v>
      </c>
      <c r="AL22" s="0" t="n">
        <v>116</v>
      </c>
      <c r="AM22" s="0" t="n">
        <v>52.8</v>
      </c>
      <c r="AN22" s="0" t="n">
        <v>158.2</v>
      </c>
    </row>
    <row r="23" customFormat="false" ht="15" hidden="false" customHeight="true" outlineLevel="0" collapsed="false">
      <c r="A23" s="0" t="s">
        <v>144</v>
      </c>
      <c r="B23" s="0" t="s">
        <v>145</v>
      </c>
      <c r="C23" s="0" t="n">
        <v>68.26</v>
      </c>
      <c r="D23" s="0" t="n">
        <v>47.23</v>
      </c>
      <c r="E23" s="0" t="n">
        <v>46.94</v>
      </c>
      <c r="F23" s="0" t="n">
        <v>46.67</v>
      </c>
      <c r="G23" s="0" t="n">
        <v>46.96</v>
      </c>
      <c r="H23" s="0" t="n">
        <v>44.7</v>
      </c>
      <c r="I23" s="0" t="n">
        <v>44.9</v>
      </c>
      <c r="J23" s="0" t="n">
        <v>45.61</v>
      </c>
      <c r="K23" s="0" t="n">
        <v>46.32</v>
      </c>
      <c r="L23" s="0" t="n">
        <v>44.88</v>
      </c>
      <c r="M23" s="0" t="n">
        <v>43.67</v>
      </c>
      <c r="N23" s="0" t="n">
        <v>45.43</v>
      </c>
      <c r="O23" s="0" t="n">
        <v>45.26</v>
      </c>
      <c r="P23" s="0" t="n">
        <v>44.9</v>
      </c>
      <c r="Q23" s="0" t="n">
        <v>44.79</v>
      </c>
      <c r="R23" s="0" t="n">
        <v>44.99</v>
      </c>
      <c r="S23" s="0" t="n">
        <v>45.58</v>
      </c>
      <c r="T23" s="0" t="n">
        <v>41.6</v>
      </c>
      <c r="U23" s="0" t="n">
        <v>48.26</v>
      </c>
      <c r="V23" s="0" t="n">
        <v>74.1</v>
      </c>
      <c r="W23" s="0" t="n">
        <v>72.37</v>
      </c>
      <c r="X23" s="0" t="n">
        <v>71</v>
      </c>
      <c r="Y23" s="0" t="n">
        <v>71.02</v>
      </c>
      <c r="Z23" s="0" t="n">
        <v>71.31</v>
      </c>
      <c r="AA23" s="0" t="n">
        <v>70.79</v>
      </c>
      <c r="AB23" s="0" t="n">
        <v>69.57</v>
      </c>
      <c r="AC23" s="0" t="n">
        <v>121.52</v>
      </c>
      <c r="AD23" s="0" t="n">
        <v>121.96</v>
      </c>
      <c r="AE23" s="0" t="n">
        <v>122.77</v>
      </c>
      <c r="AF23" s="0" t="n">
        <v>122.87</v>
      </c>
      <c r="AG23" s="0" t="n">
        <v>132.64</v>
      </c>
      <c r="AH23" s="0" t="n">
        <v>44.05</v>
      </c>
      <c r="AI23" s="0" t="n">
        <v>42.52</v>
      </c>
      <c r="AJ23" s="0" t="n">
        <v>71.85</v>
      </c>
      <c r="AK23" s="0" t="n">
        <v>127.34</v>
      </c>
      <c r="AL23" s="0" t="n">
        <v>122.8</v>
      </c>
      <c r="AM23" s="0" t="n">
        <v>69.2</v>
      </c>
      <c r="AN23" s="0" t="n">
        <v>174.6</v>
      </c>
    </row>
    <row r="24" customFormat="false" ht="15" hidden="false" customHeight="true" outlineLevel="0" collapsed="false">
      <c r="A24" s="0" t="s">
        <v>146</v>
      </c>
      <c r="B24" s="0" t="s">
        <v>147</v>
      </c>
      <c r="C24" s="0" t="n">
        <v>86</v>
      </c>
      <c r="D24" s="0" t="n">
        <v>87.25</v>
      </c>
      <c r="E24" s="0" t="n">
        <v>88.81</v>
      </c>
      <c r="F24" s="0" t="n">
        <v>88.92</v>
      </c>
      <c r="G24" s="0" t="n">
        <v>89.45</v>
      </c>
      <c r="H24" s="0" t="n">
        <v>90.09</v>
      </c>
      <c r="I24" s="0" t="n">
        <v>90.22</v>
      </c>
      <c r="J24" s="0" t="n">
        <v>90.53</v>
      </c>
      <c r="K24" s="0" t="n">
        <v>90.73</v>
      </c>
      <c r="L24" s="0" t="n">
        <v>90.8</v>
      </c>
      <c r="M24" s="0" t="n">
        <v>90.83</v>
      </c>
      <c r="N24" s="0" t="n">
        <v>91.13</v>
      </c>
      <c r="O24" s="0" t="n">
        <v>91.19</v>
      </c>
      <c r="P24" s="0" t="n">
        <v>91.28</v>
      </c>
      <c r="Q24" s="0" t="n">
        <v>91.62</v>
      </c>
      <c r="R24" s="0" t="n">
        <v>91.75</v>
      </c>
      <c r="S24" s="0" t="n">
        <v>92.03</v>
      </c>
      <c r="T24" s="0" t="n">
        <v>113.55</v>
      </c>
      <c r="U24" s="0" t="n">
        <v>139.51</v>
      </c>
      <c r="V24" s="0" t="n">
        <v>150.89</v>
      </c>
      <c r="W24" s="0" t="n">
        <v>153.05</v>
      </c>
      <c r="X24" s="0" t="n">
        <v>153.16</v>
      </c>
      <c r="Y24" s="0" t="n">
        <v>153.18</v>
      </c>
      <c r="Z24" s="0" t="n">
        <v>153.47</v>
      </c>
      <c r="AA24" s="0" t="n">
        <v>154.92</v>
      </c>
      <c r="AB24" s="0" t="n">
        <v>155.65</v>
      </c>
      <c r="AC24" s="0" t="n">
        <v>209.63</v>
      </c>
      <c r="AD24" s="0" t="n">
        <v>210.07</v>
      </c>
      <c r="AE24" s="0" t="n">
        <v>210.88</v>
      </c>
      <c r="AF24" s="0" t="n">
        <v>210.98</v>
      </c>
      <c r="AG24" s="0" t="n">
        <v>3.32</v>
      </c>
      <c r="AH24" s="0" t="n">
        <v>92.81</v>
      </c>
      <c r="AI24" s="0" t="n">
        <v>112.29</v>
      </c>
      <c r="AJ24" s="0" t="n">
        <v>154.01</v>
      </c>
      <c r="AK24" s="0" t="n">
        <v>215.45</v>
      </c>
      <c r="AL24" s="0" t="n">
        <v>210.9</v>
      </c>
      <c r="AM24" s="0" t="n">
        <v>87.6</v>
      </c>
      <c r="AN24" s="0" t="n">
        <v>77.4</v>
      </c>
    </row>
    <row r="25" customFormat="false" ht="15" hidden="false" customHeight="true" outlineLevel="0" collapsed="false">
      <c r="A25" s="0" t="s">
        <v>148</v>
      </c>
      <c r="B25" s="0" t="s">
        <v>149</v>
      </c>
      <c r="C25" s="0" t="n">
        <v>106.99</v>
      </c>
      <c r="D25" s="0" t="n">
        <v>133.36</v>
      </c>
      <c r="E25" s="0" t="n">
        <v>134.92</v>
      </c>
      <c r="F25" s="0" t="n">
        <v>135.03</v>
      </c>
      <c r="G25" s="0" t="n">
        <v>135.56</v>
      </c>
      <c r="H25" s="0" t="n">
        <v>136.2</v>
      </c>
      <c r="I25" s="0" t="n">
        <v>136.33</v>
      </c>
      <c r="J25" s="0" t="n">
        <v>136.65</v>
      </c>
      <c r="K25" s="0" t="n">
        <v>136.84</v>
      </c>
      <c r="L25" s="0" t="n">
        <v>136.92</v>
      </c>
      <c r="M25" s="0" t="n">
        <v>136.95</v>
      </c>
      <c r="N25" s="0" t="n">
        <v>137.24</v>
      </c>
      <c r="O25" s="0" t="n">
        <v>137.3</v>
      </c>
      <c r="P25" s="0" t="n">
        <v>137.4</v>
      </c>
      <c r="Q25" s="0" t="n">
        <v>137.73</v>
      </c>
      <c r="R25" s="0" t="n">
        <v>137.86</v>
      </c>
      <c r="S25" s="0" t="n">
        <v>138.14</v>
      </c>
      <c r="T25" s="0" t="n">
        <v>135.19</v>
      </c>
      <c r="U25" s="0" t="n">
        <v>175.69</v>
      </c>
      <c r="V25" s="0" t="n">
        <v>172.53</v>
      </c>
      <c r="W25" s="0" t="n">
        <v>174.68</v>
      </c>
      <c r="X25" s="0" t="n">
        <v>174.8</v>
      </c>
      <c r="Y25" s="0" t="n">
        <v>174.81</v>
      </c>
      <c r="Z25" s="0" t="n">
        <v>175.1</v>
      </c>
      <c r="AA25" s="0" t="n">
        <v>176.56</v>
      </c>
      <c r="AB25" s="0" t="n">
        <v>177.28</v>
      </c>
      <c r="AC25" s="0" t="n">
        <v>255.75</v>
      </c>
      <c r="AD25" s="0" t="n">
        <v>256.18</v>
      </c>
      <c r="AE25" s="0" t="n">
        <v>257</v>
      </c>
      <c r="AF25" s="0" t="n">
        <v>257.09</v>
      </c>
      <c r="AG25" s="0" t="n">
        <v>79.02</v>
      </c>
      <c r="AH25" s="0" t="n">
        <v>138.92</v>
      </c>
      <c r="AI25" s="0" t="n">
        <v>133.93</v>
      </c>
      <c r="AJ25" s="0" t="n">
        <v>175.64</v>
      </c>
      <c r="AK25" s="0" t="n">
        <v>261.56</v>
      </c>
      <c r="AL25" s="0" t="n">
        <v>257.1</v>
      </c>
      <c r="AM25" s="0" t="n">
        <v>108.6</v>
      </c>
      <c r="AN25" s="0" t="n">
        <v>0</v>
      </c>
    </row>
    <row r="26" customFormat="false" ht="15" hidden="false" customHeight="true" outlineLevel="0" collapsed="false">
      <c r="A26" s="0" t="s">
        <v>150</v>
      </c>
      <c r="B26" s="0" t="s">
        <v>151</v>
      </c>
      <c r="C26" s="0" t="n">
        <v>119.02</v>
      </c>
      <c r="D26" s="0" t="n">
        <v>120.26</v>
      </c>
      <c r="E26" s="0" t="n">
        <v>121.82</v>
      </c>
      <c r="F26" s="0" t="n">
        <v>121.93</v>
      </c>
      <c r="G26" s="0" t="n">
        <v>122.46</v>
      </c>
      <c r="H26" s="0" t="n">
        <v>123.11</v>
      </c>
      <c r="I26" s="0" t="n">
        <v>123.24</v>
      </c>
      <c r="J26" s="0" t="n">
        <v>123.55</v>
      </c>
      <c r="K26" s="0" t="n">
        <v>123.74</v>
      </c>
      <c r="L26" s="0" t="n">
        <v>123.82</v>
      </c>
      <c r="M26" s="0" t="n">
        <v>123.85</v>
      </c>
      <c r="N26" s="0" t="n">
        <v>124.14</v>
      </c>
      <c r="O26" s="0" t="n">
        <v>124.21</v>
      </c>
      <c r="P26" s="0" t="n">
        <v>124.3</v>
      </c>
      <c r="Q26" s="0" t="n">
        <v>124.64</v>
      </c>
      <c r="R26" s="0" t="n">
        <v>124.76</v>
      </c>
      <c r="S26" s="0" t="n">
        <v>125.05</v>
      </c>
      <c r="T26" s="0" t="n">
        <v>146.57</v>
      </c>
      <c r="U26" s="0" t="n">
        <v>172.52</v>
      </c>
      <c r="V26" s="0" t="n">
        <v>183.91</v>
      </c>
      <c r="W26" s="0" t="n">
        <v>186.07</v>
      </c>
      <c r="X26" s="0" t="n">
        <v>186.18</v>
      </c>
      <c r="Y26" s="0" t="n">
        <v>186.2</v>
      </c>
      <c r="Z26" s="0" t="n">
        <v>186.49</v>
      </c>
      <c r="AA26" s="0" t="n">
        <v>187.94</v>
      </c>
      <c r="AB26" s="0" t="n">
        <v>188.66</v>
      </c>
      <c r="AC26" s="0" t="n">
        <v>242.65</v>
      </c>
      <c r="AD26" s="0" t="n">
        <v>243.09</v>
      </c>
      <c r="AE26" s="0" t="n">
        <v>243.9</v>
      </c>
      <c r="AF26" s="0" t="n">
        <v>244</v>
      </c>
      <c r="AG26" s="0" t="n">
        <v>35.6</v>
      </c>
      <c r="AH26" s="0" t="n">
        <v>125.82</v>
      </c>
      <c r="AI26" s="0" t="n">
        <v>145.31</v>
      </c>
      <c r="AJ26" s="0" t="n">
        <v>187.03</v>
      </c>
      <c r="AK26" s="0" t="n">
        <v>248.47</v>
      </c>
      <c r="AL26" s="0" t="n">
        <v>244</v>
      </c>
      <c r="AM26" s="0" t="n">
        <v>120.7</v>
      </c>
      <c r="AN26" s="0" t="n">
        <v>112.9</v>
      </c>
    </row>
    <row r="27" customFormat="false" ht="15" hidden="false" customHeight="true" outlineLevel="0" collapsed="false">
      <c r="A27" s="0" t="s">
        <v>152</v>
      </c>
      <c r="B27" s="0" t="s">
        <v>153</v>
      </c>
      <c r="C27" s="0" t="n">
        <v>190</v>
      </c>
      <c r="D27" s="0" t="n">
        <v>180</v>
      </c>
      <c r="E27" s="0" t="n">
        <v>180</v>
      </c>
      <c r="F27" s="0" t="n">
        <v>180</v>
      </c>
      <c r="G27" s="0" t="n">
        <v>178</v>
      </c>
      <c r="H27" s="0" t="n">
        <v>180</v>
      </c>
      <c r="I27" s="0" t="n">
        <v>180</v>
      </c>
      <c r="J27" s="0" t="n">
        <v>178</v>
      </c>
      <c r="K27" s="0" t="n">
        <v>179</v>
      </c>
      <c r="L27" s="0" t="n">
        <v>184</v>
      </c>
      <c r="M27" s="0" t="n">
        <v>180</v>
      </c>
      <c r="N27" s="0" t="n">
        <v>179</v>
      </c>
      <c r="O27" s="0" t="n">
        <v>179</v>
      </c>
      <c r="P27" s="0" t="n">
        <v>180</v>
      </c>
      <c r="Q27" s="0" t="n">
        <v>180</v>
      </c>
      <c r="R27" s="0" t="n">
        <v>180</v>
      </c>
      <c r="S27" s="0" t="n">
        <v>178</v>
      </c>
      <c r="T27" s="0" t="n">
        <v>213</v>
      </c>
      <c r="U27" s="0" t="n">
        <v>256</v>
      </c>
      <c r="V27" s="0" t="n">
        <v>258</v>
      </c>
      <c r="W27" s="0" t="n">
        <v>258</v>
      </c>
      <c r="X27" s="0" t="n">
        <v>257</v>
      </c>
      <c r="Y27" s="0" t="n">
        <v>258</v>
      </c>
      <c r="Z27" s="0" t="n">
        <v>258</v>
      </c>
      <c r="AA27" s="0" t="n">
        <v>255</v>
      </c>
      <c r="AB27" s="0" t="n">
        <v>259</v>
      </c>
      <c r="AC27" s="0" t="n">
        <v>262</v>
      </c>
      <c r="AD27" s="0" t="n">
        <v>263</v>
      </c>
      <c r="AE27" s="0" t="n">
        <v>263</v>
      </c>
      <c r="AF27" s="0" t="n">
        <v>262</v>
      </c>
      <c r="AG27" s="0" t="n">
        <v>84</v>
      </c>
      <c r="AH27" s="0" t="n">
        <v>186</v>
      </c>
      <c r="AI27" s="0" t="n">
        <v>213</v>
      </c>
      <c r="AJ27" s="0" t="n">
        <v>260</v>
      </c>
      <c r="AK27" s="0" t="n">
        <v>346</v>
      </c>
      <c r="AL27" s="0" t="n">
        <v>320</v>
      </c>
      <c r="AM27" s="0" t="n">
        <v>180</v>
      </c>
      <c r="AN27" s="0" t="n">
        <v>132</v>
      </c>
    </row>
    <row r="28" customFormat="false" ht="15" hidden="false" customHeight="true" outlineLevel="0" collapsed="false">
      <c r="A28" s="0" t="s">
        <v>154</v>
      </c>
      <c r="B28" s="0" t="s">
        <v>155</v>
      </c>
      <c r="C28" s="0" t="n">
        <v>181.35</v>
      </c>
      <c r="D28" s="0" t="n">
        <v>182.6</v>
      </c>
      <c r="E28" s="0" t="n">
        <v>184.16</v>
      </c>
      <c r="F28" s="0" t="n">
        <v>184.27</v>
      </c>
      <c r="G28" s="0" t="n">
        <v>184.8</v>
      </c>
      <c r="H28" s="0" t="n">
        <v>185.44</v>
      </c>
      <c r="I28" s="0" t="n">
        <v>185.57</v>
      </c>
      <c r="J28" s="0" t="n">
        <v>185.88</v>
      </c>
      <c r="K28" s="0" t="n">
        <v>186.08</v>
      </c>
      <c r="L28" s="0" t="n">
        <v>186.15</v>
      </c>
      <c r="M28" s="0" t="n">
        <v>186.18</v>
      </c>
      <c r="N28" s="0" t="n">
        <v>186.48</v>
      </c>
      <c r="O28" s="0" t="n">
        <v>186.54</v>
      </c>
      <c r="P28" s="0" t="n">
        <v>186.63</v>
      </c>
      <c r="Q28" s="0" t="n">
        <v>186.97</v>
      </c>
      <c r="R28" s="0" t="n">
        <v>187.1</v>
      </c>
      <c r="S28" s="0" t="n">
        <v>187.38</v>
      </c>
      <c r="T28" s="0" t="n">
        <v>208.9</v>
      </c>
      <c r="U28" s="0" t="n">
        <v>234.86</v>
      </c>
      <c r="V28" s="0" t="n">
        <v>246.24</v>
      </c>
      <c r="W28" s="0" t="n">
        <v>248.4</v>
      </c>
      <c r="X28" s="0" t="n">
        <v>248.51</v>
      </c>
      <c r="Y28" s="0" t="n">
        <v>248.53</v>
      </c>
      <c r="Z28" s="0" t="n">
        <v>248.82</v>
      </c>
      <c r="AA28" s="0" t="n">
        <v>250.27</v>
      </c>
      <c r="AB28" s="0" t="n">
        <v>251</v>
      </c>
      <c r="AC28" s="0" t="n">
        <v>304.98</v>
      </c>
      <c r="AD28" s="0" t="n">
        <v>305.42</v>
      </c>
      <c r="AE28" s="0" t="n">
        <v>306.23</v>
      </c>
      <c r="AF28" s="0" t="n">
        <v>306.33</v>
      </c>
      <c r="AG28" s="0" t="n">
        <v>97.93</v>
      </c>
      <c r="AH28" s="0" t="n">
        <v>188.16</v>
      </c>
      <c r="AI28" s="0" t="n">
        <v>207.64</v>
      </c>
      <c r="AJ28" s="0" t="n">
        <v>249.36</v>
      </c>
      <c r="AK28" s="0" t="n">
        <v>310.8</v>
      </c>
      <c r="AL28" s="0" t="n">
        <v>306.3</v>
      </c>
      <c r="AM28" s="0" t="n">
        <v>183</v>
      </c>
      <c r="AN28" s="0" t="n">
        <v>116.6</v>
      </c>
    </row>
    <row r="29" customFormat="false" ht="15" hidden="false" customHeight="true" outlineLevel="0" collapsed="false">
      <c r="A29" s="0" t="s">
        <v>156</v>
      </c>
      <c r="B29" s="0" t="s">
        <v>157</v>
      </c>
      <c r="C29" s="0" t="n">
        <v>183.98</v>
      </c>
      <c r="D29" s="0" t="n">
        <v>185.22</v>
      </c>
      <c r="E29" s="0" t="n">
        <v>186.78</v>
      </c>
      <c r="F29" s="0" t="n">
        <v>186.89</v>
      </c>
      <c r="G29" s="0" t="n">
        <v>187.42</v>
      </c>
      <c r="H29" s="0" t="n">
        <v>188.07</v>
      </c>
      <c r="I29" s="0" t="n">
        <v>188.2</v>
      </c>
      <c r="J29" s="0" t="n">
        <v>188.51</v>
      </c>
      <c r="K29" s="0" t="n">
        <v>188.7</v>
      </c>
      <c r="L29" s="0" t="n">
        <v>188.78</v>
      </c>
      <c r="M29" s="0" t="n">
        <v>188.81</v>
      </c>
      <c r="N29" s="0" t="n">
        <v>189.1</v>
      </c>
      <c r="O29" s="0" t="n">
        <v>189.17</v>
      </c>
      <c r="P29" s="0" t="n">
        <v>189.26</v>
      </c>
      <c r="Q29" s="0" t="n">
        <v>189.6</v>
      </c>
      <c r="R29" s="0" t="n">
        <v>189.72</v>
      </c>
      <c r="S29" s="0" t="n">
        <v>190.01</v>
      </c>
      <c r="T29" s="0" t="n">
        <v>211.53</v>
      </c>
      <c r="U29" s="0" t="n">
        <v>237.48</v>
      </c>
      <c r="V29" s="0" t="n">
        <v>248.87</v>
      </c>
      <c r="W29" s="0" t="n">
        <v>251.03</v>
      </c>
      <c r="X29" s="0" t="n">
        <v>251.14</v>
      </c>
      <c r="Y29" s="0" t="n">
        <v>251.15</v>
      </c>
      <c r="Z29" s="0" t="n">
        <v>251.45</v>
      </c>
      <c r="AA29" s="0" t="n">
        <v>252.9</v>
      </c>
      <c r="AB29" s="0" t="n">
        <v>253.62</v>
      </c>
      <c r="AC29" s="0" t="n">
        <v>307.61</v>
      </c>
      <c r="AD29" s="0" t="n">
        <v>308.05</v>
      </c>
      <c r="AE29" s="0" t="n">
        <v>308.86</v>
      </c>
      <c r="AF29" s="0" t="n">
        <v>308.96</v>
      </c>
      <c r="AG29" s="0" t="n">
        <v>100.56</v>
      </c>
      <c r="AH29" s="0" t="n">
        <v>190.78</v>
      </c>
      <c r="AI29" s="0" t="n">
        <v>210.27</v>
      </c>
      <c r="AJ29" s="0" t="n">
        <v>251.99</v>
      </c>
      <c r="AK29" s="0" t="n">
        <v>313.43</v>
      </c>
      <c r="AL29" s="0" t="n">
        <v>308.9</v>
      </c>
      <c r="AM29" s="0" t="n">
        <v>185.6</v>
      </c>
      <c r="AN29" s="0" t="n">
        <v>88.2</v>
      </c>
    </row>
    <row r="30" customFormat="false" ht="15" hidden="false" customHeight="true" outlineLevel="0" collapsed="false">
      <c r="A30" s="0" t="s">
        <v>158</v>
      </c>
      <c r="B30" s="0" t="s">
        <v>159</v>
      </c>
      <c r="C30" s="0" t="n">
        <v>99.21</v>
      </c>
      <c r="D30" s="0" t="n">
        <v>100.45</v>
      </c>
      <c r="E30" s="0" t="n">
        <v>102.01</v>
      </c>
      <c r="F30" s="0" t="n">
        <v>102.12</v>
      </c>
      <c r="G30" s="0" t="n">
        <v>102.65</v>
      </c>
      <c r="H30" s="0" t="n">
        <v>103.3</v>
      </c>
      <c r="I30" s="0" t="n">
        <v>103.43</v>
      </c>
      <c r="J30" s="0" t="n">
        <v>103.74</v>
      </c>
      <c r="K30" s="0" t="n">
        <v>103.93</v>
      </c>
      <c r="L30" s="0" t="n">
        <v>104.01</v>
      </c>
      <c r="M30" s="0" t="n">
        <v>104.04</v>
      </c>
      <c r="N30" s="0" t="n">
        <v>104.33</v>
      </c>
      <c r="O30" s="0" t="n">
        <v>104.4</v>
      </c>
      <c r="P30" s="0" t="n">
        <v>104.49</v>
      </c>
      <c r="Q30" s="0" t="n">
        <v>104.83</v>
      </c>
      <c r="R30" s="0" t="n">
        <v>104.95</v>
      </c>
      <c r="S30" s="0" t="n">
        <v>105.24</v>
      </c>
      <c r="T30" s="0" t="n">
        <v>126.76</v>
      </c>
      <c r="U30" s="0" t="n">
        <v>152.71</v>
      </c>
      <c r="V30" s="0" t="n">
        <v>164.1</v>
      </c>
      <c r="W30" s="0" t="n">
        <v>166.26</v>
      </c>
      <c r="X30" s="0" t="n">
        <v>166.37</v>
      </c>
      <c r="Y30" s="0" t="n">
        <v>166.38</v>
      </c>
      <c r="Z30" s="0" t="n">
        <v>166.68</v>
      </c>
      <c r="AA30" s="0" t="n">
        <v>168.13</v>
      </c>
      <c r="AB30" s="0" t="n">
        <v>168.85</v>
      </c>
      <c r="AC30" s="0" t="n">
        <v>222.84</v>
      </c>
      <c r="AD30" s="0" t="n">
        <v>223.28</v>
      </c>
      <c r="AE30" s="0" t="n">
        <v>224.09</v>
      </c>
      <c r="AF30" s="0" t="n">
        <v>224.19</v>
      </c>
      <c r="AG30" s="0" t="n">
        <v>15.79</v>
      </c>
      <c r="AH30" s="0" t="n">
        <v>106.01</v>
      </c>
      <c r="AI30" s="0" t="n">
        <v>125.5</v>
      </c>
      <c r="AJ30" s="0" t="n">
        <v>167.22</v>
      </c>
      <c r="AK30" s="0" t="n">
        <v>228.66</v>
      </c>
      <c r="AL30" s="0" t="n">
        <v>224.1</v>
      </c>
      <c r="AM30" s="0" t="n">
        <v>100.8</v>
      </c>
      <c r="AN30" s="0" t="n">
        <v>93.6</v>
      </c>
    </row>
    <row r="31" customFormat="false" ht="15" hidden="false" customHeight="true" outlineLevel="0" collapsed="false">
      <c r="A31" s="0" t="s">
        <v>160</v>
      </c>
      <c r="B31" s="0" t="s">
        <v>161</v>
      </c>
      <c r="C31" s="0" t="n">
        <v>96.49</v>
      </c>
      <c r="D31" s="0" t="n">
        <v>97.74</v>
      </c>
      <c r="E31" s="0" t="n">
        <v>99.3</v>
      </c>
      <c r="F31" s="0" t="n">
        <v>99.41</v>
      </c>
      <c r="G31" s="0" t="n">
        <v>99.94</v>
      </c>
      <c r="H31" s="0" t="n">
        <v>100.58</v>
      </c>
      <c r="I31" s="0" t="n">
        <v>100.71</v>
      </c>
      <c r="J31" s="0" t="n">
        <v>101.02</v>
      </c>
      <c r="K31" s="0" t="n">
        <v>101.22</v>
      </c>
      <c r="L31" s="0" t="n">
        <v>101.29</v>
      </c>
      <c r="M31" s="0" t="n">
        <v>101.32</v>
      </c>
      <c r="N31" s="0" t="n">
        <v>101.62</v>
      </c>
      <c r="O31" s="0" t="n">
        <v>101.68</v>
      </c>
      <c r="P31" s="0" t="n">
        <v>101.77</v>
      </c>
      <c r="Q31" s="0" t="n">
        <v>102.11</v>
      </c>
      <c r="R31" s="0" t="n">
        <v>102.24</v>
      </c>
      <c r="S31" s="0" t="n">
        <v>102.52</v>
      </c>
      <c r="T31" s="0" t="n">
        <v>124.04</v>
      </c>
      <c r="U31" s="0" t="n">
        <v>150</v>
      </c>
      <c r="V31" s="0" t="n">
        <v>161.38</v>
      </c>
      <c r="W31" s="0" t="n">
        <v>163.54</v>
      </c>
      <c r="X31" s="0" t="n">
        <v>163.65</v>
      </c>
      <c r="Y31" s="0" t="n">
        <v>163.67</v>
      </c>
      <c r="Z31" s="0" t="n">
        <v>163.96</v>
      </c>
      <c r="AA31" s="0" t="n">
        <v>165.41</v>
      </c>
      <c r="AB31" s="0" t="n">
        <v>166.14</v>
      </c>
      <c r="AC31" s="0" t="n">
        <v>220.12</v>
      </c>
      <c r="AD31" s="0" t="n">
        <v>220.56</v>
      </c>
      <c r="AE31" s="0" t="n">
        <v>221.37</v>
      </c>
      <c r="AF31" s="0" t="n">
        <v>221.47</v>
      </c>
      <c r="AG31" s="0" t="n">
        <v>13.81</v>
      </c>
      <c r="AH31" s="0" t="n">
        <v>103.3</v>
      </c>
      <c r="AI31" s="0" t="n">
        <v>122.78</v>
      </c>
      <c r="AJ31" s="0" t="n">
        <v>164.5</v>
      </c>
      <c r="AK31" s="0" t="n">
        <v>225.94</v>
      </c>
      <c r="AL31" s="0" t="n">
        <v>221.4</v>
      </c>
      <c r="AM31" s="0" t="n">
        <v>98.1</v>
      </c>
      <c r="AN31" s="0" t="n">
        <v>71.8</v>
      </c>
    </row>
    <row r="32" customFormat="false" ht="15" hidden="false" customHeight="true" outlineLevel="0" collapsed="false">
      <c r="A32" s="0" t="s">
        <v>162</v>
      </c>
      <c r="B32" s="0" t="s">
        <v>163</v>
      </c>
      <c r="C32" s="0" t="n">
        <v>198.25</v>
      </c>
      <c r="D32" s="0" t="n">
        <v>184.89</v>
      </c>
      <c r="E32" s="0" t="n">
        <v>186.45</v>
      </c>
      <c r="F32" s="0" t="n">
        <v>186.56</v>
      </c>
      <c r="G32" s="0" t="n">
        <v>187.09</v>
      </c>
      <c r="H32" s="0" t="n">
        <v>187.74</v>
      </c>
      <c r="I32" s="0" t="n">
        <v>187.87</v>
      </c>
      <c r="J32" s="0" t="n">
        <v>188.18</v>
      </c>
      <c r="K32" s="0" t="n">
        <v>188.37</v>
      </c>
      <c r="L32" s="0" t="n">
        <v>188.45</v>
      </c>
      <c r="M32" s="0" t="n">
        <v>188.48</v>
      </c>
      <c r="N32" s="0" t="n">
        <v>188.77</v>
      </c>
      <c r="O32" s="0" t="n">
        <v>188.84</v>
      </c>
      <c r="P32" s="0" t="n">
        <v>188.93</v>
      </c>
      <c r="Q32" s="0" t="n">
        <v>189.26</v>
      </c>
      <c r="R32" s="0" t="n">
        <v>189.39</v>
      </c>
      <c r="S32" s="0" t="n">
        <v>189.68</v>
      </c>
      <c r="T32" s="0" t="n">
        <v>216.61</v>
      </c>
      <c r="U32" s="0" t="n">
        <v>237.15</v>
      </c>
      <c r="V32" s="0" t="n">
        <v>250.69</v>
      </c>
      <c r="W32" s="0" t="n">
        <v>252.85</v>
      </c>
      <c r="X32" s="0" t="n">
        <v>252.96</v>
      </c>
      <c r="Y32" s="0" t="n">
        <v>252.97</v>
      </c>
      <c r="Z32" s="0" t="n">
        <v>253.26</v>
      </c>
      <c r="AA32" s="0" t="n">
        <v>254.72</v>
      </c>
      <c r="AB32" s="0" t="n">
        <v>255.44</v>
      </c>
      <c r="AC32" s="0" t="n">
        <v>307.28</v>
      </c>
      <c r="AD32" s="0" t="n">
        <v>307.72</v>
      </c>
      <c r="AE32" s="0" t="n">
        <v>308.53</v>
      </c>
      <c r="AF32" s="0" t="n">
        <v>308.63</v>
      </c>
      <c r="AG32" s="0" t="n">
        <v>122.27</v>
      </c>
      <c r="AH32" s="0" t="n">
        <v>190.45</v>
      </c>
      <c r="AI32" s="0" t="n">
        <v>217.54</v>
      </c>
      <c r="AJ32" s="0" t="n">
        <v>253.8</v>
      </c>
      <c r="AK32" s="0" t="n">
        <v>313.1</v>
      </c>
      <c r="AL32" s="0" t="n">
        <v>308.6</v>
      </c>
      <c r="AM32" s="0" t="n">
        <v>199.9</v>
      </c>
      <c r="AN32" s="0" t="n">
        <v>180.7</v>
      </c>
    </row>
    <row r="33" customFormat="false" ht="15" hidden="false" customHeight="true" outlineLevel="0" collapsed="false">
      <c r="A33" s="0" t="s">
        <v>164</v>
      </c>
      <c r="B33" s="0" t="s">
        <v>165</v>
      </c>
      <c r="C33" s="0" t="n">
        <v>51.51</v>
      </c>
      <c r="D33" s="0" t="n">
        <v>77.87</v>
      </c>
      <c r="E33" s="0" t="n">
        <v>79.43</v>
      </c>
      <c r="F33" s="0" t="n">
        <v>79.54</v>
      </c>
      <c r="G33" s="0" t="n">
        <v>80.07</v>
      </c>
      <c r="H33" s="0" t="n">
        <v>80.72</v>
      </c>
      <c r="I33" s="0" t="n">
        <v>80.85</v>
      </c>
      <c r="J33" s="0" t="n">
        <v>81.16</v>
      </c>
      <c r="K33" s="0" t="n">
        <v>81.35</v>
      </c>
      <c r="L33" s="0" t="n">
        <v>81.43</v>
      </c>
      <c r="M33" s="0" t="n">
        <v>81.46</v>
      </c>
      <c r="N33" s="0" t="n">
        <v>81.75</v>
      </c>
      <c r="O33" s="0" t="n">
        <v>81.82</v>
      </c>
      <c r="P33" s="0" t="n">
        <v>81.91</v>
      </c>
      <c r="Q33" s="0" t="n">
        <v>82.24</v>
      </c>
      <c r="R33" s="0" t="n">
        <v>82.37</v>
      </c>
      <c r="S33" s="0" t="n">
        <v>82.66</v>
      </c>
      <c r="T33" s="0" t="n">
        <v>79.7</v>
      </c>
      <c r="U33" s="0" t="n">
        <v>120.2</v>
      </c>
      <c r="V33" s="0" t="n">
        <v>117.04</v>
      </c>
      <c r="W33" s="0" t="n">
        <v>119.2</v>
      </c>
      <c r="X33" s="0" t="n">
        <v>119.31</v>
      </c>
      <c r="Y33" s="0" t="n">
        <v>119.33</v>
      </c>
      <c r="Z33" s="0" t="n">
        <v>119.62</v>
      </c>
      <c r="AA33" s="0" t="n">
        <v>121.07</v>
      </c>
      <c r="AB33" s="0" t="n">
        <v>121.79</v>
      </c>
      <c r="AC33" s="0" t="n">
        <v>200.26</v>
      </c>
      <c r="AD33" s="0" t="n">
        <v>200.7</v>
      </c>
      <c r="AE33" s="0" t="n">
        <v>201.51</v>
      </c>
      <c r="AF33" s="0" t="n">
        <v>201.61</v>
      </c>
      <c r="AG33" s="0" t="n">
        <v>82.4</v>
      </c>
      <c r="AH33" s="0" t="n">
        <v>83.43</v>
      </c>
      <c r="AI33" s="0" t="n">
        <v>78.44</v>
      </c>
      <c r="AJ33" s="0" t="n">
        <v>120.16</v>
      </c>
      <c r="AK33" s="0" t="n">
        <v>206.07</v>
      </c>
      <c r="AL33" s="0" t="n">
        <v>201.6</v>
      </c>
      <c r="AM33" s="0" t="n">
        <v>53.2</v>
      </c>
      <c r="AN33" s="0" t="n">
        <v>114.8</v>
      </c>
    </row>
    <row r="34" customFormat="false" ht="15" hidden="false" customHeight="true" outlineLevel="0" collapsed="false">
      <c r="A34" s="0" t="s">
        <v>166</v>
      </c>
      <c r="B34" s="0" t="s">
        <v>167</v>
      </c>
      <c r="C34" s="0" t="n">
        <v>58.84</v>
      </c>
      <c r="D34" s="0" t="n">
        <v>68.77</v>
      </c>
      <c r="E34" s="0" t="n">
        <v>70.33</v>
      </c>
      <c r="F34" s="0" t="n">
        <v>70.44</v>
      </c>
      <c r="G34" s="0" t="n">
        <v>70.97</v>
      </c>
      <c r="H34" s="0" t="n">
        <v>71.62</v>
      </c>
      <c r="I34" s="0" t="n">
        <v>71.75</v>
      </c>
      <c r="J34" s="0" t="n">
        <v>72.06</v>
      </c>
      <c r="K34" s="0" t="n">
        <v>72.25</v>
      </c>
      <c r="L34" s="0" t="n">
        <v>72.33</v>
      </c>
      <c r="M34" s="0" t="n">
        <v>72.36</v>
      </c>
      <c r="N34" s="0" t="n">
        <v>72.65</v>
      </c>
      <c r="O34" s="0" t="n">
        <v>72.72</v>
      </c>
      <c r="P34" s="0" t="n">
        <v>72.81</v>
      </c>
      <c r="Q34" s="0" t="n">
        <v>73.15</v>
      </c>
      <c r="R34" s="0" t="n">
        <v>73.27</v>
      </c>
      <c r="S34" s="0" t="n">
        <v>73.56</v>
      </c>
      <c r="T34" s="0" t="n">
        <v>87.04</v>
      </c>
      <c r="U34" s="0" t="n">
        <v>121.03</v>
      </c>
      <c r="V34" s="0" t="n">
        <v>124.38</v>
      </c>
      <c r="W34" s="0" t="n">
        <v>126.53</v>
      </c>
      <c r="X34" s="0" t="n">
        <v>126.65</v>
      </c>
      <c r="Y34" s="0" t="n">
        <v>126.66</v>
      </c>
      <c r="Z34" s="0" t="n">
        <v>126.95</v>
      </c>
      <c r="AA34" s="0" t="n">
        <v>128.41</v>
      </c>
      <c r="AB34" s="0" t="n">
        <v>129.13</v>
      </c>
      <c r="AC34" s="0" t="n">
        <v>191.16</v>
      </c>
      <c r="AD34" s="0" t="n">
        <v>191.6</v>
      </c>
      <c r="AE34" s="0" t="n">
        <v>192.41</v>
      </c>
      <c r="AF34" s="0" t="n">
        <v>192.51</v>
      </c>
      <c r="AG34" s="0" t="n">
        <v>62.76</v>
      </c>
      <c r="AH34" s="0" t="n">
        <v>74.33</v>
      </c>
      <c r="AI34" s="0" t="n">
        <v>85.78</v>
      </c>
      <c r="AJ34" s="0" t="n">
        <v>127.49</v>
      </c>
      <c r="AK34" s="0" t="n">
        <v>196.98</v>
      </c>
      <c r="AL34" s="0" t="n">
        <v>192.5</v>
      </c>
      <c r="AM34" s="0" t="n">
        <v>60.5</v>
      </c>
      <c r="AN34" s="0" t="n">
        <v>113.4</v>
      </c>
    </row>
    <row r="35" customFormat="false" ht="15" hidden="false" customHeight="true" outlineLevel="0" collapsed="false">
      <c r="A35" s="0" t="s">
        <v>168</v>
      </c>
      <c r="B35" s="0" t="s">
        <v>169</v>
      </c>
      <c r="C35" s="0" t="n">
        <v>42.06</v>
      </c>
      <c r="D35" s="0" t="n">
        <v>68.43</v>
      </c>
      <c r="E35" s="0" t="n">
        <v>69.99</v>
      </c>
      <c r="F35" s="0" t="n">
        <v>70.1</v>
      </c>
      <c r="G35" s="0" t="n">
        <v>70.63</v>
      </c>
      <c r="H35" s="0" t="n">
        <v>71.27</v>
      </c>
      <c r="I35" s="0" t="n">
        <v>71.4</v>
      </c>
      <c r="J35" s="0" t="n">
        <v>71.71</v>
      </c>
      <c r="K35" s="0" t="n">
        <v>71.91</v>
      </c>
      <c r="L35" s="0" t="n">
        <v>71.98</v>
      </c>
      <c r="M35" s="0" t="n">
        <v>72.01</v>
      </c>
      <c r="N35" s="0" t="n">
        <v>72.31</v>
      </c>
      <c r="O35" s="0" t="n">
        <v>72.37</v>
      </c>
      <c r="P35" s="0" t="n">
        <v>72.46</v>
      </c>
      <c r="Q35" s="0" t="n">
        <v>72.8</v>
      </c>
      <c r="R35" s="0" t="n">
        <v>72.93</v>
      </c>
      <c r="S35" s="0" t="n">
        <v>73.21</v>
      </c>
      <c r="T35" s="0" t="n">
        <v>70.25</v>
      </c>
      <c r="U35" s="0" t="n">
        <v>110.76</v>
      </c>
      <c r="V35" s="0" t="n">
        <v>107.6</v>
      </c>
      <c r="W35" s="0" t="n">
        <v>109.75</v>
      </c>
      <c r="X35" s="0" t="n">
        <v>109.86</v>
      </c>
      <c r="Y35" s="0" t="n">
        <v>109.88</v>
      </c>
      <c r="Z35" s="0" t="n">
        <v>110.17</v>
      </c>
      <c r="AA35" s="0" t="n">
        <v>111.62</v>
      </c>
      <c r="AB35" s="0" t="n">
        <v>112.35</v>
      </c>
      <c r="AC35" s="0" t="n">
        <v>190.81</v>
      </c>
      <c r="AD35" s="0" t="n">
        <v>191.25</v>
      </c>
      <c r="AE35" s="0" t="n">
        <v>192.06</v>
      </c>
      <c r="AF35" s="0" t="n">
        <v>192.16</v>
      </c>
      <c r="AG35" s="0" t="n">
        <v>67.96</v>
      </c>
      <c r="AH35" s="0" t="n">
        <v>73.99</v>
      </c>
      <c r="AI35" s="0" t="n">
        <v>68.99</v>
      </c>
      <c r="AJ35" s="0" t="n">
        <v>110.71</v>
      </c>
      <c r="AK35" s="0" t="n">
        <v>196.63</v>
      </c>
      <c r="AL35" s="0" t="n">
        <v>192.1</v>
      </c>
      <c r="AM35" s="0" t="n">
        <v>43.7</v>
      </c>
      <c r="AN35" s="0" t="n">
        <v>94.6</v>
      </c>
    </row>
    <row r="36" customFormat="false" ht="15" hidden="false" customHeight="true" outlineLevel="0" collapsed="false">
      <c r="A36" s="0" t="s">
        <v>170</v>
      </c>
      <c r="B36" s="0" t="s">
        <v>171</v>
      </c>
      <c r="C36" s="0" t="n">
        <v>38.96</v>
      </c>
      <c r="D36" s="0" t="n">
        <v>65.33</v>
      </c>
      <c r="E36" s="0" t="n">
        <v>66.89</v>
      </c>
      <c r="F36" s="0" t="n">
        <v>67</v>
      </c>
      <c r="G36" s="0" t="n">
        <v>67.53</v>
      </c>
      <c r="H36" s="0" t="n">
        <v>68.18</v>
      </c>
      <c r="I36" s="0" t="n">
        <v>68.31</v>
      </c>
      <c r="J36" s="0" t="n">
        <v>68.62</v>
      </c>
      <c r="K36" s="0" t="n">
        <v>68.81</v>
      </c>
      <c r="L36" s="0" t="n">
        <v>68.89</v>
      </c>
      <c r="M36" s="0" t="n">
        <v>68.92</v>
      </c>
      <c r="N36" s="0" t="n">
        <v>69.21</v>
      </c>
      <c r="O36" s="0" t="n">
        <v>69.27</v>
      </c>
      <c r="P36" s="0" t="n">
        <v>69.37</v>
      </c>
      <c r="Q36" s="0" t="n">
        <v>69.7</v>
      </c>
      <c r="R36" s="0" t="n">
        <v>69.83</v>
      </c>
      <c r="S36" s="0" t="n">
        <v>70.11</v>
      </c>
      <c r="T36" s="0" t="n">
        <v>67.16</v>
      </c>
      <c r="U36" s="0" t="n">
        <v>107.66</v>
      </c>
      <c r="V36" s="0" t="n">
        <v>104.5</v>
      </c>
      <c r="W36" s="0" t="n">
        <v>106.66</v>
      </c>
      <c r="X36" s="0" t="n">
        <v>106.77</v>
      </c>
      <c r="Y36" s="0" t="n">
        <v>106.78</v>
      </c>
      <c r="Z36" s="0" t="n">
        <v>107.07</v>
      </c>
      <c r="AA36" s="0" t="n">
        <v>108.53</v>
      </c>
      <c r="AB36" s="0" t="n">
        <v>109.25</v>
      </c>
      <c r="AC36" s="0" t="n">
        <v>187.72</v>
      </c>
      <c r="AD36" s="0" t="n">
        <v>188.15</v>
      </c>
      <c r="AE36" s="0" t="n">
        <v>188.97</v>
      </c>
      <c r="AF36" s="0" t="n">
        <v>189.06</v>
      </c>
      <c r="AG36" s="0" t="n">
        <v>93.95</v>
      </c>
      <c r="AH36" s="0" t="n">
        <v>70.89</v>
      </c>
      <c r="AI36" s="0" t="n">
        <v>65.9</v>
      </c>
      <c r="AJ36" s="0" t="n">
        <v>107.61</v>
      </c>
      <c r="AK36" s="0" t="n">
        <v>193.53</v>
      </c>
      <c r="AL36" s="0" t="n">
        <v>189</v>
      </c>
      <c r="AM36" s="0" t="n">
        <v>40.6</v>
      </c>
      <c r="AN36" s="0" t="n">
        <v>72.4</v>
      </c>
    </row>
    <row r="37" customFormat="false" ht="15" hidden="false" customHeight="true" outlineLevel="0" collapsed="false">
      <c r="A37" s="0" t="s">
        <v>172</v>
      </c>
      <c r="B37" s="0" t="s">
        <v>173</v>
      </c>
      <c r="C37" s="0" t="n">
        <v>37.62</v>
      </c>
      <c r="D37" s="0" t="n">
        <v>63.98</v>
      </c>
      <c r="E37" s="0" t="n">
        <v>65.54</v>
      </c>
      <c r="F37" s="0" t="n">
        <v>65.66</v>
      </c>
      <c r="G37" s="0" t="n">
        <v>66.18</v>
      </c>
      <c r="H37" s="0" t="n">
        <v>66.83</v>
      </c>
      <c r="I37" s="0" t="n">
        <v>66.96</v>
      </c>
      <c r="J37" s="0" t="n">
        <v>67.27</v>
      </c>
      <c r="K37" s="0" t="n">
        <v>67.47</v>
      </c>
      <c r="L37" s="0" t="n">
        <v>67.54</v>
      </c>
      <c r="M37" s="0" t="n">
        <v>67.57</v>
      </c>
      <c r="N37" s="0" t="n">
        <v>67.87</v>
      </c>
      <c r="O37" s="0" t="n">
        <v>67.93</v>
      </c>
      <c r="P37" s="0" t="n">
        <v>68.02</v>
      </c>
      <c r="Q37" s="0" t="n">
        <v>68.36</v>
      </c>
      <c r="R37" s="0" t="n">
        <v>68.49</v>
      </c>
      <c r="S37" s="0" t="n">
        <v>68.77</v>
      </c>
      <c r="T37" s="0" t="n">
        <v>65.81</v>
      </c>
      <c r="U37" s="0" t="n">
        <v>106.32</v>
      </c>
      <c r="V37" s="0" t="n">
        <v>103.15</v>
      </c>
      <c r="W37" s="0" t="n">
        <v>105.31</v>
      </c>
      <c r="X37" s="0" t="n">
        <v>105.42</v>
      </c>
      <c r="Y37" s="0" t="n">
        <v>105.44</v>
      </c>
      <c r="Z37" s="0" t="n">
        <v>105.73</v>
      </c>
      <c r="AA37" s="0" t="n">
        <v>107.18</v>
      </c>
      <c r="AB37" s="0" t="n">
        <v>107.91</v>
      </c>
      <c r="AC37" s="0" t="n">
        <v>186.37</v>
      </c>
      <c r="AD37" s="0" t="n">
        <v>186.81</v>
      </c>
      <c r="AE37" s="0" t="n">
        <v>187.62</v>
      </c>
      <c r="AF37" s="0" t="n">
        <v>187.72</v>
      </c>
      <c r="AG37" s="0" t="n">
        <v>106.53</v>
      </c>
      <c r="AH37" s="0" t="n">
        <v>69.55</v>
      </c>
      <c r="AI37" s="0" t="n">
        <v>64.55</v>
      </c>
      <c r="AJ37" s="0" t="n">
        <v>106.27</v>
      </c>
      <c r="AK37" s="0" t="n">
        <v>192.19</v>
      </c>
      <c r="AL37" s="0" t="n">
        <v>187.7</v>
      </c>
      <c r="AM37" s="0" t="n">
        <v>39.3</v>
      </c>
      <c r="AN37" s="0" t="n">
        <v>102.6</v>
      </c>
    </row>
    <row r="38" customFormat="false" ht="15" hidden="false" customHeight="true" outlineLevel="0" collapsed="false">
      <c r="A38" s="0" t="s">
        <v>174</v>
      </c>
      <c r="B38" s="0" t="s">
        <v>175</v>
      </c>
      <c r="C38" s="0" t="n">
        <v>82.29</v>
      </c>
      <c r="D38" s="0" t="n">
        <v>108.66</v>
      </c>
      <c r="E38" s="0" t="n">
        <v>110.22</v>
      </c>
      <c r="F38" s="0" t="n">
        <v>110.33</v>
      </c>
      <c r="G38" s="0" t="n">
        <v>110.86</v>
      </c>
      <c r="H38" s="0" t="n">
        <v>111.5</v>
      </c>
      <c r="I38" s="0" t="n">
        <v>111.63</v>
      </c>
      <c r="J38" s="0" t="n">
        <v>111.94</v>
      </c>
      <c r="K38" s="0" t="n">
        <v>112.14</v>
      </c>
      <c r="L38" s="0" t="n">
        <v>112.21</v>
      </c>
      <c r="M38" s="0" t="n">
        <v>112.25</v>
      </c>
      <c r="N38" s="0" t="n">
        <v>112.54</v>
      </c>
      <c r="O38" s="0" t="n">
        <v>112.6</v>
      </c>
      <c r="P38" s="0" t="n">
        <v>112.69</v>
      </c>
      <c r="Q38" s="0" t="n">
        <v>113.03</v>
      </c>
      <c r="R38" s="0" t="n">
        <v>113.16</v>
      </c>
      <c r="S38" s="0" t="n">
        <v>113.44</v>
      </c>
      <c r="T38" s="0" t="n">
        <v>110.49</v>
      </c>
      <c r="U38" s="0" t="n">
        <v>150.99</v>
      </c>
      <c r="V38" s="0" t="n">
        <v>147.83</v>
      </c>
      <c r="W38" s="0" t="n">
        <v>149.98</v>
      </c>
      <c r="X38" s="0" t="n">
        <v>150.1</v>
      </c>
      <c r="Y38" s="0" t="n">
        <v>150.11</v>
      </c>
      <c r="Z38" s="0" t="n">
        <v>150.4</v>
      </c>
      <c r="AA38" s="0" t="n">
        <v>151.85</v>
      </c>
      <c r="AB38" s="0" t="n">
        <v>152.58</v>
      </c>
      <c r="AC38" s="0" t="n">
        <v>231.05</v>
      </c>
      <c r="AD38" s="0" t="n">
        <v>231.48</v>
      </c>
      <c r="AE38" s="0" t="n">
        <v>232.3</v>
      </c>
      <c r="AF38" s="0" t="n">
        <v>232.39</v>
      </c>
      <c r="AG38" s="0" t="n">
        <v>31.1</v>
      </c>
      <c r="AH38" s="0" t="n">
        <v>114.22</v>
      </c>
      <c r="AI38" s="0" t="n">
        <v>109.22</v>
      </c>
      <c r="AJ38" s="0" t="n">
        <v>150.94</v>
      </c>
      <c r="AK38" s="0" t="n">
        <v>236.86</v>
      </c>
      <c r="AL38" s="0" t="n">
        <v>232.4</v>
      </c>
      <c r="AM38" s="0" t="n">
        <v>83.9</v>
      </c>
      <c r="AN38" s="0" t="n">
        <v>61.1</v>
      </c>
    </row>
    <row r="39" customFormat="false" ht="15" hidden="false" customHeight="true" outlineLevel="0" collapsed="false">
      <c r="A39" s="0" t="s">
        <v>176</v>
      </c>
      <c r="B39" s="0" t="s">
        <v>177</v>
      </c>
      <c r="C39" s="0" t="n">
        <v>85.92</v>
      </c>
      <c r="D39" s="0" t="n">
        <v>112.28</v>
      </c>
      <c r="E39" s="0" t="n">
        <v>113.84</v>
      </c>
      <c r="F39" s="0" t="n">
        <v>113.95</v>
      </c>
      <c r="G39" s="0" t="n">
        <v>114.48</v>
      </c>
      <c r="H39" s="0" t="n">
        <v>115.13</v>
      </c>
      <c r="I39" s="0" t="n">
        <v>115.26</v>
      </c>
      <c r="J39" s="0" t="n">
        <v>115.57</v>
      </c>
      <c r="K39" s="0" t="n">
        <v>115.76</v>
      </c>
      <c r="L39" s="0" t="n">
        <v>115.84</v>
      </c>
      <c r="M39" s="0" t="n">
        <v>115.87</v>
      </c>
      <c r="N39" s="0" t="n">
        <v>116.16</v>
      </c>
      <c r="O39" s="0" t="n">
        <v>116.23</v>
      </c>
      <c r="P39" s="0" t="n">
        <v>116.32</v>
      </c>
      <c r="Q39" s="0" t="n">
        <v>116.65</v>
      </c>
      <c r="R39" s="0" t="n">
        <v>116.78</v>
      </c>
      <c r="S39" s="0" t="n">
        <v>117.07</v>
      </c>
      <c r="T39" s="0" t="n">
        <v>114.11</v>
      </c>
      <c r="U39" s="0" t="n">
        <v>154.61</v>
      </c>
      <c r="V39" s="0" t="n">
        <v>151.45</v>
      </c>
      <c r="W39" s="0" t="n">
        <v>153.61</v>
      </c>
      <c r="X39" s="0" t="n">
        <v>153.72</v>
      </c>
      <c r="Y39" s="0" t="n">
        <v>153.74</v>
      </c>
      <c r="Z39" s="0" t="n">
        <v>154.03</v>
      </c>
      <c r="AA39" s="0" t="n">
        <v>155.48</v>
      </c>
      <c r="AB39" s="0" t="n">
        <v>156.2</v>
      </c>
      <c r="AC39" s="0" t="n">
        <v>234.67</v>
      </c>
      <c r="AD39" s="0" t="n">
        <v>235.11</v>
      </c>
      <c r="AE39" s="0" t="n">
        <v>235.92</v>
      </c>
      <c r="AF39" s="0" t="n">
        <v>236.02</v>
      </c>
      <c r="AG39" s="0" t="n">
        <v>62.84</v>
      </c>
      <c r="AH39" s="0" t="n">
        <v>117.84</v>
      </c>
      <c r="AI39" s="0" t="n">
        <v>112.85</v>
      </c>
      <c r="AJ39" s="0" t="n">
        <v>154.57</v>
      </c>
      <c r="AK39" s="0" t="n">
        <v>240.49</v>
      </c>
      <c r="AL39" s="0" t="n">
        <v>236</v>
      </c>
      <c r="AM39" s="0" t="n">
        <v>87.6</v>
      </c>
      <c r="AN39" s="0" t="n">
        <v>49.1</v>
      </c>
    </row>
    <row r="40" customFormat="false" ht="15" hidden="false" customHeight="true" outlineLevel="0" collapsed="false">
      <c r="A40" s="0" t="s">
        <v>178</v>
      </c>
      <c r="B40" s="0" t="s">
        <v>179</v>
      </c>
      <c r="C40" s="0" t="n">
        <v>63.94</v>
      </c>
      <c r="D40" s="0" t="n">
        <v>90.31</v>
      </c>
      <c r="E40" s="0" t="n">
        <v>91.87</v>
      </c>
      <c r="F40" s="0" t="n">
        <v>91.98</v>
      </c>
      <c r="G40" s="0" t="n">
        <v>92.51</v>
      </c>
      <c r="H40" s="0" t="n">
        <v>93.15</v>
      </c>
      <c r="I40" s="0" t="n">
        <v>93.28</v>
      </c>
      <c r="J40" s="0" t="n">
        <v>93.59</v>
      </c>
      <c r="K40" s="0" t="n">
        <v>93.79</v>
      </c>
      <c r="L40" s="0" t="n">
        <v>93.86</v>
      </c>
      <c r="M40" s="0" t="n">
        <v>93.89</v>
      </c>
      <c r="N40" s="0" t="n">
        <v>94.19</v>
      </c>
      <c r="O40" s="0" t="n">
        <v>94.25</v>
      </c>
      <c r="P40" s="0" t="n">
        <v>94.34</v>
      </c>
      <c r="Q40" s="0" t="n">
        <v>94.68</v>
      </c>
      <c r="R40" s="0" t="n">
        <v>94.81</v>
      </c>
      <c r="S40" s="0" t="n">
        <v>95.09</v>
      </c>
      <c r="T40" s="0" t="n">
        <v>92.13</v>
      </c>
      <c r="U40" s="0" t="n">
        <v>132.64</v>
      </c>
      <c r="V40" s="0" t="n">
        <v>129.47</v>
      </c>
      <c r="W40" s="0" t="n">
        <v>131.63</v>
      </c>
      <c r="X40" s="0" t="n">
        <v>131.74</v>
      </c>
      <c r="Y40" s="0" t="n">
        <v>131.76</v>
      </c>
      <c r="Z40" s="0" t="n">
        <v>132.05</v>
      </c>
      <c r="AA40" s="0" t="n">
        <v>133.5</v>
      </c>
      <c r="AB40" s="0" t="n">
        <v>134.23</v>
      </c>
      <c r="AC40" s="0" t="n">
        <v>212.69</v>
      </c>
      <c r="AD40" s="0" t="n">
        <v>213.13</v>
      </c>
      <c r="AE40" s="0" t="n">
        <v>213.94</v>
      </c>
      <c r="AF40" s="0" t="n">
        <v>214.04</v>
      </c>
      <c r="AG40" s="0" t="n">
        <v>69.61</v>
      </c>
      <c r="AH40" s="0" t="n">
        <v>95.87</v>
      </c>
      <c r="AI40" s="0" t="n">
        <v>90.87</v>
      </c>
      <c r="AJ40" s="0" t="n">
        <v>132.59</v>
      </c>
      <c r="AK40" s="0" t="n">
        <v>218.51</v>
      </c>
      <c r="AL40" s="0" t="n">
        <v>214</v>
      </c>
      <c r="AM40" s="0" t="n">
        <v>65.6</v>
      </c>
      <c r="AN40" s="0" t="n">
        <v>54.3</v>
      </c>
    </row>
    <row r="41" customFormat="false" ht="15" hidden="false" customHeight="true" outlineLevel="0" collapsed="false">
      <c r="A41" s="0" t="s">
        <v>180</v>
      </c>
      <c r="B41" s="0" t="s">
        <v>181</v>
      </c>
      <c r="C41" s="0" t="n">
        <v>72.87</v>
      </c>
      <c r="D41" s="0" t="n">
        <v>99.23</v>
      </c>
      <c r="E41" s="0" t="n">
        <v>100.79</v>
      </c>
      <c r="F41" s="0" t="n">
        <v>100.91</v>
      </c>
      <c r="G41" s="0" t="n">
        <v>101.43</v>
      </c>
      <c r="H41" s="0" t="n">
        <v>102.08</v>
      </c>
      <c r="I41" s="0" t="n">
        <v>102.21</v>
      </c>
      <c r="J41" s="0" t="n">
        <v>102.52</v>
      </c>
      <c r="K41" s="0" t="n">
        <v>102.71</v>
      </c>
      <c r="L41" s="0" t="n">
        <v>102.79</v>
      </c>
      <c r="M41" s="0" t="n">
        <v>102.82</v>
      </c>
      <c r="N41" s="0" t="n">
        <v>103.12</v>
      </c>
      <c r="O41" s="0" t="n">
        <v>103.18</v>
      </c>
      <c r="P41" s="0" t="n">
        <v>103.27</v>
      </c>
      <c r="Q41" s="0" t="n">
        <v>103.61</v>
      </c>
      <c r="R41" s="0" t="n">
        <v>103.74</v>
      </c>
      <c r="S41" s="0" t="n">
        <v>104.02</v>
      </c>
      <c r="T41" s="0" t="n">
        <v>101.06</v>
      </c>
      <c r="U41" s="0" t="n">
        <v>141.57</v>
      </c>
      <c r="V41" s="0" t="n">
        <v>138.4</v>
      </c>
      <c r="W41" s="0" t="n">
        <v>140.56</v>
      </c>
      <c r="X41" s="0" t="n">
        <v>140.67</v>
      </c>
      <c r="Y41" s="0" t="n">
        <v>140.69</v>
      </c>
      <c r="Z41" s="0" t="n">
        <v>140.98</v>
      </c>
      <c r="AA41" s="0" t="n">
        <v>142.43</v>
      </c>
      <c r="AB41" s="0" t="n">
        <v>143.16</v>
      </c>
      <c r="AC41" s="0" t="n">
        <v>221.62</v>
      </c>
      <c r="AD41" s="0" t="n">
        <v>222.06</v>
      </c>
      <c r="AE41" s="0" t="n">
        <v>222.87</v>
      </c>
      <c r="AF41" s="0" t="n">
        <v>222.97</v>
      </c>
      <c r="AG41" s="0" t="n">
        <v>75.26</v>
      </c>
      <c r="AH41" s="0" t="n">
        <v>104.8</v>
      </c>
      <c r="AI41" s="0" t="n">
        <v>99.8</v>
      </c>
      <c r="AJ41" s="0" t="n">
        <v>141.52</v>
      </c>
      <c r="AK41" s="0" t="n">
        <v>227.44</v>
      </c>
      <c r="AL41" s="0" t="n">
        <v>222.9</v>
      </c>
      <c r="AM41" s="0" t="n">
        <v>74.5</v>
      </c>
      <c r="AN41" s="0" t="n">
        <v>81.6</v>
      </c>
    </row>
    <row r="42" customFormat="false" ht="15" hidden="false" customHeight="true" outlineLevel="0" collapsed="false">
      <c r="A42" s="0" t="s">
        <v>182</v>
      </c>
      <c r="B42" s="0" t="s">
        <v>183</v>
      </c>
      <c r="C42" s="0" t="n">
        <v>73.74</v>
      </c>
      <c r="D42" s="0" t="n">
        <v>100.11</v>
      </c>
      <c r="E42" s="0" t="n">
        <v>101.67</v>
      </c>
      <c r="F42" s="0" t="n">
        <v>101.78</v>
      </c>
      <c r="G42" s="0" t="n">
        <v>102.31</v>
      </c>
      <c r="H42" s="0" t="n">
        <v>102.95</v>
      </c>
      <c r="I42" s="0" t="n">
        <v>103.08</v>
      </c>
      <c r="J42" s="0" t="n">
        <v>103.39</v>
      </c>
      <c r="K42" s="0" t="n">
        <v>103.59</v>
      </c>
      <c r="L42" s="0" t="n">
        <v>103.66</v>
      </c>
      <c r="M42" s="0" t="n">
        <v>103.69</v>
      </c>
      <c r="N42" s="0" t="n">
        <v>103.99</v>
      </c>
      <c r="O42" s="0" t="n">
        <v>104.05</v>
      </c>
      <c r="P42" s="0" t="n">
        <v>104.14</v>
      </c>
      <c r="Q42" s="0" t="n">
        <v>104.48</v>
      </c>
      <c r="R42" s="0" t="n">
        <v>104.61</v>
      </c>
      <c r="S42" s="0" t="n">
        <v>104.89</v>
      </c>
      <c r="T42" s="0" t="n">
        <v>101.93</v>
      </c>
      <c r="U42" s="0" t="n">
        <v>142.44</v>
      </c>
      <c r="V42" s="0" t="n">
        <v>139.28</v>
      </c>
      <c r="W42" s="0" t="n">
        <v>141.43</v>
      </c>
      <c r="X42" s="0" t="n">
        <v>141.54</v>
      </c>
      <c r="Y42" s="0" t="n">
        <v>141.56</v>
      </c>
      <c r="Z42" s="0" t="n">
        <v>141.85</v>
      </c>
      <c r="AA42" s="0" t="n">
        <v>143.3</v>
      </c>
      <c r="AB42" s="0" t="n">
        <v>144.03</v>
      </c>
      <c r="AC42" s="0" t="n">
        <v>222.49</v>
      </c>
      <c r="AD42" s="0" t="n">
        <v>222.93</v>
      </c>
      <c r="AE42" s="0" t="n">
        <v>223.75</v>
      </c>
      <c r="AF42" s="0" t="n">
        <v>223.84</v>
      </c>
      <c r="AG42" s="0" t="n">
        <v>83.43</v>
      </c>
      <c r="AH42" s="0" t="n">
        <v>105.67</v>
      </c>
      <c r="AI42" s="0" t="n">
        <v>100.67</v>
      </c>
      <c r="AJ42" s="0" t="n">
        <v>142.39</v>
      </c>
      <c r="AK42" s="0" t="n">
        <v>228.31</v>
      </c>
      <c r="AL42" s="0" t="n">
        <v>223.8</v>
      </c>
      <c r="AM42" s="0" t="n">
        <v>75.4</v>
      </c>
      <c r="AN42" s="0" t="n">
        <v>68.6</v>
      </c>
    </row>
    <row r="43" customFormat="false" ht="15" hidden="false" customHeight="true" outlineLevel="0" collapsed="false">
      <c r="A43" s="0" t="s">
        <v>184</v>
      </c>
      <c r="B43" s="0" t="s">
        <v>185</v>
      </c>
      <c r="C43" s="0" t="n">
        <v>116.07</v>
      </c>
      <c r="D43" s="0" t="n">
        <v>140.77</v>
      </c>
      <c r="E43" s="0" t="n">
        <v>142.33</v>
      </c>
      <c r="F43" s="0" t="n">
        <v>142.44</v>
      </c>
      <c r="G43" s="0" t="n">
        <v>142.97</v>
      </c>
      <c r="H43" s="0" t="n">
        <v>143.61</v>
      </c>
      <c r="I43" s="0" t="n">
        <v>143.74</v>
      </c>
      <c r="J43" s="0" t="n">
        <v>144.06</v>
      </c>
      <c r="K43" s="0" t="n">
        <v>144.25</v>
      </c>
      <c r="L43" s="0" t="n">
        <v>144.33</v>
      </c>
      <c r="M43" s="0" t="n">
        <v>144.36</v>
      </c>
      <c r="N43" s="0" t="n">
        <v>144.65</v>
      </c>
      <c r="O43" s="0" t="n">
        <v>144.71</v>
      </c>
      <c r="P43" s="0" t="n">
        <v>144.8</v>
      </c>
      <c r="Q43" s="0" t="n">
        <v>145.14</v>
      </c>
      <c r="R43" s="0" t="n">
        <v>145.27</v>
      </c>
      <c r="S43" s="0" t="n">
        <v>145.55</v>
      </c>
      <c r="T43" s="0" t="n">
        <v>144.27</v>
      </c>
      <c r="U43" s="0" t="n">
        <v>184.77</v>
      </c>
      <c r="V43" s="0" t="n">
        <v>181.61</v>
      </c>
      <c r="W43" s="0" t="n">
        <v>183.76</v>
      </c>
      <c r="X43" s="0" t="n">
        <v>183.88</v>
      </c>
      <c r="Y43" s="0" t="n">
        <v>183.89</v>
      </c>
      <c r="Z43" s="0" t="n">
        <v>184.18</v>
      </c>
      <c r="AA43" s="0" t="n">
        <v>185.64</v>
      </c>
      <c r="AB43" s="0" t="n">
        <v>186.36</v>
      </c>
      <c r="AC43" s="0" t="n">
        <v>263.16</v>
      </c>
      <c r="AD43" s="0" t="n">
        <v>263.59</v>
      </c>
      <c r="AE43" s="0" t="n">
        <v>264.41</v>
      </c>
      <c r="AF43" s="0" t="n">
        <v>264.5</v>
      </c>
      <c r="AG43" s="0" t="n">
        <v>56.85</v>
      </c>
      <c r="AH43" s="0" t="n">
        <v>146.33</v>
      </c>
      <c r="AI43" s="0" t="n">
        <v>143.01</v>
      </c>
      <c r="AJ43" s="0" t="n">
        <v>184.72</v>
      </c>
      <c r="AK43" s="0" t="n">
        <v>268.97</v>
      </c>
      <c r="AL43" s="0" t="n">
        <v>264.5</v>
      </c>
      <c r="AM43" s="0" t="n">
        <v>117.7</v>
      </c>
      <c r="AN43" s="0" t="n">
        <v>66.5</v>
      </c>
    </row>
    <row r="44" customFormat="false" ht="15" hidden="false" customHeight="true" outlineLevel="0" collapsed="false">
      <c r="A44" s="0" t="s">
        <v>186</v>
      </c>
      <c r="B44" s="0" t="s">
        <v>187</v>
      </c>
      <c r="C44" s="0" t="n">
        <v>103.73</v>
      </c>
      <c r="D44" s="0" t="n">
        <v>130.1</v>
      </c>
      <c r="E44" s="0" t="n">
        <v>131.66</v>
      </c>
      <c r="F44" s="0" t="n">
        <v>131.77</v>
      </c>
      <c r="G44" s="0" t="n">
        <v>132.3</v>
      </c>
      <c r="H44" s="0" t="n">
        <v>132.94</v>
      </c>
      <c r="I44" s="0" t="n">
        <v>133.07</v>
      </c>
      <c r="J44" s="0" t="n">
        <v>133.38</v>
      </c>
      <c r="K44" s="0" t="n">
        <v>133.58</v>
      </c>
      <c r="L44" s="0" t="n">
        <v>133.65</v>
      </c>
      <c r="M44" s="0" t="n">
        <v>133.69</v>
      </c>
      <c r="N44" s="0" t="n">
        <v>133.98</v>
      </c>
      <c r="O44" s="0" t="n">
        <v>134.04</v>
      </c>
      <c r="P44" s="0" t="n">
        <v>134.13</v>
      </c>
      <c r="Q44" s="0" t="n">
        <v>134.47</v>
      </c>
      <c r="R44" s="0" t="n">
        <v>134.6</v>
      </c>
      <c r="S44" s="0" t="n">
        <v>134.88</v>
      </c>
      <c r="T44" s="0" t="n">
        <v>131.93</v>
      </c>
      <c r="U44" s="0" t="n">
        <v>172.43</v>
      </c>
      <c r="V44" s="0" t="n">
        <v>169.27</v>
      </c>
      <c r="W44" s="0" t="n">
        <v>171.42</v>
      </c>
      <c r="X44" s="0" t="n">
        <v>171.54</v>
      </c>
      <c r="Y44" s="0" t="n">
        <v>171.55</v>
      </c>
      <c r="Z44" s="0" t="n">
        <v>171.84</v>
      </c>
      <c r="AA44" s="0" t="n">
        <v>173.3</v>
      </c>
      <c r="AB44" s="0" t="n">
        <v>174.02</v>
      </c>
      <c r="AC44" s="0" t="n">
        <v>252.49</v>
      </c>
      <c r="AD44" s="0" t="n">
        <v>252.92</v>
      </c>
      <c r="AE44" s="0" t="n">
        <v>253.74</v>
      </c>
      <c r="AF44" s="0" t="n">
        <v>253.83</v>
      </c>
      <c r="AG44" s="0" t="n">
        <v>63.76</v>
      </c>
      <c r="AH44" s="0" t="n">
        <v>135.66</v>
      </c>
      <c r="AI44" s="0" t="n">
        <v>130.66</v>
      </c>
      <c r="AJ44" s="0" t="n">
        <v>172.38</v>
      </c>
      <c r="AK44" s="0" t="n">
        <v>258.3</v>
      </c>
      <c r="AL44" s="0" t="n">
        <v>253.8</v>
      </c>
      <c r="AM44" s="0" t="n">
        <v>105.4</v>
      </c>
      <c r="AN44" s="0" t="n">
        <v>41</v>
      </c>
    </row>
    <row r="45" customFormat="false" ht="15" hidden="false" customHeight="true" outlineLevel="0" collapsed="false">
      <c r="A45" s="0" t="s">
        <v>188</v>
      </c>
      <c r="B45" s="0" t="s">
        <v>189</v>
      </c>
      <c r="C45" s="0" t="n">
        <v>125.59</v>
      </c>
      <c r="D45" s="0" t="n">
        <v>151.95</v>
      </c>
      <c r="E45" s="0" t="n">
        <v>153.51</v>
      </c>
      <c r="F45" s="0" t="n">
        <v>153.63</v>
      </c>
      <c r="G45" s="0" t="n">
        <v>154.15</v>
      </c>
      <c r="H45" s="0" t="n">
        <v>154.8</v>
      </c>
      <c r="I45" s="0" t="n">
        <v>154.93</v>
      </c>
      <c r="J45" s="0" t="n">
        <v>155.24</v>
      </c>
      <c r="K45" s="0" t="n">
        <v>155.43</v>
      </c>
      <c r="L45" s="0" t="n">
        <v>155.51</v>
      </c>
      <c r="M45" s="0" t="n">
        <v>155.54</v>
      </c>
      <c r="N45" s="0" t="n">
        <v>155.84</v>
      </c>
      <c r="O45" s="0" t="n">
        <v>155.9</v>
      </c>
      <c r="P45" s="0" t="n">
        <v>155.99</v>
      </c>
      <c r="Q45" s="0" t="n">
        <v>156.33</v>
      </c>
      <c r="R45" s="0" t="n">
        <v>156.45</v>
      </c>
      <c r="S45" s="0" t="n">
        <v>156.74</v>
      </c>
      <c r="T45" s="0" t="n">
        <v>153.78</v>
      </c>
      <c r="U45" s="0" t="n">
        <v>194.29</v>
      </c>
      <c r="V45" s="0" t="n">
        <v>191.12</v>
      </c>
      <c r="W45" s="0" t="n">
        <v>193.28</v>
      </c>
      <c r="X45" s="0" t="n">
        <v>193.39</v>
      </c>
      <c r="Y45" s="0" t="n">
        <v>193.41</v>
      </c>
      <c r="Z45" s="0" t="n">
        <v>193.7</v>
      </c>
      <c r="AA45" s="0" t="n">
        <v>195.15</v>
      </c>
      <c r="AB45" s="0" t="n">
        <v>195.88</v>
      </c>
      <c r="AC45" s="0" t="n">
        <v>274.34</v>
      </c>
      <c r="AD45" s="0" t="n">
        <v>274.78</v>
      </c>
      <c r="AE45" s="0" t="n">
        <v>275.59</v>
      </c>
      <c r="AF45" s="0" t="n">
        <v>275.69</v>
      </c>
      <c r="AG45" s="0" t="n">
        <v>97.61</v>
      </c>
      <c r="AH45" s="0" t="n">
        <v>157.52</v>
      </c>
      <c r="AI45" s="0" t="n">
        <v>152.52</v>
      </c>
      <c r="AJ45" s="0" t="n">
        <v>194.24</v>
      </c>
      <c r="AK45" s="0" t="n">
        <v>280.16</v>
      </c>
      <c r="AL45" s="0" t="n">
        <v>275.6</v>
      </c>
      <c r="AM45" s="0" t="n">
        <v>127.2</v>
      </c>
      <c r="AN45" s="0" t="n">
        <v>24.3</v>
      </c>
    </row>
    <row r="46" customFormat="false" ht="15" hidden="false" customHeight="true" outlineLevel="0" collapsed="false">
      <c r="A46" s="0" t="s">
        <v>190</v>
      </c>
      <c r="B46" s="0" t="s">
        <v>191</v>
      </c>
      <c r="C46" s="0" t="n">
        <v>98.87</v>
      </c>
      <c r="D46" s="0" t="n">
        <v>125.24</v>
      </c>
      <c r="E46" s="0" t="n">
        <v>126.8</v>
      </c>
      <c r="F46" s="0" t="n">
        <v>126.91</v>
      </c>
      <c r="G46" s="0" t="n">
        <v>127.44</v>
      </c>
      <c r="H46" s="0" t="n">
        <v>128.09</v>
      </c>
      <c r="I46" s="0" t="n">
        <v>128.22</v>
      </c>
      <c r="J46" s="0" t="n">
        <v>128.53</v>
      </c>
      <c r="K46" s="0" t="n">
        <v>128.72</v>
      </c>
      <c r="L46" s="0" t="n">
        <v>128.8</v>
      </c>
      <c r="M46" s="0" t="n">
        <v>128.83</v>
      </c>
      <c r="N46" s="0" t="n">
        <v>129.12</v>
      </c>
      <c r="O46" s="0" t="n">
        <v>129.18</v>
      </c>
      <c r="P46" s="0" t="n">
        <v>129.28</v>
      </c>
      <c r="Q46" s="0" t="n">
        <v>129.61</v>
      </c>
      <c r="R46" s="0" t="n">
        <v>129.74</v>
      </c>
      <c r="S46" s="0" t="n">
        <v>130.02</v>
      </c>
      <c r="T46" s="0" t="n">
        <v>127.07</v>
      </c>
      <c r="U46" s="0" t="n">
        <v>167.57</v>
      </c>
      <c r="V46" s="0" t="n">
        <v>164.41</v>
      </c>
      <c r="W46" s="0" t="n">
        <v>166.57</v>
      </c>
      <c r="X46" s="0" t="n">
        <v>166.68</v>
      </c>
      <c r="Y46" s="0" t="n">
        <v>166.69</v>
      </c>
      <c r="Z46" s="0" t="n">
        <v>166.98</v>
      </c>
      <c r="AA46" s="0" t="n">
        <v>168.44</v>
      </c>
      <c r="AB46" s="0" t="n">
        <v>169.16</v>
      </c>
      <c r="AC46" s="0" t="n">
        <v>247.63</v>
      </c>
      <c r="AD46" s="0" t="n">
        <v>248.06</v>
      </c>
      <c r="AE46" s="0" t="n">
        <v>248.88</v>
      </c>
      <c r="AF46" s="0" t="n">
        <v>248.97</v>
      </c>
      <c r="AG46" s="0" t="n">
        <v>70.9</v>
      </c>
      <c r="AH46" s="0" t="n">
        <v>130.8</v>
      </c>
      <c r="AI46" s="0" t="n">
        <v>125.81</v>
      </c>
      <c r="AJ46" s="0" t="n">
        <v>167.52</v>
      </c>
      <c r="AK46" s="0" t="n">
        <v>253.44</v>
      </c>
      <c r="AL46" s="0" t="n">
        <v>248.9</v>
      </c>
      <c r="AM46" s="0" t="n">
        <v>100.5</v>
      </c>
      <c r="AN46" s="0" t="n">
        <v>8.1</v>
      </c>
    </row>
    <row r="47" customFormat="false" ht="15" hidden="false" customHeight="true" outlineLevel="0" collapsed="false">
      <c r="A47" s="0" t="s">
        <v>192</v>
      </c>
      <c r="B47" s="0" t="s">
        <v>193</v>
      </c>
      <c r="C47" s="0" t="n">
        <v>137.56</v>
      </c>
      <c r="D47" s="0" t="n">
        <v>163.93</v>
      </c>
      <c r="E47" s="0" t="n">
        <v>165.49</v>
      </c>
      <c r="F47" s="0" t="n">
        <v>165.6</v>
      </c>
      <c r="G47" s="0" t="n">
        <v>166.13</v>
      </c>
      <c r="H47" s="0" t="n">
        <v>166.78</v>
      </c>
      <c r="I47" s="0" t="n">
        <v>166.91</v>
      </c>
      <c r="J47" s="0" t="n">
        <v>167.22</v>
      </c>
      <c r="K47" s="0" t="n">
        <v>167.41</v>
      </c>
      <c r="L47" s="0" t="n">
        <v>167.49</v>
      </c>
      <c r="M47" s="0" t="n">
        <v>167.52</v>
      </c>
      <c r="N47" s="0" t="n">
        <v>167.81</v>
      </c>
      <c r="O47" s="0" t="n">
        <v>167.87</v>
      </c>
      <c r="P47" s="0" t="n">
        <v>167.97</v>
      </c>
      <c r="Q47" s="0" t="n">
        <v>168.3</v>
      </c>
      <c r="R47" s="0" t="n">
        <v>168.43</v>
      </c>
      <c r="S47" s="0" t="n">
        <v>168.71</v>
      </c>
      <c r="T47" s="0" t="n">
        <v>165.76</v>
      </c>
      <c r="U47" s="0" t="n">
        <v>206.26</v>
      </c>
      <c r="V47" s="0" t="n">
        <v>203.1</v>
      </c>
      <c r="W47" s="0" t="n">
        <v>205.26</v>
      </c>
      <c r="X47" s="0" t="n">
        <v>205.37</v>
      </c>
      <c r="Y47" s="0" t="n">
        <v>205.38</v>
      </c>
      <c r="Z47" s="0" t="n">
        <v>205.67</v>
      </c>
      <c r="AA47" s="0" t="n">
        <v>207.13</v>
      </c>
      <c r="AB47" s="0" t="n">
        <v>207.85</v>
      </c>
      <c r="AC47" s="0" t="n">
        <v>286.32</v>
      </c>
      <c r="AD47" s="0" t="n">
        <v>286.75</v>
      </c>
      <c r="AE47" s="0" t="n">
        <v>287.57</v>
      </c>
      <c r="AF47" s="0" t="n">
        <v>287.66</v>
      </c>
      <c r="AG47" s="0" t="n">
        <v>103.82</v>
      </c>
      <c r="AH47" s="0" t="n">
        <v>169.49</v>
      </c>
      <c r="AI47" s="0" t="n">
        <v>164.5</v>
      </c>
      <c r="AJ47" s="0" t="n">
        <v>206.21</v>
      </c>
      <c r="AK47" s="0" t="n">
        <v>292.13</v>
      </c>
      <c r="AL47" s="0" t="n">
        <v>287.6</v>
      </c>
      <c r="AM47" s="0" t="n">
        <v>139.2</v>
      </c>
      <c r="AN47" s="0" t="n">
        <v>36.2</v>
      </c>
    </row>
    <row r="48" customFormat="false" ht="15" hidden="false" customHeight="true" outlineLevel="0" collapsed="false">
      <c r="A48" s="0" t="s">
        <v>194</v>
      </c>
      <c r="B48" s="0" t="s">
        <v>195</v>
      </c>
      <c r="C48" s="0" t="n">
        <v>159.49</v>
      </c>
      <c r="D48" s="0" t="n">
        <v>185.86</v>
      </c>
      <c r="E48" s="0" t="n">
        <v>187.42</v>
      </c>
      <c r="F48" s="0" t="n">
        <v>187.53</v>
      </c>
      <c r="G48" s="0" t="n">
        <v>188.06</v>
      </c>
      <c r="H48" s="0" t="n">
        <v>188.7</v>
      </c>
      <c r="I48" s="0" t="n">
        <v>188.83</v>
      </c>
      <c r="J48" s="0" t="n">
        <v>189.14</v>
      </c>
      <c r="K48" s="0" t="n">
        <v>189.34</v>
      </c>
      <c r="L48" s="0" t="n">
        <v>189.41</v>
      </c>
      <c r="M48" s="0" t="n">
        <v>189.44</v>
      </c>
      <c r="N48" s="0" t="n">
        <v>189.74</v>
      </c>
      <c r="O48" s="0" t="n">
        <v>189.8</v>
      </c>
      <c r="P48" s="0" t="n">
        <v>189.89</v>
      </c>
      <c r="Q48" s="0" t="n">
        <v>190.23</v>
      </c>
      <c r="R48" s="0" t="n">
        <v>190.36</v>
      </c>
      <c r="S48" s="0" t="n">
        <v>190.64</v>
      </c>
      <c r="T48" s="0" t="n">
        <v>187.69</v>
      </c>
      <c r="U48" s="0" t="n">
        <v>228.19</v>
      </c>
      <c r="V48" s="0" t="n">
        <v>225.03</v>
      </c>
      <c r="W48" s="0" t="n">
        <v>227.18</v>
      </c>
      <c r="X48" s="0" t="n">
        <v>227.3</v>
      </c>
      <c r="Y48" s="0" t="n">
        <v>227.31</v>
      </c>
      <c r="Z48" s="0" t="n">
        <v>227.6</v>
      </c>
      <c r="AA48" s="0" t="n">
        <v>229.05</v>
      </c>
      <c r="AB48" s="0" t="n">
        <v>229.78</v>
      </c>
      <c r="AC48" s="0" t="n">
        <v>308.25</v>
      </c>
      <c r="AD48" s="0" t="n">
        <v>308.68</v>
      </c>
      <c r="AE48" s="0" t="n">
        <v>309.5</v>
      </c>
      <c r="AF48" s="0" t="n">
        <v>309.59</v>
      </c>
      <c r="AG48" s="0" t="n">
        <v>105.5</v>
      </c>
      <c r="AH48" s="0" t="n">
        <v>191.42</v>
      </c>
      <c r="AI48" s="0" t="n">
        <v>186.42</v>
      </c>
      <c r="AJ48" s="0" t="n">
        <v>228.14</v>
      </c>
      <c r="AK48" s="0" t="n">
        <v>314.06</v>
      </c>
      <c r="AL48" s="0" t="n">
        <v>309.6</v>
      </c>
      <c r="AM48" s="0" t="n">
        <v>161.1</v>
      </c>
      <c r="AN48" s="0" t="n">
        <v>58.2</v>
      </c>
    </row>
    <row r="49" customFormat="false" ht="15" hidden="false" customHeight="true" outlineLevel="0" collapsed="false">
      <c r="A49" s="0" t="s">
        <v>196</v>
      </c>
      <c r="B49" s="0" t="s">
        <v>197</v>
      </c>
      <c r="C49" s="0" t="n">
        <v>176.67</v>
      </c>
      <c r="D49" s="0" t="n">
        <v>203.04</v>
      </c>
      <c r="E49" s="0" t="n">
        <v>204.6</v>
      </c>
      <c r="F49" s="0" t="n">
        <v>204.71</v>
      </c>
      <c r="G49" s="0" t="n">
        <v>205.24</v>
      </c>
      <c r="H49" s="0" t="n">
        <v>205.89</v>
      </c>
      <c r="I49" s="0" t="n">
        <v>206.02</v>
      </c>
      <c r="J49" s="0" t="n">
        <v>206.33</v>
      </c>
      <c r="K49" s="0" t="n">
        <v>206.52</v>
      </c>
      <c r="L49" s="0" t="n">
        <v>206.6</v>
      </c>
      <c r="M49" s="0" t="n">
        <v>206.63</v>
      </c>
      <c r="N49" s="0" t="n">
        <v>206.92</v>
      </c>
      <c r="O49" s="0" t="n">
        <v>206.98</v>
      </c>
      <c r="P49" s="0" t="n">
        <v>207.08</v>
      </c>
      <c r="Q49" s="0" t="n">
        <v>207.41</v>
      </c>
      <c r="R49" s="0" t="n">
        <v>207.54</v>
      </c>
      <c r="S49" s="0" t="n">
        <v>207.82</v>
      </c>
      <c r="T49" s="0" t="n">
        <v>204.87</v>
      </c>
      <c r="U49" s="0" t="n">
        <v>245.37</v>
      </c>
      <c r="V49" s="0" t="n">
        <v>242.21</v>
      </c>
      <c r="W49" s="0" t="n">
        <v>244.37</v>
      </c>
      <c r="X49" s="0" t="n">
        <v>244.48</v>
      </c>
      <c r="Y49" s="0" t="n">
        <v>244.49</v>
      </c>
      <c r="Z49" s="0" t="n">
        <v>244.78</v>
      </c>
      <c r="AA49" s="0" t="n">
        <v>246.24</v>
      </c>
      <c r="AB49" s="0" t="n">
        <v>246.96</v>
      </c>
      <c r="AC49" s="0" t="n">
        <v>325.43</v>
      </c>
      <c r="AD49" s="0" t="n">
        <v>325.86</v>
      </c>
      <c r="AE49" s="0" t="n">
        <v>326.68</v>
      </c>
      <c r="AF49" s="0" t="n">
        <v>326.77</v>
      </c>
      <c r="AG49" s="0" t="n">
        <v>148.7</v>
      </c>
      <c r="AH49" s="0" t="n">
        <v>208.6</v>
      </c>
      <c r="AI49" s="0" t="n">
        <v>203.61</v>
      </c>
      <c r="AJ49" s="0" t="n">
        <v>245.32</v>
      </c>
      <c r="AK49" s="0" t="n">
        <v>331.24</v>
      </c>
      <c r="AL49" s="0" t="n">
        <v>326.7</v>
      </c>
      <c r="AM49" s="0" t="n">
        <v>178.3</v>
      </c>
      <c r="AN49" s="0" t="n">
        <v>72.6</v>
      </c>
    </row>
    <row r="50" customFormat="false" ht="15" hidden="false" customHeight="true" outlineLevel="0" collapsed="false">
      <c r="A50" s="0" t="s">
        <v>198</v>
      </c>
      <c r="B50" s="0" t="s">
        <v>199</v>
      </c>
      <c r="C50" s="0" t="n">
        <v>198.81</v>
      </c>
      <c r="D50" s="0" t="n">
        <v>225.17</v>
      </c>
      <c r="E50" s="0" t="n">
        <v>226.73</v>
      </c>
      <c r="F50" s="0" t="n">
        <v>226.85</v>
      </c>
      <c r="G50" s="0" t="n">
        <v>227.37</v>
      </c>
      <c r="H50" s="0" t="n">
        <v>228.02</v>
      </c>
      <c r="I50" s="0" t="n">
        <v>228.15</v>
      </c>
      <c r="J50" s="0" t="n">
        <v>228.46</v>
      </c>
      <c r="K50" s="0" t="n">
        <v>228.65</v>
      </c>
      <c r="L50" s="0" t="n">
        <v>228.73</v>
      </c>
      <c r="M50" s="0" t="n">
        <v>228.76</v>
      </c>
      <c r="N50" s="0" t="n">
        <v>229.06</v>
      </c>
      <c r="O50" s="0" t="n">
        <v>229.12</v>
      </c>
      <c r="P50" s="0" t="n">
        <v>229.21</v>
      </c>
      <c r="Q50" s="0" t="n">
        <v>229.55</v>
      </c>
      <c r="R50" s="0" t="n">
        <v>229.68</v>
      </c>
      <c r="S50" s="0" t="n">
        <v>229.96</v>
      </c>
      <c r="T50" s="0" t="n">
        <v>227</v>
      </c>
      <c r="U50" s="0" t="n">
        <v>267.51</v>
      </c>
      <c r="V50" s="0" t="n">
        <v>264.34</v>
      </c>
      <c r="W50" s="0" t="n">
        <v>266.5</v>
      </c>
      <c r="X50" s="0" t="n">
        <v>266.61</v>
      </c>
      <c r="Y50" s="0" t="n">
        <v>266.63</v>
      </c>
      <c r="Z50" s="0" t="n">
        <v>266.92</v>
      </c>
      <c r="AA50" s="0" t="n">
        <v>268.37</v>
      </c>
      <c r="AB50" s="0" t="n">
        <v>269.1</v>
      </c>
      <c r="AC50" s="0" t="n">
        <v>347.56</v>
      </c>
      <c r="AD50" s="0" t="n">
        <v>348</v>
      </c>
      <c r="AE50" s="0" t="n">
        <v>348.81</v>
      </c>
      <c r="AF50" s="0" t="n">
        <v>348.91</v>
      </c>
      <c r="AG50" s="0" t="n">
        <v>170.83</v>
      </c>
      <c r="AH50" s="0" t="n">
        <v>230.74</v>
      </c>
      <c r="AI50" s="0" t="n">
        <v>225.74</v>
      </c>
      <c r="AJ50" s="0" t="n">
        <v>267.46</v>
      </c>
      <c r="AK50" s="0" t="n">
        <v>353.38</v>
      </c>
      <c r="AL50" s="0" t="n">
        <v>348.8</v>
      </c>
      <c r="AM50" s="0" t="n">
        <v>200.4</v>
      </c>
      <c r="AN50" s="0" t="n">
        <v>97.4</v>
      </c>
    </row>
    <row r="51" customFormat="false" ht="15" hidden="false" customHeight="true" outlineLevel="0" collapsed="false">
      <c r="A51" s="0" t="s">
        <v>200</v>
      </c>
      <c r="B51" s="0" t="s">
        <v>201</v>
      </c>
      <c r="C51" s="0" t="n">
        <v>127.15</v>
      </c>
      <c r="D51" s="0" t="n">
        <v>153.52</v>
      </c>
      <c r="E51" s="0" t="n">
        <v>155.08</v>
      </c>
      <c r="F51" s="0" t="n">
        <v>155.19</v>
      </c>
      <c r="G51" s="0" t="n">
        <v>155.72</v>
      </c>
      <c r="H51" s="0" t="n">
        <v>156.36</v>
      </c>
      <c r="I51" s="0" t="n">
        <v>156.49</v>
      </c>
      <c r="J51" s="0" t="n">
        <v>156.8</v>
      </c>
      <c r="K51" s="0" t="n">
        <v>157</v>
      </c>
      <c r="L51" s="0" t="n">
        <v>157.07</v>
      </c>
      <c r="M51" s="0" t="n">
        <v>157.1</v>
      </c>
      <c r="N51" s="0" t="n">
        <v>157.4</v>
      </c>
      <c r="O51" s="0" t="n">
        <v>157.46</v>
      </c>
      <c r="P51" s="0" t="n">
        <v>157.55</v>
      </c>
      <c r="Q51" s="0" t="n">
        <v>157.89</v>
      </c>
      <c r="R51" s="0" t="n">
        <v>158.02</v>
      </c>
      <c r="S51" s="0" t="n">
        <v>158.3</v>
      </c>
      <c r="T51" s="0" t="n">
        <v>155.34</v>
      </c>
      <c r="U51" s="0" t="n">
        <v>195.85</v>
      </c>
      <c r="V51" s="0" t="n">
        <v>192.69</v>
      </c>
      <c r="W51" s="0" t="n">
        <v>194.84</v>
      </c>
      <c r="X51" s="0" t="n">
        <v>194.95</v>
      </c>
      <c r="Y51" s="0" t="n">
        <v>194.97</v>
      </c>
      <c r="Z51" s="0" t="n">
        <v>195.26</v>
      </c>
      <c r="AA51" s="0" t="n">
        <v>196.71</v>
      </c>
      <c r="AB51" s="0" t="n">
        <v>197.44</v>
      </c>
      <c r="AC51" s="0" t="n">
        <v>275.9</v>
      </c>
      <c r="AD51" s="0" t="n">
        <v>276.34</v>
      </c>
      <c r="AE51" s="0" t="n">
        <v>277.15</v>
      </c>
      <c r="AF51" s="0" t="n">
        <v>277.25</v>
      </c>
      <c r="AG51" s="0" t="n">
        <v>120.9</v>
      </c>
      <c r="AH51" s="0" t="n">
        <v>159.08</v>
      </c>
      <c r="AI51" s="0" t="n">
        <v>154.08</v>
      </c>
      <c r="AJ51" s="0" t="n">
        <v>195.8</v>
      </c>
      <c r="AK51" s="0" t="n">
        <v>281.72</v>
      </c>
      <c r="AL51" s="0" t="n">
        <v>277.2</v>
      </c>
      <c r="AM51" s="0" t="n">
        <v>128.8</v>
      </c>
      <c r="AN51" s="0" t="n">
        <v>51.8</v>
      </c>
    </row>
    <row r="52" customFormat="false" ht="15" hidden="false" customHeight="true" outlineLevel="0" collapsed="false">
      <c r="A52" s="0" t="s">
        <v>202</v>
      </c>
      <c r="B52" s="0" t="s">
        <v>203</v>
      </c>
      <c r="C52" s="0" t="n">
        <v>112.7</v>
      </c>
      <c r="D52" s="0" t="n">
        <v>139.07</v>
      </c>
      <c r="E52" s="0" t="n">
        <v>140.63</v>
      </c>
      <c r="F52" s="0" t="n">
        <v>140.74</v>
      </c>
      <c r="G52" s="0" t="n">
        <v>141.27</v>
      </c>
      <c r="H52" s="0" t="n">
        <v>141.92</v>
      </c>
      <c r="I52" s="0" t="n">
        <v>142.05</v>
      </c>
      <c r="J52" s="0" t="n">
        <v>142.36</v>
      </c>
      <c r="K52" s="0" t="n">
        <v>142.55</v>
      </c>
      <c r="L52" s="0" t="n">
        <v>142.63</v>
      </c>
      <c r="M52" s="0" t="n">
        <v>142.66</v>
      </c>
      <c r="N52" s="0" t="n">
        <v>142.95</v>
      </c>
      <c r="O52" s="0" t="n">
        <v>143.01</v>
      </c>
      <c r="P52" s="0" t="n">
        <v>143.11</v>
      </c>
      <c r="Q52" s="0" t="n">
        <v>143.44</v>
      </c>
      <c r="R52" s="0" t="n">
        <v>143.57</v>
      </c>
      <c r="S52" s="0" t="n">
        <v>143.85</v>
      </c>
      <c r="T52" s="0" t="n">
        <v>140.9</v>
      </c>
      <c r="U52" s="0" t="n">
        <v>181.4</v>
      </c>
      <c r="V52" s="0" t="n">
        <v>178.24</v>
      </c>
      <c r="W52" s="0" t="n">
        <v>180.4</v>
      </c>
      <c r="X52" s="0" t="n">
        <v>180.51</v>
      </c>
      <c r="Y52" s="0" t="n">
        <v>180.52</v>
      </c>
      <c r="Z52" s="0" t="n">
        <v>180.81</v>
      </c>
      <c r="AA52" s="0" t="n">
        <v>182.27</v>
      </c>
      <c r="AB52" s="0" t="n">
        <v>182.99</v>
      </c>
      <c r="AC52" s="0" t="n">
        <v>261.46</v>
      </c>
      <c r="AD52" s="0" t="n">
        <v>261.89</v>
      </c>
      <c r="AE52" s="0" t="n">
        <v>262.71</v>
      </c>
      <c r="AF52" s="0" t="n">
        <v>262.8</v>
      </c>
      <c r="AG52" s="0" t="n">
        <v>95.45</v>
      </c>
      <c r="AH52" s="0" t="n">
        <v>144.63</v>
      </c>
      <c r="AI52" s="0" t="n">
        <v>139.64</v>
      </c>
      <c r="AJ52" s="0" t="n">
        <v>181.35</v>
      </c>
      <c r="AK52" s="0" t="n">
        <v>267.27</v>
      </c>
      <c r="AL52" s="0" t="n">
        <v>262.8</v>
      </c>
      <c r="AM52" s="0" t="n">
        <v>114.4</v>
      </c>
      <c r="AN52" s="0" t="n">
        <v>26.4</v>
      </c>
    </row>
    <row r="53" customFormat="false" ht="15" hidden="false" customHeight="true" outlineLevel="0" collapsed="false">
      <c r="A53" s="0" t="s">
        <v>204</v>
      </c>
      <c r="B53" s="0" t="s">
        <v>205</v>
      </c>
      <c r="C53" s="0" t="n">
        <v>132.02</v>
      </c>
      <c r="D53" s="0" t="n">
        <v>158.38</v>
      </c>
      <c r="E53" s="0" t="n">
        <v>159.94</v>
      </c>
      <c r="F53" s="0" t="n">
        <v>160.05</v>
      </c>
      <c r="G53" s="0" t="n">
        <v>160.58</v>
      </c>
      <c r="H53" s="0" t="n">
        <v>161.23</v>
      </c>
      <c r="I53" s="0" t="n">
        <v>161.36</v>
      </c>
      <c r="J53" s="0" t="n">
        <v>161.67</v>
      </c>
      <c r="K53" s="0" t="n">
        <v>161.86</v>
      </c>
      <c r="L53" s="0" t="n">
        <v>161.94</v>
      </c>
      <c r="M53" s="0" t="n">
        <v>161.97</v>
      </c>
      <c r="N53" s="0" t="n">
        <v>162.26</v>
      </c>
      <c r="O53" s="0" t="n">
        <v>162.33</v>
      </c>
      <c r="P53" s="0" t="n">
        <v>162.42</v>
      </c>
      <c r="Q53" s="0" t="n">
        <v>162.76</v>
      </c>
      <c r="R53" s="0" t="n">
        <v>162.88</v>
      </c>
      <c r="S53" s="0" t="n">
        <v>163.17</v>
      </c>
      <c r="T53" s="0" t="n">
        <v>160.21</v>
      </c>
      <c r="U53" s="0" t="n">
        <v>200.72</v>
      </c>
      <c r="V53" s="0" t="n">
        <v>197.55</v>
      </c>
      <c r="W53" s="0" t="n">
        <v>199.71</v>
      </c>
      <c r="X53" s="0" t="n">
        <v>199.82</v>
      </c>
      <c r="Y53" s="0" t="n">
        <v>199.84</v>
      </c>
      <c r="Z53" s="0" t="n">
        <v>200.13</v>
      </c>
      <c r="AA53" s="0" t="n">
        <v>201.58</v>
      </c>
      <c r="AB53" s="0" t="n">
        <v>202.31</v>
      </c>
      <c r="AC53" s="0" t="n">
        <v>280.77</v>
      </c>
      <c r="AD53" s="0" t="n">
        <v>281.21</v>
      </c>
      <c r="AE53" s="0" t="n">
        <v>282.02</v>
      </c>
      <c r="AF53" s="0" t="n">
        <v>282.12</v>
      </c>
      <c r="AG53" s="0" t="n">
        <v>104.04</v>
      </c>
      <c r="AH53" s="0" t="n">
        <v>163.94</v>
      </c>
      <c r="AI53" s="0" t="n">
        <v>158.95</v>
      </c>
      <c r="AJ53" s="0" t="n">
        <v>200.67</v>
      </c>
      <c r="AK53" s="0" t="n">
        <v>286.59</v>
      </c>
      <c r="AL53" s="0" t="n">
        <v>282.1</v>
      </c>
      <c r="AM53" s="0" t="n">
        <v>133.7</v>
      </c>
      <c r="AN53" s="0" t="n">
        <v>28</v>
      </c>
    </row>
    <row r="54" customFormat="false" ht="15" hidden="false" customHeight="true" outlineLevel="0" collapsed="false">
      <c r="A54" s="0" t="s">
        <v>206</v>
      </c>
      <c r="B54" s="0" t="s">
        <v>207</v>
      </c>
      <c r="C54" s="0" t="n">
        <v>161.45</v>
      </c>
      <c r="D54" s="0" t="n">
        <v>131.03</v>
      </c>
      <c r="E54" s="0" t="n">
        <v>130.74</v>
      </c>
      <c r="F54" s="0" t="n">
        <v>129.59</v>
      </c>
      <c r="G54" s="0" t="n">
        <v>129.25</v>
      </c>
      <c r="H54" s="0" t="n">
        <v>128.64</v>
      </c>
      <c r="I54" s="0" t="n">
        <v>127.44</v>
      </c>
      <c r="J54" s="0" t="n">
        <v>128.15</v>
      </c>
      <c r="K54" s="0" t="n">
        <v>128.84</v>
      </c>
      <c r="L54" s="0" t="n">
        <v>126.8</v>
      </c>
      <c r="M54" s="0" t="n">
        <v>129.09</v>
      </c>
      <c r="N54" s="0" t="n">
        <v>129.06</v>
      </c>
      <c r="O54" s="0" t="n">
        <v>126.84</v>
      </c>
      <c r="P54" s="0" t="n">
        <v>127.35</v>
      </c>
      <c r="Q54" s="0" t="n">
        <v>126.44</v>
      </c>
      <c r="R54" s="0" t="n">
        <v>127.64</v>
      </c>
      <c r="S54" s="0" t="n">
        <v>126.37</v>
      </c>
      <c r="T54" s="0" t="n">
        <v>165.35</v>
      </c>
      <c r="U54" s="0" t="n">
        <v>173.97</v>
      </c>
      <c r="V54" s="0" t="n">
        <v>199.42</v>
      </c>
      <c r="W54" s="0" t="n">
        <v>198.08</v>
      </c>
      <c r="X54" s="0" t="n">
        <v>196.71</v>
      </c>
      <c r="Y54" s="0" t="n">
        <v>196.73</v>
      </c>
      <c r="Z54" s="0" t="n">
        <v>197.02</v>
      </c>
      <c r="AA54" s="0" t="n">
        <v>196.5</v>
      </c>
      <c r="AB54" s="0" t="n">
        <v>195.28</v>
      </c>
      <c r="AC54" s="0" t="n">
        <v>206.54</v>
      </c>
      <c r="AD54" s="0" t="n">
        <v>206.98</v>
      </c>
      <c r="AE54" s="0" t="n">
        <v>207.79</v>
      </c>
      <c r="AF54" s="0" t="n">
        <v>207.89</v>
      </c>
      <c r="AG54" s="0" t="n">
        <v>159.25</v>
      </c>
      <c r="AH54" s="0" t="n">
        <v>125.91</v>
      </c>
      <c r="AI54" s="0" t="n">
        <v>166.27</v>
      </c>
      <c r="AJ54" s="0" t="n">
        <v>197.56</v>
      </c>
      <c r="AK54" s="0" t="n">
        <v>212.36</v>
      </c>
      <c r="AL54" s="0" t="n">
        <v>209.1</v>
      </c>
      <c r="AM54" s="0" t="n">
        <v>164.3</v>
      </c>
      <c r="AN54" s="0" t="n">
        <v>238.2</v>
      </c>
    </row>
    <row r="55" customFormat="false" ht="15" hidden="false" customHeight="true" outlineLevel="0" collapsed="false">
      <c r="A55" s="0" t="s">
        <v>208</v>
      </c>
      <c r="B55" s="0" t="s">
        <v>209</v>
      </c>
      <c r="C55" s="0" t="n">
        <v>57.33</v>
      </c>
      <c r="D55" s="0" t="n">
        <v>58.58</v>
      </c>
      <c r="E55" s="0" t="n">
        <v>60.14</v>
      </c>
      <c r="F55" s="0" t="n">
        <v>60.25</v>
      </c>
      <c r="G55" s="0" t="n">
        <v>60.78</v>
      </c>
      <c r="H55" s="0" t="n">
        <v>61.43</v>
      </c>
      <c r="I55" s="0" t="n">
        <v>61.56</v>
      </c>
      <c r="J55" s="0" t="n">
        <v>61.87</v>
      </c>
      <c r="K55" s="0" t="n">
        <v>62.06</v>
      </c>
      <c r="L55" s="0" t="n">
        <v>62.14</v>
      </c>
      <c r="M55" s="0" t="n">
        <v>62.17</v>
      </c>
      <c r="N55" s="0" t="n">
        <v>62.46</v>
      </c>
      <c r="O55" s="0" t="n">
        <v>62.52</v>
      </c>
      <c r="P55" s="0" t="n">
        <v>62.62</v>
      </c>
      <c r="Q55" s="0" t="n">
        <v>62.95</v>
      </c>
      <c r="R55" s="0" t="n">
        <v>63.08</v>
      </c>
      <c r="S55" s="0" t="n">
        <v>63.36</v>
      </c>
      <c r="T55" s="0" t="n">
        <v>84.89</v>
      </c>
      <c r="U55" s="0" t="n">
        <v>110.84</v>
      </c>
      <c r="V55" s="0" t="n">
        <v>122.23</v>
      </c>
      <c r="W55" s="0" t="n">
        <v>124.39</v>
      </c>
      <c r="X55" s="0" t="n">
        <v>124.5</v>
      </c>
      <c r="Y55" s="0" t="n">
        <v>124.51</v>
      </c>
      <c r="Z55" s="0" t="n">
        <v>124.8</v>
      </c>
      <c r="AA55" s="0" t="n">
        <v>126.26</v>
      </c>
      <c r="AB55" s="0" t="n">
        <v>126.98</v>
      </c>
      <c r="AC55" s="0" t="n">
        <v>180.97</v>
      </c>
      <c r="AD55" s="0" t="n">
        <v>181.4</v>
      </c>
      <c r="AE55" s="0" t="n">
        <v>182.22</v>
      </c>
      <c r="AF55" s="0" t="n">
        <v>182.32</v>
      </c>
      <c r="AG55" s="0" t="n">
        <v>26.7</v>
      </c>
      <c r="AH55" s="0" t="n">
        <v>64.14</v>
      </c>
      <c r="AI55" s="0" t="n">
        <v>83.63</v>
      </c>
      <c r="AJ55" s="0" t="n">
        <v>125.34</v>
      </c>
      <c r="AK55" s="0" t="n">
        <v>186.78</v>
      </c>
      <c r="AL55" s="0" t="n">
        <v>182.3</v>
      </c>
      <c r="AM55" s="0" t="n">
        <v>59</v>
      </c>
      <c r="AN55" s="0" t="n">
        <v>104.4</v>
      </c>
    </row>
    <row r="56" customFormat="false" ht="15" hidden="false" customHeight="true" outlineLevel="0" collapsed="false">
      <c r="A56" s="0" t="s">
        <v>210</v>
      </c>
      <c r="B56" s="0" t="s">
        <v>211</v>
      </c>
      <c r="C56" s="0" t="n">
        <v>70.7</v>
      </c>
      <c r="D56" s="0" t="n">
        <v>51.42</v>
      </c>
      <c r="E56" s="0" t="n">
        <v>51.13</v>
      </c>
      <c r="F56" s="0" t="n">
        <v>49.98</v>
      </c>
      <c r="G56" s="0" t="n">
        <v>49.63</v>
      </c>
      <c r="H56" s="0" t="n">
        <v>49.02</v>
      </c>
      <c r="I56" s="0" t="n">
        <v>47.83</v>
      </c>
      <c r="J56" s="0" t="n">
        <v>48.53</v>
      </c>
      <c r="K56" s="0" t="n">
        <v>49.23</v>
      </c>
      <c r="L56" s="0" t="n">
        <v>47.19</v>
      </c>
      <c r="M56" s="0" t="n">
        <v>49.47</v>
      </c>
      <c r="N56" s="0" t="n">
        <v>49.44</v>
      </c>
      <c r="O56" s="0" t="n">
        <v>47.22</v>
      </c>
      <c r="P56" s="0" t="n">
        <v>47.73</v>
      </c>
      <c r="Q56" s="0" t="n">
        <v>46.82</v>
      </c>
      <c r="R56" s="0" t="n">
        <v>48.02</v>
      </c>
      <c r="S56" s="0" t="n">
        <v>46.75</v>
      </c>
      <c r="T56" s="0" t="n">
        <v>85.73</v>
      </c>
      <c r="U56" s="0" t="n">
        <v>94.36</v>
      </c>
      <c r="V56" s="0" t="n">
        <v>119.81</v>
      </c>
      <c r="W56" s="0" t="n">
        <v>118.46</v>
      </c>
      <c r="X56" s="0" t="n">
        <v>117.1</v>
      </c>
      <c r="Y56" s="0" t="n">
        <v>117.11</v>
      </c>
      <c r="Z56" s="0" t="n">
        <v>117.4</v>
      </c>
      <c r="AA56" s="0" t="n">
        <v>116.89</v>
      </c>
      <c r="AB56" s="0" t="n">
        <v>115.66</v>
      </c>
      <c r="AC56" s="0" t="n">
        <v>164.48</v>
      </c>
      <c r="AD56" s="0" t="n">
        <v>164.92</v>
      </c>
      <c r="AE56" s="0" t="n">
        <v>165.74</v>
      </c>
      <c r="AF56" s="0" t="n">
        <v>165.83</v>
      </c>
      <c r="AG56" s="0" t="n">
        <v>68.5</v>
      </c>
      <c r="AH56" s="0" t="n">
        <v>46.29</v>
      </c>
      <c r="AI56" s="0" t="n">
        <v>86.65</v>
      </c>
      <c r="AJ56" s="0" t="n">
        <v>117.94</v>
      </c>
      <c r="AK56" s="0" t="n">
        <v>170.3</v>
      </c>
      <c r="AL56" s="0" t="n">
        <v>165.8</v>
      </c>
      <c r="AM56" s="0" t="n">
        <v>72.3</v>
      </c>
      <c r="AN56" s="0" t="n">
        <v>146.2</v>
      </c>
    </row>
    <row r="57" customFormat="false" ht="15" hidden="false" customHeight="true" outlineLevel="0" collapsed="false">
      <c r="A57" s="0" t="s">
        <v>212</v>
      </c>
      <c r="B57" s="0" t="s">
        <v>213</v>
      </c>
      <c r="C57" s="0" t="n">
        <v>52.14</v>
      </c>
      <c r="D57" s="0" t="n">
        <v>38.79</v>
      </c>
      <c r="E57" s="0" t="n">
        <v>40.35</v>
      </c>
      <c r="F57" s="0" t="n">
        <v>40.46</v>
      </c>
      <c r="G57" s="0" t="n">
        <v>40.99</v>
      </c>
      <c r="H57" s="0" t="n">
        <v>41.64</v>
      </c>
      <c r="I57" s="0" t="n">
        <v>41.77</v>
      </c>
      <c r="J57" s="0" t="n">
        <v>42.08</v>
      </c>
      <c r="K57" s="0" t="n">
        <v>42.27</v>
      </c>
      <c r="L57" s="0" t="n">
        <v>42.35</v>
      </c>
      <c r="M57" s="0" t="n">
        <v>42.38</v>
      </c>
      <c r="N57" s="0" t="n">
        <v>42.67</v>
      </c>
      <c r="O57" s="0" t="n">
        <v>42.73</v>
      </c>
      <c r="P57" s="0" t="n">
        <v>42.83</v>
      </c>
      <c r="Q57" s="0" t="n">
        <v>43.16</v>
      </c>
      <c r="R57" s="0" t="n">
        <v>43.29</v>
      </c>
      <c r="S57" s="0" t="n">
        <v>43.57</v>
      </c>
      <c r="T57" s="0" t="n">
        <v>70.51</v>
      </c>
      <c r="U57" s="0" t="n">
        <v>91.05</v>
      </c>
      <c r="V57" s="0" t="n">
        <v>104.59</v>
      </c>
      <c r="W57" s="0" t="n">
        <v>106.74</v>
      </c>
      <c r="X57" s="0" t="n">
        <v>106.85</v>
      </c>
      <c r="Y57" s="0" t="n">
        <v>106.87</v>
      </c>
      <c r="Z57" s="0" t="n">
        <v>107.16</v>
      </c>
      <c r="AA57" s="0" t="n">
        <v>108.61</v>
      </c>
      <c r="AB57" s="0" t="n">
        <v>109.34</v>
      </c>
      <c r="AC57" s="0" t="n">
        <v>161.18</v>
      </c>
      <c r="AD57" s="0" t="n">
        <v>161.61</v>
      </c>
      <c r="AE57" s="0" t="n">
        <v>162.43</v>
      </c>
      <c r="AF57" s="0" t="n">
        <v>162.52</v>
      </c>
      <c r="AG57" s="0" t="n">
        <v>50.33</v>
      </c>
      <c r="AH57" s="0" t="n">
        <v>44.35</v>
      </c>
      <c r="AI57" s="0" t="n">
        <v>71.43</v>
      </c>
      <c r="AJ57" s="0" t="n">
        <v>107.7</v>
      </c>
      <c r="AK57" s="0" t="n">
        <v>166.99</v>
      </c>
      <c r="AL57" s="0" t="n">
        <v>162.5</v>
      </c>
      <c r="AM57" s="0" t="n">
        <v>53.8</v>
      </c>
      <c r="AN57" s="0" t="n">
        <v>128.1</v>
      </c>
    </row>
    <row r="58" customFormat="false" ht="15" hidden="false" customHeight="true" outlineLevel="0" collapsed="false">
      <c r="A58" s="0" t="s">
        <v>214</v>
      </c>
      <c r="B58" s="0" t="s">
        <v>215</v>
      </c>
      <c r="C58" s="0" t="n">
        <v>166</v>
      </c>
      <c r="D58" s="0" t="n">
        <v>252</v>
      </c>
      <c r="E58" s="0" t="n">
        <v>252</v>
      </c>
      <c r="F58" s="0" t="n">
        <v>252</v>
      </c>
      <c r="G58" s="0" t="n">
        <v>252</v>
      </c>
      <c r="H58" s="0" t="n">
        <v>252</v>
      </c>
      <c r="I58" s="0" t="n">
        <v>252</v>
      </c>
      <c r="J58" s="0" t="n">
        <v>252</v>
      </c>
      <c r="K58" s="0" t="n">
        <v>252</v>
      </c>
      <c r="L58" s="0" t="n">
        <v>252</v>
      </c>
      <c r="M58" s="0" t="n">
        <v>252</v>
      </c>
      <c r="N58" s="0" t="n">
        <v>252</v>
      </c>
      <c r="O58" s="0" t="n">
        <v>252</v>
      </c>
      <c r="P58" s="0" t="n">
        <v>252</v>
      </c>
      <c r="Q58" s="0" t="n">
        <v>252</v>
      </c>
      <c r="R58" s="0" t="n">
        <v>252</v>
      </c>
      <c r="S58" s="0" t="n">
        <v>252</v>
      </c>
      <c r="T58" s="0" t="n">
        <v>175</v>
      </c>
      <c r="U58" s="0" t="n">
        <v>180</v>
      </c>
      <c r="V58" s="0" t="n">
        <v>212</v>
      </c>
      <c r="W58" s="0" t="n">
        <v>212</v>
      </c>
      <c r="X58" s="0" t="n">
        <v>212</v>
      </c>
      <c r="Y58" s="0" t="n">
        <v>212</v>
      </c>
      <c r="Z58" s="0" t="n">
        <v>212</v>
      </c>
      <c r="AA58" s="0" t="n">
        <v>212</v>
      </c>
      <c r="AB58" s="0" t="n">
        <v>212</v>
      </c>
      <c r="AC58" s="0" t="n">
        <v>180</v>
      </c>
      <c r="AD58" s="0" t="n">
        <v>180</v>
      </c>
      <c r="AE58" s="0" t="n">
        <v>180</v>
      </c>
      <c r="AF58" s="0" t="n">
        <v>180</v>
      </c>
      <c r="AG58" s="0" t="n">
        <v>162</v>
      </c>
      <c r="AH58" s="0" t="n">
        <v>144</v>
      </c>
      <c r="AI58" s="0" t="n">
        <v>177</v>
      </c>
      <c r="AJ58" s="0" t="n">
        <v>212</v>
      </c>
      <c r="AK58" s="0" t="n">
        <v>221</v>
      </c>
      <c r="AL58" s="0" t="n">
        <v>180</v>
      </c>
      <c r="AM58" s="0" t="n">
        <v>170</v>
      </c>
      <c r="AN58" s="0" t="n">
        <v>245</v>
      </c>
    </row>
    <row r="59" customFormat="false" ht="15" hidden="false" customHeight="true" outlineLevel="0" collapsed="false">
      <c r="A59" s="0" t="s">
        <v>216</v>
      </c>
      <c r="B59" s="0" t="s">
        <v>217</v>
      </c>
      <c r="C59" s="0" t="n">
        <v>137.01</v>
      </c>
      <c r="D59" s="0" t="n">
        <v>106.6</v>
      </c>
      <c r="E59" s="0" t="n">
        <v>106.31</v>
      </c>
      <c r="F59" s="0" t="n">
        <v>105.16</v>
      </c>
      <c r="G59" s="0" t="n">
        <v>104.81</v>
      </c>
      <c r="H59" s="0" t="n">
        <v>104.2</v>
      </c>
      <c r="I59" s="0" t="n">
        <v>103.01</v>
      </c>
      <c r="J59" s="0" t="n">
        <v>103.71</v>
      </c>
      <c r="K59" s="0" t="n">
        <v>104.41</v>
      </c>
      <c r="L59" s="0" t="n">
        <v>102.37</v>
      </c>
      <c r="M59" s="0" t="n">
        <v>104.65</v>
      </c>
      <c r="N59" s="0" t="n">
        <v>104.62</v>
      </c>
      <c r="O59" s="0" t="n">
        <v>102.4</v>
      </c>
      <c r="P59" s="0" t="n">
        <v>102.91</v>
      </c>
      <c r="Q59" s="0" t="n">
        <v>102</v>
      </c>
      <c r="R59" s="0" t="n">
        <v>103.2</v>
      </c>
      <c r="S59" s="0" t="n">
        <v>101.93</v>
      </c>
      <c r="T59" s="0" t="n">
        <v>134.64</v>
      </c>
      <c r="U59" s="0" t="n">
        <v>134.9</v>
      </c>
      <c r="V59" s="0" t="n">
        <v>160.74</v>
      </c>
      <c r="W59" s="0" t="n">
        <v>159</v>
      </c>
      <c r="X59" s="0" t="n">
        <v>157.64</v>
      </c>
      <c r="Y59" s="0" t="n">
        <v>157.65</v>
      </c>
      <c r="Z59" s="0" t="n">
        <v>157.94</v>
      </c>
      <c r="AA59" s="0" t="n">
        <v>157.43</v>
      </c>
      <c r="AB59" s="0" t="n">
        <v>156.2</v>
      </c>
      <c r="AC59" s="0" t="n">
        <v>145.6</v>
      </c>
      <c r="AD59" s="0" t="n">
        <v>146.04</v>
      </c>
      <c r="AE59" s="0" t="n">
        <v>146.85</v>
      </c>
      <c r="AF59" s="0" t="n">
        <v>146.95</v>
      </c>
      <c r="AG59" s="0" t="n">
        <v>134.81</v>
      </c>
      <c r="AH59" s="0" t="n">
        <v>101.47</v>
      </c>
      <c r="AI59" s="0" t="n">
        <v>135.56</v>
      </c>
      <c r="AJ59" s="0" t="n">
        <v>158.48</v>
      </c>
      <c r="AK59" s="0" t="n">
        <v>151.42</v>
      </c>
      <c r="AL59" s="0" t="n">
        <v>145.5</v>
      </c>
      <c r="AM59" s="0" t="n">
        <v>138.7</v>
      </c>
      <c r="AN59" s="0" t="n">
        <v>212.5</v>
      </c>
    </row>
    <row r="60" customFormat="false" ht="15" hidden="false" customHeight="true" outlineLevel="0" collapsed="false">
      <c r="A60" s="0" t="s">
        <v>218</v>
      </c>
      <c r="B60" s="0" t="s">
        <v>219</v>
      </c>
      <c r="C60" s="0" t="n">
        <v>102.83</v>
      </c>
      <c r="D60" s="0" t="n">
        <v>72.42</v>
      </c>
      <c r="E60" s="0" t="n">
        <v>72.13</v>
      </c>
      <c r="F60" s="0" t="n">
        <v>70.98</v>
      </c>
      <c r="G60" s="0" t="n">
        <v>70.63</v>
      </c>
      <c r="H60" s="0" t="n">
        <v>70.02</v>
      </c>
      <c r="I60" s="0" t="n">
        <v>68.83</v>
      </c>
      <c r="J60" s="0" t="n">
        <v>69.53</v>
      </c>
      <c r="K60" s="0" t="n">
        <v>70.23</v>
      </c>
      <c r="L60" s="0" t="n">
        <v>68.19</v>
      </c>
      <c r="M60" s="0" t="n">
        <v>70.47</v>
      </c>
      <c r="N60" s="0" t="n">
        <v>70.44</v>
      </c>
      <c r="O60" s="0" t="n">
        <v>68.22</v>
      </c>
      <c r="P60" s="0" t="n">
        <v>68.73</v>
      </c>
      <c r="Q60" s="0" t="n">
        <v>67.82</v>
      </c>
      <c r="R60" s="0" t="n">
        <v>69.02</v>
      </c>
      <c r="S60" s="0" t="n">
        <v>67.75</v>
      </c>
      <c r="T60" s="0" t="n">
        <v>106.73</v>
      </c>
      <c r="U60" s="0" t="n">
        <v>115.36</v>
      </c>
      <c r="V60" s="0" t="n">
        <v>140.81</v>
      </c>
      <c r="W60" s="0" t="n">
        <v>139.46</v>
      </c>
      <c r="X60" s="0" t="n">
        <v>138.1</v>
      </c>
      <c r="Y60" s="0" t="n">
        <v>138.11</v>
      </c>
      <c r="Z60" s="0" t="n">
        <v>138.4</v>
      </c>
      <c r="AA60" s="0" t="n">
        <v>137.89</v>
      </c>
      <c r="AB60" s="0" t="n">
        <v>136.66</v>
      </c>
      <c r="AC60" s="0" t="n">
        <v>152.78</v>
      </c>
      <c r="AD60" s="0" t="n">
        <v>153.22</v>
      </c>
      <c r="AE60" s="0" t="n">
        <v>154.03</v>
      </c>
      <c r="AF60" s="0" t="n">
        <v>154.13</v>
      </c>
      <c r="AG60" s="0" t="n">
        <v>100.63</v>
      </c>
      <c r="AH60" s="0" t="n">
        <v>67.29</v>
      </c>
      <c r="AI60" s="0" t="n">
        <v>107.65</v>
      </c>
      <c r="AJ60" s="0" t="n">
        <v>138.94</v>
      </c>
      <c r="AK60" s="0" t="n">
        <v>158.59</v>
      </c>
      <c r="AL60" s="0" t="n">
        <v>154.1</v>
      </c>
      <c r="AM60" s="0" t="n">
        <v>104.5</v>
      </c>
      <c r="AN60" s="0" t="n">
        <v>178.4</v>
      </c>
    </row>
    <row r="61" customFormat="false" ht="15" hidden="false" customHeight="true" outlineLevel="0" collapsed="false">
      <c r="A61" s="0" t="s">
        <v>220</v>
      </c>
      <c r="B61" s="0" t="s">
        <v>221</v>
      </c>
      <c r="C61" s="0" t="n">
        <v>121.59</v>
      </c>
      <c r="D61" s="0" t="n">
        <v>108.23</v>
      </c>
      <c r="E61" s="0" t="n">
        <v>109.79</v>
      </c>
      <c r="F61" s="0" t="n">
        <v>109.91</v>
      </c>
      <c r="G61" s="0" t="n">
        <v>110.43</v>
      </c>
      <c r="H61" s="0" t="n">
        <v>111.08</v>
      </c>
      <c r="I61" s="0" t="n">
        <v>111.21</v>
      </c>
      <c r="J61" s="0" t="n">
        <v>111.52</v>
      </c>
      <c r="K61" s="0" t="n">
        <v>111.71</v>
      </c>
      <c r="L61" s="0" t="n">
        <v>111.79</v>
      </c>
      <c r="M61" s="0" t="n">
        <v>111.82</v>
      </c>
      <c r="N61" s="0" t="n">
        <v>112.12</v>
      </c>
      <c r="O61" s="0" t="n">
        <v>112.18</v>
      </c>
      <c r="P61" s="0" t="n">
        <v>112.27</v>
      </c>
      <c r="Q61" s="0" t="n">
        <v>112.61</v>
      </c>
      <c r="R61" s="0" t="n">
        <v>112.74</v>
      </c>
      <c r="S61" s="0" t="n">
        <v>113.02</v>
      </c>
      <c r="T61" s="0" t="n">
        <v>139.96</v>
      </c>
      <c r="U61" s="0" t="n">
        <v>160.49</v>
      </c>
      <c r="V61" s="0" t="n">
        <v>174.03</v>
      </c>
      <c r="W61" s="0" t="n">
        <v>176.19</v>
      </c>
      <c r="X61" s="0" t="n">
        <v>176.3</v>
      </c>
      <c r="Y61" s="0" t="n">
        <v>176.32</v>
      </c>
      <c r="Z61" s="0" t="n">
        <v>176.61</v>
      </c>
      <c r="AA61" s="0" t="n">
        <v>178.06</v>
      </c>
      <c r="AB61" s="0" t="n">
        <v>178.78</v>
      </c>
      <c r="AC61" s="0" t="n">
        <v>221.01</v>
      </c>
      <c r="AD61" s="0" t="n">
        <v>221.45</v>
      </c>
      <c r="AE61" s="0" t="n">
        <v>222.26</v>
      </c>
      <c r="AF61" s="0" t="n">
        <v>222.36</v>
      </c>
      <c r="AG61" s="0" t="n">
        <v>113.34</v>
      </c>
      <c r="AH61" s="0" t="n">
        <v>113.8</v>
      </c>
      <c r="AI61" s="0" t="n">
        <v>140.88</v>
      </c>
      <c r="AJ61" s="0" t="n">
        <v>177.15</v>
      </c>
      <c r="AK61" s="0" t="n">
        <v>226.82</v>
      </c>
      <c r="AL61" s="0" t="n">
        <v>222.3</v>
      </c>
      <c r="AM61" s="0" t="n">
        <v>123.2</v>
      </c>
      <c r="AN61" s="0" t="n">
        <v>191.1</v>
      </c>
    </row>
    <row r="62" customFormat="false" ht="15" hidden="false" customHeight="true" outlineLevel="0" collapsed="false">
      <c r="A62" s="0" t="s">
        <v>222</v>
      </c>
      <c r="B62" s="0" t="s">
        <v>223</v>
      </c>
      <c r="C62" s="0" t="n">
        <v>106.64</v>
      </c>
      <c r="D62" s="0" t="n">
        <v>93.29</v>
      </c>
      <c r="E62" s="0" t="n">
        <v>94.85</v>
      </c>
      <c r="F62" s="0" t="n">
        <v>94.96</v>
      </c>
      <c r="G62" s="0" t="n">
        <v>95.49</v>
      </c>
      <c r="H62" s="0" t="n">
        <v>96.14</v>
      </c>
      <c r="I62" s="0" t="n">
        <v>96.27</v>
      </c>
      <c r="J62" s="0" t="n">
        <v>96.58</v>
      </c>
      <c r="K62" s="0" t="n">
        <v>96.77</v>
      </c>
      <c r="L62" s="0" t="n">
        <v>96.85</v>
      </c>
      <c r="M62" s="0" t="n">
        <v>96.88</v>
      </c>
      <c r="N62" s="0" t="n">
        <v>97.17</v>
      </c>
      <c r="O62" s="0" t="n">
        <v>97.23</v>
      </c>
      <c r="P62" s="0" t="n">
        <v>97.33</v>
      </c>
      <c r="Q62" s="0" t="n">
        <v>97.66</v>
      </c>
      <c r="R62" s="0" t="n">
        <v>97.79</v>
      </c>
      <c r="S62" s="0" t="n">
        <v>98.07</v>
      </c>
      <c r="T62" s="0" t="n">
        <v>125.01</v>
      </c>
      <c r="U62" s="0" t="n">
        <v>145.55</v>
      </c>
      <c r="V62" s="0" t="n">
        <v>159.09</v>
      </c>
      <c r="W62" s="0" t="n">
        <v>161.24</v>
      </c>
      <c r="X62" s="0" t="n">
        <v>161.36</v>
      </c>
      <c r="Y62" s="0" t="n">
        <v>161.37</v>
      </c>
      <c r="Z62" s="0" t="n">
        <v>161.66</v>
      </c>
      <c r="AA62" s="0" t="n">
        <v>163.11</v>
      </c>
      <c r="AB62" s="0" t="n">
        <v>163.84</v>
      </c>
      <c r="AC62" s="0" t="n">
        <v>215.68</v>
      </c>
      <c r="AD62" s="0" t="n">
        <v>216.11</v>
      </c>
      <c r="AE62" s="0" t="n">
        <v>216.93</v>
      </c>
      <c r="AF62" s="0" t="n">
        <v>217.03</v>
      </c>
      <c r="AG62" s="0" t="n">
        <v>98.39</v>
      </c>
      <c r="AH62" s="0" t="n">
        <v>98.85</v>
      </c>
      <c r="AI62" s="0" t="n">
        <v>125.93</v>
      </c>
      <c r="AJ62" s="0" t="n">
        <v>162.2</v>
      </c>
      <c r="AK62" s="0" t="n">
        <v>221.49</v>
      </c>
      <c r="AL62" s="0" t="n">
        <v>217</v>
      </c>
      <c r="AM62" s="0" t="n">
        <v>108.3</v>
      </c>
      <c r="AN62" s="0" t="n">
        <v>176.1</v>
      </c>
    </row>
    <row r="63" customFormat="false" ht="15" hidden="false" customHeight="true" outlineLevel="0" collapsed="false">
      <c r="A63" s="0" t="s">
        <v>224</v>
      </c>
      <c r="B63" s="0" t="s">
        <v>225</v>
      </c>
      <c r="C63" s="0" t="n">
        <v>123.8</v>
      </c>
      <c r="D63" s="0" t="n">
        <v>110.45</v>
      </c>
      <c r="E63" s="0" t="n">
        <v>112.01</v>
      </c>
      <c r="F63" s="0" t="n">
        <v>112.12</v>
      </c>
      <c r="G63" s="0" t="n">
        <v>112.65</v>
      </c>
      <c r="H63" s="0" t="n">
        <v>113.3</v>
      </c>
      <c r="I63" s="0" t="n">
        <v>113.43</v>
      </c>
      <c r="J63" s="0" t="n">
        <v>113.74</v>
      </c>
      <c r="K63" s="0" t="n">
        <v>113.93</v>
      </c>
      <c r="L63" s="0" t="n">
        <v>114.01</v>
      </c>
      <c r="M63" s="0" t="n">
        <v>114.04</v>
      </c>
      <c r="N63" s="0" t="n">
        <v>114.33</v>
      </c>
      <c r="O63" s="0" t="n">
        <v>114.4</v>
      </c>
      <c r="P63" s="0" t="n">
        <v>114.49</v>
      </c>
      <c r="Q63" s="0" t="n">
        <v>114.82</v>
      </c>
      <c r="R63" s="0" t="n">
        <v>114.95</v>
      </c>
      <c r="S63" s="0" t="n">
        <v>115.24</v>
      </c>
      <c r="T63" s="0" t="n">
        <v>142.17</v>
      </c>
      <c r="U63" s="0" t="n">
        <v>162.71</v>
      </c>
      <c r="V63" s="0" t="n">
        <v>176.25</v>
      </c>
      <c r="W63" s="0" t="n">
        <v>178.4</v>
      </c>
      <c r="X63" s="0" t="n">
        <v>178.52</v>
      </c>
      <c r="Y63" s="0" t="n">
        <v>178.53</v>
      </c>
      <c r="Z63" s="0" t="n">
        <v>178.82</v>
      </c>
      <c r="AA63" s="0" t="n">
        <v>180.28</v>
      </c>
      <c r="AB63" s="0" t="n">
        <v>181</v>
      </c>
      <c r="AC63" s="0" t="n">
        <v>232.84</v>
      </c>
      <c r="AD63" s="0" t="n">
        <v>233.28</v>
      </c>
      <c r="AE63" s="0" t="n">
        <v>234.09</v>
      </c>
      <c r="AF63" s="0" t="n">
        <v>234.19</v>
      </c>
      <c r="AG63" s="0" t="n">
        <v>115.55</v>
      </c>
      <c r="AH63" s="0" t="n">
        <v>116.01</v>
      </c>
      <c r="AI63" s="0" t="n">
        <v>143.1</v>
      </c>
      <c r="AJ63" s="0" t="n">
        <v>179.36</v>
      </c>
      <c r="AK63" s="0" t="n">
        <v>238.65</v>
      </c>
      <c r="AL63" s="0" t="n">
        <v>234.1</v>
      </c>
      <c r="AM63" s="0" t="n">
        <v>125.4</v>
      </c>
      <c r="AN63" s="0" t="n">
        <v>193.3</v>
      </c>
    </row>
    <row r="64" customFormat="false" ht="15" hidden="false" customHeight="true" outlineLevel="0" collapsed="false">
      <c r="A64" s="0" t="s">
        <v>226</v>
      </c>
      <c r="B64" s="0" t="s">
        <v>227</v>
      </c>
      <c r="C64" s="0" t="n">
        <v>29.02</v>
      </c>
      <c r="D64" s="0" t="n">
        <v>30.27</v>
      </c>
      <c r="E64" s="0" t="n">
        <v>31.83</v>
      </c>
      <c r="F64" s="0" t="n">
        <v>31.94</v>
      </c>
      <c r="G64" s="0" t="n">
        <v>32.47</v>
      </c>
      <c r="H64" s="0" t="n">
        <v>33.11</v>
      </c>
      <c r="I64" s="0" t="n">
        <v>33.24</v>
      </c>
      <c r="J64" s="0" t="n">
        <v>33.55</v>
      </c>
      <c r="K64" s="0" t="n">
        <v>33.75</v>
      </c>
      <c r="L64" s="0" t="n">
        <v>33.82</v>
      </c>
      <c r="M64" s="0" t="n">
        <v>33.85</v>
      </c>
      <c r="N64" s="0" t="n">
        <v>34.15</v>
      </c>
      <c r="O64" s="0" t="n">
        <v>34.21</v>
      </c>
      <c r="P64" s="0" t="n">
        <v>34.3</v>
      </c>
      <c r="Q64" s="0" t="n">
        <v>34.64</v>
      </c>
      <c r="R64" s="0" t="n">
        <v>34.77</v>
      </c>
      <c r="S64" s="0" t="n">
        <v>35.05</v>
      </c>
      <c r="T64" s="0" t="n">
        <v>56.57</v>
      </c>
      <c r="U64" s="0" t="n">
        <v>82.53</v>
      </c>
      <c r="V64" s="0" t="n">
        <v>93.91</v>
      </c>
      <c r="W64" s="0" t="n">
        <v>96.07</v>
      </c>
      <c r="X64" s="0" t="n">
        <v>96.18</v>
      </c>
      <c r="Y64" s="0" t="n">
        <v>96.2</v>
      </c>
      <c r="Z64" s="0" t="n">
        <v>96.49</v>
      </c>
      <c r="AA64" s="0" t="n">
        <v>97.94</v>
      </c>
      <c r="AB64" s="0" t="n">
        <v>98.67</v>
      </c>
      <c r="AC64" s="0" t="n">
        <v>152.65</v>
      </c>
      <c r="AD64" s="0" t="n">
        <v>153.09</v>
      </c>
      <c r="AE64" s="0" t="n">
        <v>153.91</v>
      </c>
      <c r="AF64" s="0" t="n">
        <v>154</v>
      </c>
      <c r="AG64" s="0" t="n">
        <v>55.04</v>
      </c>
      <c r="AH64" s="0" t="n">
        <v>35.83</v>
      </c>
      <c r="AI64" s="0" t="n">
        <v>55.31</v>
      </c>
      <c r="AJ64" s="0" t="n">
        <v>97.03</v>
      </c>
      <c r="AK64" s="0" t="n">
        <v>158.47</v>
      </c>
      <c r="AL64" s="0" t="n">
        <v>154</v>
      </c>
      <c r="AM64" s="0" t="n">
        <v>30.7</v>
      </c>
      <c r="AN64" s="0" t="n">
        <v>131.2</v>
      </c>
    </row>
    <row r="65" customFormat="false" ht="15" hidden="false" customHeight="true" outlineLevel="0" collapsed="false">
      <c r="A65" s="0" t="s">
        <v>228</v>
      </c>
      <c r="B65" s="0" t="s">
        <v>229</v>
      </c>
      <c r="C65" s="0" t="n">
        <v>33.15</v>
      </c>
      <c r="D65" s="0" t="n">
        <v>19.92</v>
      </c>
      <c r="E65" s="0" t="n">
        <v>21.48</v>
      </c>
      <c r="F65" s="0" t="n">
        <v>21.59</v>
      </c>
      <c r="G65" s="0" t="n">
        <v>22.12</v>
      </c>
      <c r="H65" s="0" t="n">
        <v>22.77</v>
      </c>
      <c r="I65" s="0" t="n">
        <v>22.9</v>
      </c>
      <c r="J65" s="0" t="n">
        <v>23.21</v>
      </c>
      <c r="K65" s="0" t="n">
        <v>23.4</v>
      </c>
      <c r="L65" s="0" t="n">
        <v>23.48</v>
      </c>
      <c r="M65" s="0" t="n">
        <v>23.51</v>
      </c>
      <c r="N65" s="0" t="n">
        <v>23.8</v>
      </c>
      <c r="O65" s="0" t="n">
        <v>23.86</v>
      </c>
      <c r="P65" s="0" t="n">
        <v>23.96</v>
      </c>
      <c r="Q65" s="0" t="n">
        <v>24.29</v>
      </c>
      <c r="R65" s="0" t="n">
        <v>24.42</v>
      </c>
      <c r="S65" s="0" t="n">
        <v>24.7</v>
      </c>
      <c r="T65" s="0" t="n">
        <v>51.64</v>
      </c>
      <c r="U65" s="0" t="n">
        <v>72.18</v>
      </c>
      <c r="V65" s="0" t="n">
        <v>85.72</v>
      </c>
      <c r="W65" s="0" t="n">
        <v>87.87</v>
      </c>
      <c r="X65" s="0" t="n">
        <v>87.98</v>
      </c>
      <c r="Y65" s="0" t="n">
        <v>88</v>
      </c>
      <c r="Z65" s="0" t="n">
        <v>88.29</v>
      </c>
      <c r="AA65" s="0" t="n">
        <v>89.74</v>
      </c>
      <c r="AB65" s="0" t="n">
        <v>90.47</v>
      </c>
      <c r="AC65" s="0" t="n">
        <v>142.31</v>
      </c>
      <c r="AD65" s="0" t="n">
        <v>142.74</v>
      </c>
      <c r="AE65" s="0" t="n">
        <v>143.56</v>
      </c>
      <c r="AF65" s="0" t="n">
        <v>143.65</v>
      </c>
      <c r="AG65" s="0" t="n">
        <v>72.64</v>
      </c>
      <c r="AH65" s="0" t="n">
        <v>25.48</v>
      </c>
      <c r="AI65" s="0" t="n">
        <v>52.56</v>
      </c>
      <c r="AJ65" s="0" t="n">
        <v>88.83</v>
      </c>
      <c r="AK65" s="0" t="n">
        <v>148.12</v>
      </c>
      <c r="AL65" s="0" t="n">
        <v>143.6</v>
      </c>
      <c r="AM65" s="0" t="n">
        <v>34.8</v>
      </c>
      <c r="AN65" s="0" t="n">
        <v>135.3</v>
      </c>
    </row>
    <row r="66" customFormat="false" ht="15" hidden="false" customHeight="true" outlineLevel="0" collapsed="false">
      <c r="A66" s="0" t="s">
        <v>230</v>
      </c>
      <c r="B66" s="0" t="s">
        <v>231</v>
      </c>
      <c r="C66" s="0" t="n">
        <v>43.39</v>
      </c>
      <c r="D66" s="0" t="n">
        <v>44.64</v>
      </c>
      <c r="E66" s="0" t="n">
        <v>46.2</v>
      </c>
      <c r="F66" s="0" t="n">
        <v>46.31</v>
      </c>
      <c r="G66" s="0" t="n">
        <v>46.84</v>
      </c>
      <c r="H66" s="0" t="n">
        <v>47.48</v>
      </c>
      <c r="I66" s="0" t="n">
        <v>47.61</v>
      </c>
      <c r="J66" s="0" t="n">
        <v>47.92</v>
      </c>
      <c r="K66" s="0" t="n">
        <v>48.12</v>
      </c>
      <c r="L66" s="0" t="n">
        <v>48.19</v>
      </c>
      <c r="M66" s="0" t="n">
        <v>48.22</v>
      </c>
      <c r="N66" s="0" t="n">
        <v>48.52</v>
      </c>
      <c r="O66" s="0" t="n">
        <v>48.58</v>
      </c>
      <c r="P66" s="0" t="n">
        <v>48.67</v>
      </c>
      <c r="Q66" s="0" t="n">
        <v>49.01</v>
      </c>
      <c r="R66" s="0" t="n">
        <v>49.14</v>
      </c>
      <c r="S66" s="0" t="n">
        <v>49.42</v>
      </c>
      <c r="T66" s="0" t="n">
        <v>70.94</v>
      </c>
      <c r="U66" s="0" t="n">
        <v>96.9</v>
      </c>
      <c r="V66" s="0" t="n">
        <v>108.28</v>
      </c>
      <c r="W66" s="0" t="n">
        <v>110.44</v>
      </c>
      <c r="X66" s="0" t="n">
        <v>110.55</v>
      </c>
      <c r="Y66" s="0" t="n">
        <v>110.57</v>
      </c>
      <c r="Z66" s="0" t="n">
        <v>110.86</v>
      </c>
      <c r="AA66" s="0" t="n">
        <v>112.31</v>
      </c>
      <c r="AB66" s="0" t="n">
        <v>113.04</v>
      </c>
      <c r="AC66" s="0" t="n">
        <v>167.03</v>
      </c>
      <c r="AD66" s="0" t="n">
        <v>167.46</v>
      </c>
      <c r="AE66" s="0" t="n">
        <v>168.28</v>
      </c>
      <c r="AF66" s="0" t="n">
        <v>168.37</v>
      </c>
      <c r="AG66" s="0" t="n">
        <v>51.08</v>
      </c>
      <c r="AH66" s="0" t="n">
        <v>50.2</v>
      </c>
      <c r="AI66" s="0" t="n">
        <v>69.68</v>
      </c>
      <c r="AJ66" s="0" t="n">
        <v>111.4</v>
      </c>
      <c r="AK66" s="0" t="n">
        <v>172.84</v>
      </c>
      <c r="AL66" s="0" t="n">
        <v>168.3</v>
      </c>
      <c r="AM66" s="0" t="n">
        <v>45</v>
      </c>
      <c r="AN66" s="0" t="n">
        <v>128.8</v>
      </c>
    </row>
    <row r="67" customFormat="false" ht="15" hidden="false" customHeight="true" outlineLevel="0" collapsed="false">
      <c r="A67" s="0" t="s">
        <v>232</v>
      </c>
      <c r="B67" s="0" t="s">
        <v>233</v>
      </c>
      <c r="C67" s="0" t="n">
        <v>22.96</v>
      </c>
      <c r="D67" s="0" t="n">
        <v>37.24</v>
      </c>
      <c r="E67" s="0" t="n">
        <v>38.8</v>
      </c>
      <c r="F67" s="0" t="n">
        <v>38.91</v>
      </c>
      <c r="G67" s="0" t="n">
        <v>39.44</v>
      </c>
      <c r="H67" s="0" t="n">
        <v>40.08</v>
      </c>
      <c r="I67" s="0" t="n">
        <v>40.21</v>
      </c>
      <c r="J67" s="0" t="n">
        <v>40.52</v>
      </c>
      <c r="K67" s="0" t="n">
        <v>40.72</v>
      </c>
      <c r="L67" s="0" t="n">
        <v>40.79</v>
      </c>
      <c r="M67" s="0" t="n">
        <v>40.82</v>
      </c>
      <c r="N67" s="0" t="n">
        <v>41.12</v>
      </c>
      <c r="O67" s="0" t="n">
        <v>41.18</v>
      </c>
      <c r="P67" s="0" t="n">
        <v>41.27</v>
      </c>
      <c r="Q67" s="0" t="n">
        <v>41.61</v>
      </c>
      <c r="R67" s="0" t="n">
        <v>41.74</v>
      </c>
      <c r="S67" s="0" t="n">
        <v>42.02</v>
      </c>
      <c r="T67" s="0" t="n">
        <v>51.25</v>
      </c>
      <c r="U67" s="0" t="n">
        <v>89.5</v>
      </c>
      <c r="V67" s="0" t="n">
        <v>88.59</v>
      </c>
      <c r="W67" s="0" t="n">
        <v>90.74</v>
      </c>
      <c r="X67" s="0" t="n">
        <v>90.86</v>
      </c>
      <c r="Y67" s="0" t="n">
        <v>90.87</v>
      </c>
      <c r="Z67" s="0" t="n">
        <v>91.16</v>
      </c>
      <c r="AA67" s="0" t="n">
        <v>92.62</v>
      </c>
      <c r="AB67" s="0" t="n">
        <v>93.34</v>
      </c>
      <c r="AC67" s="0" t="n">
        <v>159.62</v>
      </c>
      <c r="AD67" s="0" t="n">
        <v>160.06</v>
      </c>
      <c r="AE67" s="0" t="n">
        <v>160.87</v>
      </c>
      <c r="AF67" s="0" t="n">
        <v>160.97</v>
      </c>
      <c r="AG67" s="0" t="n">
        <v>89.88</v>
      </c>
      <c r="AH67" s="0" t="n">
        <v>42.8</v>
      </c>
      <c r="AI67" s="0" t="n">
        <v>49.98</v>
      </c>
      <c r="AJ67" s="0" t="n">
        <v>91.7</v>
      </c>
      <c r="AK67" s="0" t="n">
        <v>165.44</v>
      </c>
      <c r="AL67" s="0" t="n">
        <v>160.9</v>
      </c>
      <c r="AM67" s="0" t="n">
        <v>24.8</v>
      </c>
      <c r="AN67" s="0" t="n">
        <v>120.2</v>
      </c>
    </row>
    <row r="68" customFormat="false" ht="15" hidden="false" customHeight="true" outlineLevel="0" collapsed="false">
      <c r="A68" s="0" t="s">
        <v>234</v>
      </c>
      <c r="B68" s="0" t="s">
        <v>235</v>
      </c>
      <c r="C68" s="0" t="n">
        <v>27.58</v>
      </c>
      <c r="D68" s="0" t="n">
        <v>38.88</v>
      </c>
      <c r="E68" s="0" t="n">
        <v>40.27</v>
      </c>
      <c r="F68" s="0" t="n">
        <v>40</v>
      </c>
      <c r="G68" s="0" t="n">
        <v>40.91</v>
      </c>
      <c r="H68" s="0" t="n">
        <v>38.03</v>
      </c>
      <c r="I68" s="0" t="n">
        <v>39.89</v>
      </c>
      <c r="J68" s="0" t="n">
        <v>40.42</v>
      </c>
      <c r="K68" s="0" t="n">
        <v>40.61</v>
      </c>
      <c r="L68" s="0" t="n">
        <v>39.87</v>
      </c>
      <c r="M68" s="0" t="n">
        <v>38.77</v>
      </c>
      <c r="N68" s="0" t="n">
        <v>39.97</v>
      </c>
      <c r="O68" s="0" t="n">
        <v>40.25</v>
      </c>
      <c r="P68" s="0" t="n">
        <v>40.34</v>
      </c>
      <c r="Q68" s="0" t="n">
        <v>40.68</v>
      </c>
      <c r="R68" s="0" t="n">
        <v>40.81</v>
      </c>
      <c r="S68" s="0" t="n">
        <v>41.09</v>
      </c>
      <c r="T68" s="0" t="n">
        <v>1.3</v>
      </c>
      <c r="U68" s="0" t="n">
        <v>41.8</v>
      </c>
      <c r="V68" s="0" t="n">
        <v>38.64</v>
      </c>
      <c r="W68" s="0" t="n">
        <v>40.8</v>
      </c>
      <c r="X68" s="0" t="n">
        <v>40.91</v>
      </c>
      <c r="Y68" s="0" t="n">
        <v>40.92</v>
      </c>
      <c r="Z68" s="0" t="n">
        <v>41.21</v>
      </c>
      <c r="AA68" s="0" t="n">
        <v>42.67</v>
      </c>
      <c r="AB68" s="0" t="n">
        <v>43.39</v>
      </c>
      <c r="AC68" s="0" t="n">
        <v>132.05</v>
      </c>
      <c r="AD68" s="0" t="n">
        <v>132.49</v>
      </c>
      <c r="AE68" s="0" t="n">
        <v>133.3</v>
      </c>
      <c r="AF68" s="0" t="n">
        <v>133.4</v>
      </c>
      <c r="AG68" s="0" t="n">
        <v>110.54</v>
      </c>
      <c r="AH68" s="0" t="n">
        <v>41.87</v>
      </c>
      <c r="AI68" s="0" t="n">
        <v>1.23</v>
      </c>
      <c r="AJ68" s="0" t="n">
        <v>41.75</v>
      </c>
      <c r="AK68" s="0" t="n">
        <v>137.87</v>
      </c>
      <c r="AL68" s="0" t="n">
        <v>133.4</v>
      </c>
      <c r="AM68" s="0" t="n">
        <v>28.5</v>
      </c>
      <c r="AN68" s="0" t="n">
        <v>133.9</v>
      </c>
    </row>
    <row r="69" customFormat="false" ht="15" hidden="false" customHeight="true" outlineLevel="0" collapsed="false">
      <c r="A69" s="0" t="s">
        <v>236</v>
      </c>
      <c r="B69" s="0" t="s">
        <v>237</v>
      </c>
      <c r="C69" s="0" t="n">
        <v>2.65</v>
      </c>
      <c r="D69" s="0" t="n">
        <v>32.97</v>
      </c>
      <c r="E69" s="0" t="n">
        <v>34.53</v>
      </c>
      <c r="F69" s="0" t="n">
        <v>34.64</v>
      </c>
      <c r="G69" s="0" t="n">
        <v>35.17</v>
      </c>
      <c r="H69" s="0" t="n">
        <v>35.82</v>
      </c>
      <c r="I69" s="0" t="n">
        <v>35.95</v>
      </c>
      <c r="J69" s="0" t="n">
        <v>36.26</v>
      </c>
      <c r="K69" s="0" t="n">
        <v>36.45</v>
      </c>
      <c r="L69" s="0" t="n">
        <v>36.53</v>
      </c>
      <c r="M69" s="0" t="n">
        <v>36.56</v>
      </c>
      <c r="N69" s="0" t="n">
        <v>36.85</v>
      </c>
      <c r="O69" s="0" t="n">
        <v>36.91</v>
      </c>
      <c r="P69" s="0" t="n">
        <v>37.01</v>
      </c>
      <c r="Q69" s="0" t="n">
        <v>37.34</v>
      </c>
      <c r="R69" s="0" t="n">
        <v>37.47</v>
      </c>
      <c r="S69" s="0" t="n">
        <v>37.75</v>
      </c>
      <c r="T69" s="0" t="n">
        <v>29.55</v>
      </c>
      <c r="U69" s="0" t="n">
        <v>70.06</v>
      </c>
      <c r="V69" s="0" t="n">
        <v>66.89</v>
      </c>
      <c r="W69" s="0" t="n">
        <v>69.05</v>
      </c>
      <c r="X69" s="0" t="n">
        <v>69.16</v>
      </c>
      <c r="Y69" s="0" t="n">
        <v>69.18</v>
      </c>
      <c r="Z69" s="0" t="n">
        <v>69.47</v>
      </c>
      <c r="AA69" s="0" t="n">
        <v>70.92</v>
      </c>
      <c r="AB69" s="0" t="n">
        <v>71.65</v>
      </c>
      <c r="AC69" s="0" t="n">
        <v>155.36</v>
      </c>
      <c r="AD69" s="0" t="n">
        <v>155.79</v>
      </c>
      <c r="AE69" s="0" t="n">
        <v>156.61</v>
      </c>
      <c r="AF69" s="0" t="n">
        <v>156.71</v>
      </c>
      <c r="AG69" s="0" t="n">
        <v>85.62</v>
      </c>
      <c r="AH69" s="0" t="n">
        <v>38.53</v>
      </c>
      <c r="AI69" s="0" t="n">
        <v>28.29</v>
      </c>
      <c r="AJ69" s="0" t="n">
        <v>70.01</v>
      </c>
      <c r="AK69" s="0" t="n">
        <v>161.17</v>
      </c>
      <c r="AL69" s="0" t="n">
        <v>156.7</v>
      </c>
      <c r="AM69" s="0" t="n">
        <v>0</v>
      </c>
      <c r="AN69" s="0" t="n">
        <v>108.4</v>
      </c>
    </row>
    <row r="70" customFormat="false" ht="15" hidden="false" customHeight="true" outlineLevel="0" collapsed="false">
      <c r="A70" s="0" t="s">
        <v>238</v>
      </c>
      <c r="B70" s="0" t="s">
        <v>239</v>
      </c>
      <c r="C70" s="0" t="n">
        <v>16.53</v>
      </c>
      <c r="D70" s="0" t="n">
        <v>42.9</v>
      </c>
      <c r="E70" s="0" t="n">
        <v>44.46</v>
      </c>
      <c r="F70" s="0" t="n">
        <v>44.57</v>
      </c>
      <c r="G70" s="0" t="n">
        <v>45.1</v>
      </c>
      <c r="H70" s="0" t="n">
        <v>45.74</v>
      </c>
      <c r="I70" s="0" t="n">
        <v>45.87</v>
      </c>
      <c r="J70" s="0" t="n">
        <v>46.18</v>
      </c>
      <c r="K70" s="0" t="n">
        <v>46.38</v>
      </c>
      <c r="L70" s="0" t="n">
        <v>46.45</v>
      </c>
      <c r="M70" s="0" t="n">
        <v>46.48</v>
      </c>
      <c r="N70" s="0" t="n">
        <v>46.78</v>
      </c>
      <c r="O70" s="0" t="n">
        <v>46.84</v>
      </c>
      <c r="P70" s="0" t="n">
        <v>46.93</v>
      </c>
      <c r="Q70" s="0" t="n">
        <v>47.27</v>
      </c>
      <c r="R70" s="0" t="n">
        <v>47.4</v>
      </c>
      <c r="S70" s="0" t="n">
        <v>47.68</v>
      </c>
      <c r="T70" s="0" t="n">
        <v>44.73</v>
      </c>
      <c r="U70" s="0" t="n">
        <v>85.23</v>
      </c>
      <c r="V70" s="0" t="n">
        <v>82.07</v>
      </c>
      <c r="W70" s="0" t="n">
        <v>84.22</v>
      </c>
      <c r="X70" s="0" t="n">
        <v>84.33</v>
      </c>
      <c r="Y70" s="0" t="n">
        <v>84.35</v>
      </c>
      <c r="Z70" s="0" t="n">
        <v>84.64</v>
      </c>
      <c r="AA70" s="0" t="n">
        <v>86.09</v>
      </c>
      <c r="AB70" s="0" t="n">
        <v>86.82</v>
      </c>
      <c r="AC70" s="0" t="n">
        <v>165.29</v>
      </c>
      <c r="AD70" s="0" t="n">
        <v>165.72</v>
      </c>
      <c r="AE70" s="0" t="n">
        <v>166.54</v>
      </c>
      <c r="AF70" s="0" t="n">
        <v>166.63</v>
      </c>
      <c r="AG70" s="0" t="n">
        <v>88.72</v>
      </c>
      <c r="AH70" s="0" t="n">
        <v>48.46</v>
      </c>
      <c r="AI70" s="0" t="n">
        <v>43.46</v>
      </c>
      <c r="AJ70" s="0" t="n">
        <v>85.18</v>
      </c>
      <c r="AK70" s="0" t="n">
        <v>171.1</v>
      </c>
      <c r="AL70" s="0" t="n">
        <v>166.6</v>
      </c>
      <c r="AM70" s="0" t="n">
        <v>18.2</v>
      </c>
      <c r="AN70" s="0" t="n">
        <v>96.1</v>
      </c>
    </row>
    <row r="71" customFormat="false" ht="15" hidden="false" customHeight="true" outlineLevel="0" collapsed="false">
      <c r="A71" s="0" t="s">
        <v>240</v>
      </c>
      <c r="B71" s="0" t="s">
        <v>241</v>
      </c>
      <c r="C71" s="0" t="n">
        <v>17.03</v>
      </c>
      <c r="D71" s="0" t="n">
        <v>24.31</v>
      </c>
      <c r="E71" s="0" t="n">
        <v>25.87</v>
      </c>
      <c r="F71" s="0" t="n">
        <v>25.98</v>
      </c>
      <c r="G71" s="0" t="n">
        <v>26.51</v>
      </c>
      <c r="H71" s="0" t="n">
        <v>27.16</v>
      </c>
      <c r="I71" s="0" t="n">
        <v>27.29</v>
      </c>
      <c r="J71" s="0" t="n">
        <v>27.6</v>
      </c>
      <c r="K71" s="0" t="n">
        <v>27.79</v>
      </c>
      <c r="L71" s="0" t="n">
        <v>27.87</v>
      </c>
      <c r="M71" s="0" t="n">
        <v>27.9</v>
      </c>
      <c r="N71" s="0" t="n">
        <v>28.19</v>
      </c>
      <c r="O71" s="0" t="n">
        <v>28.25</v>
      </c>
      <c r="P71" s="0" t="n">
        <v>28.35</v>
      </c>
      <c r="Q71" s="0" t="n">
        <v>28.68</v>
      </c>
      <c r="R71" s="0" t="n">
        <v>28.81</v>
      </c>
      <c r="S71" s="0" t="n">
        <v>29.09</v>
      </c>
      <c r="T71" s="0" t="n">
        <v>44.58</v>
      </c>
      <c r="U71" s="0" t="n">
        <v>76.57</v>
      </c>
      <c r="V71" s="0" t="n">
        <v>81.92</v>
      </c>
      <c r="W71" s="0" t="n">
        <v>84.08</v>
      </c>
      <c r="X71" s="0" t="n">
        <v>84.19</v>
      </c>
      <c r="Y71" s="0" t="n">
        <v>84.21</v>
      </c>
      <c r="Z71" s="0" t="n">
        <v>84.5</v>
      </c>
      <c r="AA71" s="0" t="n">
        <v>85.95</v>
      </c>
      <c r="AB71" s="0" t="n">
        <v>86.68</v>
      </c>
      <c r="AC71" s="0" t="n">
        <v>146.7</v>
      </c>
      <c r="AD71" s="0" t="n">
        <v>147.13</v>
      </c>
      <c r="AE71" s="0" t="n">
        <v>147.95</v>
      </c>
      <c r="AF71" s="0" t="n">
        <v>148.04</v>
      </c>
      <c r="AG71" s="0" t="n">
        <v>76.95</v>
      </c>
      <c r="AH71" s="0" t="n">
        <v>29.87</v>
      </c>
      <c r="AI71" s="0" t="n">
        <v>43.32</v>
      </c>
      <c r="AJ71" s="0" t="n">
        <v>85.04</v>
      </c>
      <c r="AK71" s="0" t="n">
        <v>152.51</v>
      </c>
      <c r="AL71" s="0" t="n">
        <v>148</v>
      </c>
      <c r="AM71" s="0" t="n">
        <v>18.7</v>
      </c>
      <c r="AN71" s="0" t="n">
        <v>119.2</v>
      </c>
    </row>
    <row r="72" customFormat="false" ht="15" hidden="false" customHeight="true" outlineLevel="0" collapsed="false">
      <c r="A72" s="0" t="s">
        <v>242</v>
      </c>
      <c r="B72" s="0" t="s">
        <v>243</v>
      </c>
      <c r="C72" s="0" t="n">
        <v>5.51</v>
      </c>
      <c r="D72" s="0" t="n">
        <v>32.38</v>
      </c>
      <c r="E72" s="0" t="n">
        <v>33.94</v>
      </c>
      <c r="F72" s="0" t="n">
        <v>34.05</v>
      </c>
      <c r="G72" s="0" t="n">
        <v>34.58</v>
      </c>
      <c r="H72" s="0" t="n">
        <v>35.22</v>
      </c>
      <c r="I72" s="0" t="n">
        <v>35.35</v>
      </c>
      <c r="J72" s="0" t="n">
        <v>35.66</v>
      </c>
      <c r="K72" s="0" t="n">
        <v>35.86</v>
      </c>
      <c r="L72" s="0" t="n">
        <v>35.93</v>
      </c>
      <c r="M72" s="0" t="n">
        <v>35.96</v>
      </c>
      <c r="N72" s="0" t="n">
        <v>36.26</v>
      </c>
      <c r="O72" s="0" t="n">
        <v>36.32</v>
      </c>
      <c r="P72" s="0" t="n">
        <v>36.41</v>
      </c>
      <c r="Q72" s="0" t="n">
        <v>36.75</v>
      </c>
      <c r="R72" s="0" t="n">
        <v>36.88</v>
      </c>
      <c r="S72" s="0" t="n">
        <v>37.16</v>
      </c>
      <c r="T72" s="0" t="n">
        <v>33.06</v>
      </c>
      <c r="U72" s="0" t="n">
        <v>73.57</v>
      </c>
      <c r="V72" s="0" t="n">
        <v>70.4</v>
      </c>
      <c r="W72" s="0" t="n">
        <v>72.56</v>
      </c>
      <c r="X72" s="0" t="n">
        <v>72.67</v>
      </c>
      <c r="Y72" s="0" t="n">
        <v>72.69</v>
      </c>
      <c r="Z72" s="0" t="n">
        <v>72.98</v>
      </c>
      <c r="AA72" s="0" t="n">
        <v>74.43</v>
      </c>
      <c r="AB72" s="0" t="n">
        <v>75.16</v>
      </c>
      <c r="AC72" s="0" t="n">
        <v>154.77</v>
      </c>
      <c r="AD72" s="0" t="n">
        <v>155.2</v>
      </c>
      <c r="AE72" s="0" t="n">
        <v>156.02</v>
      </c>
      <c r="AF72" s="0" t="n">
        <v>156.11</v>
      </c>
      <c r="AG72" s="0" t="n">
        <v>85.02</v>
      </c>
      <c r="AH72" s="0" t="n">
        <v>37.94</v>
      </c>
      <c r="AI72" s="0" t="n">
        <v>31.8</v>
      </c>
      <c r="AJ72" s="0" t="n">
        <v>73.52</v>
      </c>
      <c r="AK72" s="0" t="n">
        <v>160.58</v>
      </c>
      <c r="AL72" s="0" t="n">
        <v>156.1</v>
      </c>
      <c r="AM72" s="0" t="n">
        <v>7.1</v>
      </c>
      <c r="AN72" s="0" t="n">
        <v>111.9</v>
      </c>
    </row>
    <row r="73" customFormat="false" ht="15" hidden="false" customHeight="true" outlineLevel="0" collapsed="false">
      <c r="A73" s="0" t="s">
        <v>244</v>
      </c>
      <c r="B73" s="0" t="s">
        <v>245</v>
      </c>
      <c r="C73" s="0" t="n">
        <v>12.4</v>
      </c>
      <c r="D73" s="0" t="n">
        <v>29.91</v>
      </c>
      <c r="E73" s="0" t="n">
        <v>31.3</v>
      </c>
      <c r="F73" s="0" t="n">
        <v>31.03</v>
      </c>
      <c r="G73" s="0" t="n">
        <v>31.94</v>
      </c>
      <c r="H73" s="0" t="n">
        <v>29.05</v>
      </c>
      <c r="I73" s="0" t="n">
        <v>30.92</v>
      </c>
      <c r="J73" s="0" t="n">
        <v>31.45</v>
      </c>
      <c r="K73" s="0" t="n">
        <v>31.64</v>
      </c>
      <c r="L73" s="0" t="n">
        <v>30.89</v>
      </c>
      <c r="M73" s="0" t="n">
        <v>29.8</v>
      </c>
      <c r="N73" s="0" t="n">
        <v>31</v>
      </c>
      <c r="O73" s="0" t="n">
        <v>31.28</v>
      </c>
      <c r="P73" s="0" t="n">
        <v>31.37</v>
      </c>
      <c r="Q73" s="0" t="n">
        <v>31.71</v>
      </c>
      <c r="R73" s="0" t="n">
        <v>31.84</v>
      </c>
      <c r="S73" s="0" t="n">
        <v>32.12</v>
      </c>
      <c r="T73" s="0" t="n">
        <v>26.88</v>
      </c>
      <c r="U73" s="0" t="n">
        <v>67.38</v>
      </c>
      <c r="V73" s="0" t="n">
        <v>64.22</v>
      </c>
      <c r="W73" s="0" t="n">
        <v>66.37</v>
      </c>
      <c r="X73" s="0" t="n">
        <v>66.49</v>
      </c>
      <c r="Y73" s="0" t="n">
        <v>66.5</v>
      </c>
      <c r="Z73" s="0" t="n">
        <v>66.79</v>
      </c>
      <c r="AA73" s="0" t="n">
        <v>68.25</v>
      </c>
      <c r="AB73" s="0" t="n">
        <v>68.97</v>
      </c>
      <c r="AC73" s="0" t="n">
        <v>147.45</v>
      </c>
      <c r="AD73" s="0" t="n">
        <v>147.89</v>
      </c>
      <c r="AE73" s="0" t="n">
        <v>148.7</v>
      </c>
      <c r="AF73" s="0" t="n">
        <v>148.8</v>
      </c>
      <c r="AG73" s="0" t="n">
        <v>88.99</v>
      </c>
      <c r="AH73" s="0" t="n">
        <v>32.9</v>
      </c>
      <c r="AI73" s="0" t="n">
        <v>25.62</v>
      </c>
      <c r="AJ73" s="0" t="n">
        <v>67.33</v>
      </c>
      <c r="AK73" s="0" t="n">
        <v>153.27</v>
      </c>
      <c r="AL73" s="0" t="n">
        <v>148.8</v>
      </c>
      <c r="AM73" s="0" t="n">
        <v>13.3</v>
      </c>
      <c r="AN73" s="0" t="n">
        <v>118.7</v>
      </c>
    </row>
    <row r="74" customFormat="false" ht="15" hidden="false" customHeight="true" outlineLevel="0" collapsed="false">
      <c r="A74" s="0" t="s">
        <v>246</v>
      </c>
      <c r="B74" s="0" t="s">
        <v>247</v>
      </c>
      <c r="C74" s="0" t="n">
        <v>22.78</v>
      </c>
      <c r="D74" s="0" t="n">
        <v>51.22</v>
      </c>
      <c r="E74" s="0" t="n">
        <v>52.62</v>
      </c>
      <c r="F74" s="0" t="n">
        <v>52.35</v>
      </c>
      <c r="G74" s="0" t="n">
        <v>53.26</v>
      </c>
      <c r="H74" s="0" t="n">
        <v>50.37</v>
      </c>
      <c r="I74" s="0" t="n">
        <v>52.24</v>
      </c>
      <c r="J74" s="0" t="n">
        <v>52.77</v>
      </c>
      <c r="K74" s="0" t="n">
        <v>52.96</v>
      </c>
      <c r="L74" s="0" t="n">
        <v>52.21</v>
      </c>
      <c r="M74" s="0" t="n">
        <v>51.11</v>
      </c>
      <c r="N74" s="0" t="n">
        <v>52.32</v>
      </c>
      <c r="O74" s="0" t="n">
        <v>52.6</v>
      </c>
      <c r="P74" s="0" t="n">
        <v>52.69</v>
      </c>
      <c r="Q74" s="0" t="n">
        <v>53.03</v>
      </c>
      <c r="R74" s="0" t="n">
        <v>53.16</v>
      </c>
      <c r="S74" s="0" t="n">
        <v>53.44</v>
      </c>
      <c r="T74" s="0" t="n">
        <v>27.73</v>
      </c>
      <c r="U74" s="0" t="n">
        <v>68.23</v>
      </c>
      <c r="V74" s="0" t="n">
        <v>65.07</v>
      </c>
      <c r="W74" s="0" t="n">
        <v>67.22</v>
      </c>
      <c r="X74" s="0" t="n">
        <v>67.34</v>
      </c>
      <c r="Y74" s="0" t="n">
        <v>67.35</v>
      </c>
      <c r="Z74" s="0" t="n">
        <v>67.64</v>
      </c>
      <c r="AA74" s="0" t="n">
        <v>69.1</v>
      </c>
      <c r="AB74" s="0" t="n">
        <v>69.82</v>
      </c>
      <c r="AC74" s="0" t="n">
        <v>156.63</v>
      </c>
      <c r="AD74" s="0" t="n">
        <v>157.06</v>
      </c>
      <c r="AE74" s="0" t="n">
        <v>157.88</v>
      </c>
      <c r="AF74" s="0" t="n">
        <v>157.97</v>
      </c>
      <c r="AG74" s="0" t="n">
        <v>105.75</v>
      </c>
      <c r="AH74" s="0" t="n">
        <v>54.22</v>
      </c>
      <c r="AI74" s="0" t="n">
        <v>26.47</v>
      </c>
      <c r="AJ74" s="0" t="n">
        <v>68.18</v>
      </c>
      <c r="AK74" s="0" t="n">
        <v>162.44</v>
      </c>
      <c r="AL74" s="0" t="n">
        <v>157.9</v>
      </c>
      <c r="AM74" s="0" t="n">
        <v>23.7</v>
      </c>
      <c r="AN74" s="0" t="n">
        <v>129.1</v>
      </c>
    </row>
    <row r="75" customFormat="false" ht="15" hidden="false" customHeight="true" outlineLevel="0" collapsed="false">
      <c r="A75" s="0" t="s">
        <v>248</v>
      </c>
      <c r="B75" s="0" t="s">
        <v>249</v>
      </c>
      <c r="C75" s="0" t="n">
        <v>37.76</v>
      </c>
      <c r="D75" s="0" t="n">
        <v>45.9</v>
      </c>
      <c r="E75" s="0" t="n">
        <v>47.3</v>
      </c>
      <c r="F75" s="0" t="n">
        <v>47.02</v>
      </c>
      <c r="G75" s="0" t="n">
        <v>47.94</v>
      </c>
      <c r="H75" s="0" t="n">
        <v>45.05</v>
      </c>
      <c r="I75" s="0" t="n">
        <v>46.91</v>
      </c>
      <c r="J75" s="0" t="n">
        <v>47.44</v>
      </c>
      <c r="K75" s="0" t="n">
        <v>47.64</v>
      </c>
      <c r="L75" s="0" t="n">
        <v>46.89</v>
      </c>
      <c r="M75" s="0" t="n">
        <v>45.79</v>
      </c>
      <c r="N75" s="0" t="n">
        <v>46.99</v>
      </c>
      <c r="O75" s="0" t="n">
        <v>47.28</v>
      </c>
      <c r="P75" s="0" t="n">
        <v>47.37</v>
      </c>
      <c r="Q75" s="0" t="n">
        <v>47.7</v>
      </c>
      <c r="R75" s="0" t="n">
        <v>47.83</v>
      </c>
      <c r="S75" s="0" t="n">
        <v>48.12</v>
      </c>
      <c r="T75" s="0" t="n">
        <v>11.38</v>
      </c>
      <c r="U75" s="0" t="n">
        <v>48.82</v>
      </c>
      <c r="V75" s="0" t="n">
        <v>40.29</v>
      </c>
      <c r="W75" s="0" t="n">
        <v>42.44</v>
      </c>
      <c r="X75" s="0" t="n">
        <v>42.55</v>
      </c>
      <c r="Y75" s="0" t="n">
        <v>42.57</v>
      </c>
      <c r="Z75" s="0" t="n">
        <v>42.86</v>
      </c>
      <c r="AA75" s="0" t="n">
        <v>44.31</v>
      </c>
      <c r="AB75" s="0" t="n">
        <v>45.04</v>
      </c>
      <c r="AC75" s="0" t="n">
        <v>139.08</v>
      </c>
      <c r="AD75" s="0" t="n">
        <v>139.51</v>
      </c>
      <c r="AE75" s="0" t="n">
        <v>140.33</v>
      </c>
      <c r="AF75" s="0" t="n">
        <v>140.42</v>
      </c>
      <c r="AG75" s="0" t="n">
        <v>120.72</v>
      </c>
      <c r="AH75" s="0" t="n">
        <v>48.89</v>
      </c>
      <c r="AI75" s="0" t="n">
        <v>11.41</v>
      </c>
      <c r="AJ75" s="0" t="n">
        <v>43.4</v>
      </c>
      <c r="AK75" s="0" t="n">
        <v>144.89</v>
      </c>
      <c r="AL75" s="0" t="n">
        <v>140.4</v>
      </c>
      <c r="AM75" s="0" t="n">
        <v>38.7</v>
      </c>
      <c r="AN75" s="0" t="n">
        <v>144</v>
      </c>
    </row>
    <row r="76" customFormat="false" ht="15" hidden="false" customHeight="true" outlineLevel="0" collapsed="false">
      <c r="A76" s="0" t="s">
        <v>250</v>
      </c>
      <c r="B76" s="0" t="s">
        <v>251</v>
      </c>
      <c r="C76" s="0" t="n">
        <v>32.84</v>
      </c>
      <c r="D76" s="0" t="n">
        <v>35.22</v>
      </c>
      <c r="E76" s="0" t="n">
        <v>36.61</v>
      </c>
      <c r="F76" s="0" t="n">
        <v>36.34</v>
      </c>
      <c r="G76" s="0" t="n">
        <v>37.25</v>
      </c>
      <c r="H76" s="0" t="n">
        <v>34.36</v>
      </c>
      <c r="I76" s="0" t="n">
        <v>36.23</v>
      </c>
      <c r="J76" s="0" t="n">
        <v>36.76</v>
      </c>
      <c r="K76" s="0" t="n">
        <v>36.95</v>
      </c>
      <c r="L76" s="0" t="n">
        <v>36.2</v>
      </c>
      <c r="M76" s="0" t="n">
        <v>35.11</v>
      </c>
      <c r="N76" s="0" t="n">
        <v>36.31</v>
      </c>
      <c r="O76" s="0" t="n">
        <v>36.59</v>
      </c>
      <c r="P76" s="0" t="n">
        <v>36.68</v>
      </c>
      <c r="Q76" s="0" t="n">
        <v>37.02</v>
      </c>
      <c r="R76" s="0" t="n">
        <v>37.15</v>
      </c>
      <c r="S76" s="0" t="n">
        <v>37.43</v>
      </c>
      <c r="T76" s="0" t="n">
        <v>19.94</v>
      </c>
      <c r="U76" s="0" t="n">
        <v>57.18</v>
      </c>
      <c r="V76" s="0" t="n">
        <v>54.01</v>
      </c>
      <c r="W76" s="0" t="n">
        <v>56.17</v>
      </c>
      <c r="X76" s="0" t="n">
        <v>56.28</v>
      </c>
      <c r="Y76" s="0" t="n">
        <v>56.3</v>
      </c>
      <c r="Z76" s="0" t="n">
        <v>56.59</v>
      </c>
      <c r="AA76" s="0" t="n">
        <v>58.04</v>
      </c>
      <c r="AB76" s="0" t="n">
        <v>58.77</v>
      </c>
      <c r="AC76" s="0" t="n">
        <v>136.37</v>
      </c>
      <c r="AD76" s="0" t="n">
        <v>136.81</v>
      </c>
      <c r="AE76" s="0" t="n">
        <v>137.62</v>
      </c>
      <c r="AF76" s="0" t="n">
        <v>137.72</v>
      </c>
      <c r="AG76" s="0" t="n">
        <v>113.16</v>
      </c>
      <c r="AH76" s="0" t="n">
        <v>38.21</v>
      </c>
      <c r="AI76" s="0" t="n">
        <v>20.86</v>
      </c>
      <c r="AJ76" s="0" t="n">
        <v>57.13</v>
      </c>
      <c r="AK76" s="0" t="n">
        <v>142.19</v>
      </c>
      <c r="AL76" s="0" t="n">
        <v>137.7</v>
      </c>
      <c r="AM76" s="0" t="n">
        <v>33.7</v>
      </c>
      <c r="AN76" s="0" t="n">
        <v>139.1</v>
      </c>
    </row>
    <row r="77" customFormat="false" ht="15" hidden="false" customHeight="true" outlineLevel="0" collapsed="false">
      <c r="A77" s="0" t="s">
        <v>252</v>
      </c>
      <c r="B77" s="0" t="s">
        <v>253</v>
      </c>
      <c r="C77" s="0" t="n">
        <v>44.53</v>
      </c>
      <c r="D77" s="0" t="n">
        <v>36.25</v>
      </c>
      <c r="E77" s="0" t="n">
        <v>37.65</v>
      </c>
      <c r="F77" s="0" t="n">
        <v>37.38</v>
      </c>
      <c r="G77" s="0" t="n">
        <v>38.29</v>
      </c>
      <c r="H77" s="0" t="n">
        <v>35.4</v>
      </c>
      <c r="I77" s="0" t="n">
        <v>37.26</v>
      </c>
      <c r="J77" s="0" t="n">
        <v>37.8</v>
      </c>
      <c r="K77" s="0" t="n">
        <v>37.99</v>
      </c>
      <c r="L77" s="0" t="n">
        <v>37.24</v>
      </c>
      <c r="M77" s="0" t="n">
        <v>36.14</v>
      </c>
      <c r="N77" s="0" t="n">
        <v>37.35</v>
      </c>
      <c r="O77" s="0" t="n">
        <v>37.63</v>
      </c>
      <c r="P77" s="0" t="n">
        <v>37.72</v>
      </c>
      <c r="Q77" s="0" t="n">
        <v>38.06</v>
      </c>
      <c r="R77" s="0" t="n">
        <v>38.19</v>
      </c>
      <c r="S77" s="0" t="n">
        <v>38.47</v>
      </c>
      <c r="T77" s="0" t="n">
        <v>17.86</v>
      </c>
      <c r="U77" s="0" t="n">
        <v>43.07</v>
      </c>
      <c r="V77" s="0" t="n">
        <v>51.94</v>
      </c>
      <c r="W77" s="0" t="n">
        <v>54.1</v>
      </c>
      <c r="X77" s="0" t="n">
        <v>54.21</v>
      </c>
      <c r="Y77" s="0" t="n">
        <v>54.23</v>
      </c>
      <c r="Z77" s="0" t="n">
        <v>54.52</v>
      </c>
      <c r="AA77" s="0" t="n">
        <v>55.97</v>
      </c>
      <c r="AB77" s="0" t="n">
        <v>56.69</v>
      </c>
      <c r="AC77" s="0" t="n">
        <v>118.19</v>
      </c>
      <c r="AD77" s="0" t="n">
        <v>118.62</v>
      </c>
      <c r="AE77" s="0" t="n">
        <v>119.44</v>
      </c>
      <c r="AF77" s="0" t="n">
        <v>119.53</v>
      </c>
      <c r="AG77" s="0" t="n">
        <v>114.2</v>
      </c>
      <c r="AH77" s="0" t="n">
        <v>39.25</v>
      </c>
      <c r="AI77" s="0" t="n">
        <v>18.79</v>
      </c>
      <c r="AJ77" s="0" t="n">
        <v>55.06</v>
      </c>
      <c r="AK77" s="0" t="n">
        <v>124</v>
      </c>
      <c r="AL77" s="0" t="n">
        <v>119.5</v>
      </c>
      <c r="AM77" s="0" t="n">
        <v>45.4</v>
      </c>
      <c r="AN77" s="0" t="n">
        <v>150.8</v>
      </c>
    </row>
    <row r="78" customFormat="false" ht="15" hidden="false" customHeight="true" outlineLevel="0" collapsed="false">
      <c r="A78" s="0" t="s">
        <v>254</v>
      </c>
      <c r="B78" s="0" t="s">
        <v>255</v>
      </c>
      <c r="C78" s="0" t="n">
        <v>31.34</v>
      </c>
      <c r="D78" s="0" t="n">
        <v>21.81</v>
      </c>
      <c r="E78" s="0" t="n">
        <v>23.21</v>
      </c>
      <c r="F78" s="0" t="n">
        <v>22.94</v>
      </c>
      <c r="G78" s="0" t="n">
        <v>23.85</v>
      </c>
      <c r="H78" s="0" t="n">
        <v>20.96</v>
      </c>
      <c r="I78" s="0" t="n">
        <v>22.82</v>
      </c>
      <c r="J78" s="0" t="n">
        <v>23.35</v>
      </c>
      <c r="K78" s="0" t="n">
        <v>23.55</v>
      </c>
      <c r="L78" s="0" t="n">
        <v>22.8</v>
      </c>
      <c r="M78" s="0" t="n">
        <v>21.7</v>
      </c>
      <c r="N78" s="0" t="n">
        <v>22.9</v>
      </c>
      <c r="O78" s="0" t="n">
        <v>23.19</v>
      </c>
      <c r="P78" s="0" t="n">
        <v>23.28</v>
      </c>
      <c r="Q78" s="0" t="n">
        <v>23.61</v>
      </c>
      <c r="R78" s="0" t="n">
        <v>23.74</v>
      </c>
      <c r="S78" s="0" t="n">
        <v>24.03</v>
      </c>
      <c r="T78" s="0" t="n">
        <v>22.33</v>
      </c>
      <c r="U78" s="0" t="n">
        <v>58.22</v>
      </c>
      <c r="V78" s="0" t="n">
        <v>56.41</v>
      </c>
      <c r="W78" s="0" t="n">
        <v>58.56</v>
      </c>
      <c r="X78" s="0" t="n">
        <v>58.67</v>
      </c>
      <c r="Y78" s="0" t="n">
        <v>58.69</v>
      </c>
      <c r="Z78" s="0" t="n">
        <v>58.98</v>
      </c>
      <c r="AA78" s="0" t="n">
        <v>60.43</v>
      </c>
      <c r="AB78" s="0" t="n">
        <v>61.16</v>
      </c>
      <c r="AC78" s="0" t="n">
        <v>130.95</v>
      </c>
      <c r="AD78" s="0" t="n">
        <v>131.39</v>
      </c>
      <c r="AE78" s="0" t="n">
        <v>132.2</v>
      </c>
      <c r="AF78" s="0" t="n">
        <v>132.3</v>
      </c>
      <c r="AG78" s="0" t="n">
        <v>99.75</v>
      </c>
      <c r="AH78" s="0" t="n">
        <v>24.8</v>
      </c>
      <c r="AI78" s="0" t="n">
        <v>23.25</v>
      </c>
      <c r="AJ78" s="0" t="n">
        <v>59.52</v>
      </c>
      <c r="AK78" s="0" t="n">
        <v>136.77</v>
      </c>
      <c r="AL78" s="0" t="n">
        <v>132.3</v>
      </c>
      <c r="AM78" s="0" t="n">
        <v>32.2</v>
      </c>
      <c r="AN78" s="0" t="n">
        <v>137.6</v>
      </c>
    </row>
    <row r="79" customFormat="false" ht="15" hidden="false" customHeight="true" outlineLevel="0" collapsed="false">
      <c r="A79" s="0" t="s">
        <v>256</v>
      </c>
      <c r="B79" s="0" t="s">
        <v>257</v>
      </c>
      <c r="C79" s="0" t="n">
        <v>43.22</v>
      </c>
      <c r="D79" s="0" t="n">
        <v>63.27</v>
      </c>
      <c r="E79" s="0" t="n">
        <v>64.67</v>
      </c>
      <c r="F79" s="0" t="n">
        <v>64.4</v>
      </c>
      <c r="G79" s="0" t="n">
        <v>65.31</v>
      </c>
      <c r="H79" s="0" t="n">
        <v>62.42</v>
      </c>
      <c r="I79" s="0" t="n">
        <v>64.28</v>
      </c>
      <c r="J79" s="0" t="n">
        <v>64.82</v>
      </c>
      <c r="K79" s="0" t="n">
        <v>65.01</v>
      </c>
      <c r="L79" s="0" t="n">
        <v>64.26</v>
      </c>
      <c r="M79" s="0" t="n">
        <v>63.16</v>
      </c>
      <c r="N79" s="0" t="n">
        <v>64.37</v>
      </c>
      <c r="O79" s="0" t="n">
        <v>64.65</v>
      </c>
      <c r="P79" s="0" t="n">
        <v>64.74</v>
      </c>
      <c r="Q79" s="0" t="n">
        <v>65.08</v>
      </c>
      <c r="R79" s="0" t="n">
        <v>65.21</v>
      </c>
      <c r="S79" s="0" t="n">
        <v>65.49</v>
      </c>
      <c r="T79" s="0" t="n">
        <v>26.38</v>
      </c>
      <c r="U79" s="0" t="n">
        <v>66.89</v>
      </c>
      <c r="V79" s="0" t="n">
        <v>63.72</v>
      </c>
      <c r="W79" s="0" t="n">
        <v>65.88</v>
      </c>
      <c r="X79" s="0" t="n">
        <v>65.99</v>
      </c>
      <c r="Y79" s="0" t="n">
        <v>66.01</v>
      </c>
      <c r="Z79" s="0" t="n">
        <v>66.3</v>
      </c>
      <c r="AA79" s="0" t="n">
        <v>67.75</v>
      </c>
      <c r="AB79" s="0" t="n">
        <v>68.48</v>
      </c>
      <c r="AC79" s="0" t="n">
        <v>156.45</v>
      </c>
      <c r="AD79" s="0" t="n">
        <v>156.89</v>
      </c>
      <c r="AE79" s="0" t="n">
        <v>157.7</v>
      </c>
      <c r="AF79" s="0" t="n">
        <v>157.8</v>
      </c>
      <c r="AG79" s="0" t="n">
        <v>125.56</v>
      </c>
      <c r="AH79" s="0" t="n">
        <v>66.27</v>
      </c>
      <c r="AI79" s="0" t="n">
        <v>25.14</v>
      </c>
      <c r="AJ79" s="0" t="n">
        <v>66.84</v>
      </c>
      <c r="AK79" s="0" t="n">
        <v>162.27</v>
      </c>
      <c r="AL79" s="0" t="n">
        <v>157.8</v>
      </c>
      <c r="AM79" s="0" t="n">
        <v>43.2</v>
      </c>
      <c r="AN79" s="0" t="n">
        <v>123.8</v>
      </c>
    </row>
    <row r="80" customFormat="false" ht="15" hidden="false" customHeight="true" outlineLevel="0" collapsed="false">
      <c r="A80" s="0" t="s">
        <v>258</v>
      </c>
      <c r="B80" s="0" t="s">
        <v>259</v>
      </c>
      <c r="C80" s="0" t="n">
        <v>49.3</v>
      </c>
      <c r="D80" s="0" t="n">
        <v>57.29</v>
      </c>
      <c r="E80" s="0" t="n">
        <v>58.69</v>
      </c>
      <c r="F80" s="0" t="n">
        <v>58.41</v>
      </c>
      <c r="G80" s="0" t="n">
        <v>59.32</v>
      </c>
      <c r="H80" s="0" t="n">
        <v>56.44</v>
      </c>
      <c r="I80" s="0" t="n">
        <v>58.3</v>
      </c>
      <c r="J80" s="0" t="n">
        <v>58.83</v>
      </c>
      <c r="K80" s="0" t="n">
        <v>59.03</v>
      </c>
      <c r="L80" s="0" t="n">
        <v>58.28</v>
      </c>
      <c r="M80" s="0" t="n">
        <v>57.18</v>
      </c>
      <c r="N80" s="0" t="n">
        <v>58.38</v>
      </c>
      <c r="O80" s="0" t="n">
        <v>58.66</v>
      </c>
      <c r="P80" s="0" t="n">
        <v>58.76</v>
      </c>
      <c r="Q80" s="0" t="n">
        <v>59.09</v>
      </c>
      <c r="R80" s="0" t="n">
        <v>59.22</v>
      </c>
      <c r="S80" s="0" t="n">
        <v>59.5</v>
      </c>
      <c r="T80" s="0" t="n">
        <v>22.77</v>
      </c>
      <c r="U80" s="0" t="n">
        <v>56.22</v>
      </c>
      <c r="V80" s="0" t="n">
        <v>45.72</v>
      </c>
      <c r="W80" s="0" t="n">
        <v>47.87</v>
      </c>
      <c r="X80" s="0" t="n">
        <v>47.98</v>
      </c>
      <c r="Y80" s="0" t="n">
        <v>48</v>
      </c>
      <c r="Z80" s="0" t="n">
        <v>48.29</v>
      </c>
      <c r="AA80" s="0" t="n">
        <v>49.74</v>
      </c>
      <c r="AB80" s="0" t="n">
        <v>50.47</v>
      </c>
      <c r="AC80" s="0" t="n">
        <v>150.47</v>
      </c>
      <c r="AD80" s="0" t="n">
        <v>150.9</v>
      </c>
      <c r="AE80" s="0" t="n">
        <v>151.72</v>
      </c>
      <c r="AF80" s="0" t="n">
        <v>151.81</v>
      </c>
      <c r="AG80" s="0" t="n">
        <v>132.26</v>
      </c>
      <c r="AH80" s="0" t="n">
        <v>60.28</v>
      </c>
      <c r="AI80" s="0" t="n">
        <v>22.95</v>
      </c>
      <c r="AJ80" s="0" t="n">
        <v>48.83</v>
      </c>
      <c r="AK80" s="0" t="n">
        <v>156.28</v>
      </c>
      <c r="AL80" s="0" t="n">
        <v>151.8</v>
      </c>
      <c r="AM80" s="0" t="n">
        <v>50.2</v>
      </c>
      <c r="AN80" s="0" t="n">
        <v>137.4</v>
      </c>
    </row>
    <row r="81" customFormat="false" ht="15" hidden="false" customHeight="true" outlineLevel="0" collapsed="false">
      <c r="A81" s="0" t="s">
        <v>260</v>
      </c>
      <c r="B81" s="0" t="s">
        <v>261</v>
      </c>
      <c r="C81" s="0" t="n">
        <v>27.89</v>
      </c>
      <c r="D81" s="0" t="n">
        <v>58.21</v>
      </c>
      <c r="E81" s="0" t="n">
        <v>59.77</v>
      </c>
      <c r="F81" s="0" t="n">
        <v>59.88</v>
      </c>
      <c r="G81" s="0" t="n">
        <v>60.41</v>
      </c>
      <c r="H81" s="0" t="n">
        <v>61.06</v>
      </c>
      <c r="I81" s="0" t="n">
        <v>61.19</v>
      </c>
      <c r="J81" s="0" t="n">
        <v>61.5</v>
      </c>
      <c r="K81" s="0" t="n">
        <v>61.69</v>
      </c>
      <c r="L81" s="0" t="n">
        <v>61.77</v>
      </c>
      <c r="M81" s="0" t="n">
        <v>61.8</v>
      </c>
      <c r="N81" s="0" t="n">
        <v>62.09</v>
      </c>
      <c r="O81" s="0" t="n">
        <v>62.15</v>
      </c>
      <c r="P81" s="0" t="n">
        <v>62.25</v>
      </c>
      <c r="Q81" s="0" t="n">
        <v>62.58</v>
      </c>
      <c r="R81" s="0" t="n">
        <v>62.71</v>
      </c>
      <c r="S81" s="0" t="n">
        <v>62.99</v>
      </c>
      <c r="T81" s="0" t="n">
        <v>34.09</v>
      </c>
      <c r="U81" s="0" t="n">
        <v>74.59</v>
      </c>
      <c r="V81" s="0" t="n">
        <v>71.43</v>
      </c>
      <c r="W81" s="0" t="n">
        <v>73.59</v>
      </c>
      <c r="X81" s="0" t="n">
        <v>73.7</v>
      </c>
      <c r="Y81" s="0" t="n">
        <v>73.71</v>
      </c>
      <c r="Z81" s="0" t="n">
        <v>74</v>
      </c>
      <c r="AA81" s="0" t="n">
        <v>75.46</v>
      </c>
      <c r="AB81" s="0" t="n">
        <v>76.18</v>
      </c>
      <c r="AC81" s="0" t="n">
        <v>164.16</v>
      </c>
      <c r="AD81" s="0" t="n">
        <v>164.59</v>
      </c>
      <c r="AE81" s="0" t="n">
        <v>165.41</v>
      </c>
      <c r="AF81" s="0" t="n">
        <v>165.5</v>
      </c>
      <c r="AG81" s="0" t="n">
        <v>110</v>
      </c>
      <c r="AH81" s="0" t="n">
        <v>63.77</v>
      </c>
      <c r="AI81" s="0" t="n">
        <v>32.85</v>
      </c>
      <c r="AJ81" s="0" t="n">
        <v>74.54</v>
      </c>
      <c r="AK81" s="0" t="n">
        <v>169.97</v>
      </c>
      <c r="AL81" s="0" t="n">
        <v>165.5</v>
      </c>
      <c r="AM81" s="0" t="n">
        <v>27.6</v>
      </c>
      <c r="AN81" s="0" t="n">
        <v>108.2</v>
      </c>
    </row>
    <row r="82" customFormat="false" ht="15" hidden="false" customHeight="true" outlineLevel="0" collapsed="false">
      <c r="A82" s="0" t="s">
        <v>262</v>
      </c>
      <c r="B82" s="0" t="s">
        <v>263</v>
      </c>
      <c r="C82" s="0" t="n">
        <v>45.67</v>
      </c>
      <c r="D82" s="0" t="n">
        <v>75.62</v>
      </c>
      <c r="E82" s="0" t="n">
        <v>77.18</v>
      </c>
      <c r="F82" s="0" t="n">
        <v>77.29</v>
      </c>
      <c r="G82" s="0" t="n">
        <v>77.82</v>
      </c>
      <c r="H82" s="0" t="n">
        <v>78.46</v>
      </c>
      <c r="I82" s="0" t="n">
        <v>78.59</v>
      </c>
      <c r="J82" s="0" t="n">
        <v>78.9</v>
      </c>
      <c r="K82" s="0" t="n">
        <v>79.1</v>
      </c>
      <c r="L82" s="0" t="n">
        <v>79.17</v>
      </c>
      <c r="M82" s="0" t="n">
        <v>79.2</v>
      </c>
      <c r="N82" s="0" t="n">
        <v>79.5</v>
      </c>
      <c r="O82" s="0" t="n">
        <v>79.56</v>
      </c>
      <c r="P82" s="0" t="n">
        <v>79.65</v>
      </c>
      <c r="Q82" s="0" t="n">
        <v>79.99</v>
      </c>
      <c r="R82" s="0" t="n">
        <v>80.12</v>
      </c>
      <c r="S82" s="0" t="n">
        <v>80.4</v>
      </c>
      <c r="T82" s="0" t="n">
        <v>66.84</v>
      </c>
      <c r="U82" s="0" t="n">
        <v>107.35</v>
      </c>
      <c r="V82" s="0" t="n">
        <v>104.19</v>
      </c>
      <c r="W82" s="0" t="n">
        <v>106.34</v>
      </c>
      <c r="X82" s="0" t="n">
        <v>106.45</v>
      </c>
      <c r="Y82" s="0" t="n">
        <v>106.47</v>
      </c>
      <c r="Z82" s="0" t="n">
        <v>106.76</v>
      </c>
      <c r="AA82" s="0" t="n">
        <v>108.21</v>
      </c>
      <c r="AB82" s="0" t="n">
        <v>108.94</v>
      </c>
      <c r="AC82" s="0" t="n">
        <v>196.91</v>
      </c>
      <c r="AD82" s="0" t="n">
        <v>197.35</v>
      </c>
      <c r="AE82" s="0" t="n">
        <v>198.16</v>
      </c>
      <c r="AF82" s="0" t="n">
        <v>198.26</v>
      </c>
      <c r="AG82" s="0" t="n">
        <v>123.59</v>
      </c>
      <c r="AH82" s="0" t="n">
        <v>81.18</v>
      </c>
      <c r="AI82" s="0" t="n">
        <v>65.61</v>
      </c>
      <c r="AJ82" s="0" t="n">
        <v>107.3</v>
      </c>
      <c r="AK82" s="0" t="n">
        <v>202.73</v>
      </c>
      <c r="AL82" s="0" t="n">
        <v>198.2</v>
      </c>
      <c r="AM82" s="0" t="n">
        <v>47.3</v>
      </c>
      <c r="AN82" s="0" t="n">
        <v>108.5</v>
      </c>
    </row>
    <row r="83" customFormat="false" ht="15" hidden="false" customHeight="true" outlineLevel="0" collapsed="false">
      <c r="A83" s="0" t="s">
        <v>264</v>
      </c>
      <c r="B83" s="0" t="s">
        <v>265</v>
      </c>
      <c r="C83" s="0" t="n">
        <v>15.47</v>
      </c>
      <c r="D83" s="0" t="n">
        <v>46.32</v>
      </c>
      <c r="E83" s="0" t="n">
        <v>47.87</v>
      </c>
      <c r="F83" s="0" t="n">
        <v>47.99</v>
      </c>
      <c r="G83" s="0" t="n">
        <v>48.51</v>
      </c>
      <c r="H83" s="0" t="n">
        <v>49.16</v>
      </c>
      <c r="I83" s="0" t="n">
        <v>49.29</v>
      </c>
      <c r="J83" s="0" t="n">
        <v>49.6</v>
      </c>
      <c r="K83" s="0" t="n">
        <v>49.8</v>
      </c>
      <c r="L83" s="0" t="n">
        <v>49.87</v>
      </c>
      <c r="M83" s="0" t="n">
        <v>49.9</v>
      </c>
      <c r="N83" s="0" t="n">
        <v>50.2</v>
      </c>
      <c r="O83" s="0" t="n">
        <v>50.26</v>
      </c>
      <c r="P83" s="0" t="n">
        <v>50.35</v>
      </c>
      <c r="Q83" s="0" t="n">
        <v>50.69</v>
      </c>
      <c r="R83" s="0" t="n">
        <v>50.82</v>
      </c>
      <c r="S83" s="0" t="n">
        <v>51.1</v>
      </c>
      <c r="T83" s="0" t="n">
        <v>43.66</v>
      </c>
      <c r="U83" s="0" t="n">
        <v>84.17</v>
      </c>
      <c r="V83" s="0" t="n">
        <v>81</v>
      </c>
      <c r="W83" s="0" t="n">
        <v>83.16</v>
      </c>
      <c r="X83" s="0" t="n">
        <v>83.27</v>
      </c>
      <c r="Y83" s="0" t="n">
        <v>83.29</v>
      </c>
      <c r="Z83" s="0" t="n">
        <v>83.58</v>
      </c>
      <c r="AA83" s="0" t="n">
        <v>85.03</v>
      </c>
      <c r="AB83" s="0" t="n">
        <v>85.76</v>
      </c>
      <c r="AC83" s="0" t="n">
        <v>168.7</v>
      </c>
      <c r="AD83" s="0" t="n">
        <v>169.14</v>
      </c>
      <c r="AE83" s="0" t="n">
        <v>169.95</v>
      </c>
      <c r="AF83" s="0" t="n">
        <v>170.05</v>
      </c>
      <c r="AG83" s="0" t="n">
        <v>98.96</v>
      </c>
      <c r="AH83" s="0" t="n">
        <v>51.88</v>
      </c>
      <c r="AI83" s="0" t="n">
        <v>42.4</v>
      </c>
      <c r="AJ83" s="0" t="n">
        <v>84.12</v>
      </c>
      <c r="AK83" s="0" t="n">
        <v>174.52</v>
      </c>
      <c r="AL83" s="0" t="n">
        <v>170</v>
      </c>
      <c r="AM83" s="0" t="n">
        <v>17.1</v>
      </c>
      <c r="AN83" s="0" t="n">
        <v>107.5</v>
      </c>
    </row>
    <row r="84" customFormat="false" ht="15" hidden="false" customHeight="true" outlineLevel="0" collapsed="false">
      <c r="A84" s="0" t="s">
        <v>266</v>
      </c>
      <c r="B84" s="0" t="s">
        <v>267</v>
      </c>
      <c r="C84" s="0" t="n">
        <v>155.32</v>
      </c>
      <c r="D84" s="0" t="n">
        <v>124.45</v>
      </c>
      <c r="E84" s="0" t="n">
        <v>124.16</v>
      </c>
      <c r="F84" s="0" t="n">
        <v>123.89</v>
      </c>
      <c r="G84" s="0" t="n">
        <v>124.17</v>
      </c>
      <c r="H84" s="0" t="n">
        <v>121.91</v>
      </c>
      <c r="I84" s="0" t="n">
        <v>122.12</v>
      </c>
      <c r="J84" s="0" t="n">
        <v>122.82</v>
      </c>
      <c r="K84" s="0" t="n">
        <v>123.54</v>
      </c>
      <c r="L84" s="0" t="n">
        <v>122.09</v>
      </c>
      <c r="M84" s="0" t="n">
        <v>120.88</v>
      </c>
      <c r="N84" s="0" t="n">
        <v>122.65</v>
      </c>
      <c r="O84" s="0" t="n">
        <v>122.48</v>
      </c>
      <c r="P84" s="0" t="n">
        <v>122.11</v>
      </c>
      <c r="Q84" s="0" t="n">
        <v>122.01</v>
      </c>
      <c r="R84" s="0" t="n">
        <v>122.21</v>
      </c>
      <c r="S84" s="0" t="n">
        <v>122.8</v>
      </c>
      <c r="T84" s="0" t="n">
        <v>132.26</v>
      </c>
      <c r="U84" s="0" t="n">
        <v>113.13</v>
      </c>
      <c r="V84" s="0" t="n">
        <v>143.46</v>
      </c>
      <c r="W84" s="0" t="n">
        <v>141.72</v>
      </c>
      <c r="X84" s="0" t="n">
        <v>140.36</v>
      </c>
      <c r="Y84" s="0" t="n">
        <v>140.37</v>
      </c>
      <c r="Z84" s="0" t="n">
        <v>140.66</v>
      </c>
      <c r="AA84" s="0" t="n">
        <v>140.15</v>
      </c>
      <c r="AB84" s="0" t="n">
        <v>138.92</v>
      </c>
      <c r="AC84" s="0" t="n">
        <v>1.49</v>
      </c>
      <c r="AD84" s="0" t="n">
        <v>1.12</v>
      </c>
      <c r="AE84" s="0" t="n">
        <v>1.32</v>
      </c>
      <c r="AF84" s="0" t="n">
        <v>2.01</v>
      </c>
      <c r="AG84" s="0" t="n">
        <v>209.85</v>
      </c>
      <c r="AH84" s="0" t="n">
        <v>121.27</v>
      </c>
      <c r="AI84" s="0" t="n">
        <v>133.18</v>
      </c>
      <c r="AJ84" s="0" t="n">
        <v>141.2</v>
      </c>
      <c r="AK84" s="0" t="n">
        <v>6.08</v>
      </c>
      <c r="AL84" s="0" t="n">
        <v>0</v>
      </c>
      <c r="AM84" s="0" t="n">
        <v>157</v>
      </c>
      <c r="AN84" s="0" t="n">
        <v>257.5</v>
      </c>
    </row>
    <row r="85" customFormat="false" ht="15" hidden="false" customHeight="true" outlineLevel="0" collapsed="false">
      <c r="A85" s="0" t="s">
        <v>268</v>
      </c>
      <c r="B85" s="0" t="s">
        <v>269</v>
      </c>
      <c r="C85" s="0" t="n">
        <v>187.42</v>
      </c>
      <c r="D85" s="0" t="n">
        <v>156.55</v>
      </c>
      <c r="E85" s="0" t="n">
        <v>156.26</v>
      </c>
      <c r="F85" s="0" t="n">
        <v>155.99</v>
      </c>
      <c r="G85" s="0" t="n">
        <v>156.27</v>
      </c>
      <c r="H85" s="0" t="n">
        <v>154.01</v>
      </c>
      <c r="I85" s="0" t="n">
        <v>154.22</v>
      </c>
      <c r="J85" s="0" t="n">
        <v>154.92</v>
      </c>
      <c r="K85" s="0" t="n">
        <v>155.64</v>
      </c>
      <c r="L85" s="0" t="n">
        <v>154.19</v>
      </c>
      <c r="M85" s="0" t="n">
        <v>152.98</v>
      </c>
      <c r="N85" s="0" t="n">
        <v>154.75</v>
      </c>
      <c r="O85" s="0" t="n">
        <v>154.58</v>
      </c>
      <c r="P85" s="0" t="n">
        <v>154.21</v>
      </c>
      <c r="Q85" s="0" t="n">
        <v>154.11</v>
      </c>
      <c r="R85" s="0" t="n">
        <v>154.31</v>
      </c>
      <c r="S85" s="0" t="n">
        <v>154.9</v>
      </c>
      <c r="T85" s="0" t="n">
        <v>164.36</v>
      </c>
      <c r="U85" s="0" t="n">
        <v>133.88</v>
      </c>
      <c r="V85" s="0" t="n">
        <v>164.09</v>
      </c>
      <c r="W85" s="0" t="n">
        <v>163.74</v>
      </c>
      <c r="X85" s="0" t="n">
        <v>162.75</v>
      </c>
      <c r="Y85" s="0" t="n">
        <v>163.19</v>
      </c>
      <c r="Z85" s="0" t="n">
        <v>163.83</v>
      </c>
      <c r="AA85" s="0" t="n">
        <v>162.14</v>
      </c>
      <c r="AB85" s="0" t="n">
        <v>162.98</v>
      </c>
      <c r="AC85" s="0" t="n">
        <v>33.59</v>
      </c>
      <c r="AD85" s="0" t="n">
        <v>33.21</v>
      </c>
      <c r="AE85" s="0" t="n">
        <v>32.72</v>
      </c>
      <c r="AF85" s="0" t="n">
        <v>32.82</v>
      </c>
      <c r="AG85" s="0" t="n">
        <v>241.95</v>
      </c>
      <c r="AH85" s="0" t="n">
        <v>153.36</v>
      </c>
      <c r="AI85" s="0" t="n">
        <v>165.28</v>
      </c>
      <c r="AJ85" s="0" t="n">
        <v>162.95</v>
      </c>
      <c r="AK85" s="0" t="n">
        <v>27.78</v>
      </c>
      <c r="AL85" s="0" t="n">
        <v>33.7</v>
      </c>
      <c r="AM85" s="0" t="n">
        <v>189.1</v>
      </c>
      <c r="AN85" s="0" t="n">
        <v>289.6</v>
      </c>
    </row>
    <row r="86" customFormat="false" ht="15" hidden="false" customHeight="true" outlineLevel="0" collapsed="false">
      <c r="A86" s="0" t="s">
        <v>270</v>
      </c>
      <c r="B86" s="0" t="s">
        <v>271</v>
      </c>
      <c r="C86" s="0" t="n">
        <v>112</v>
      </c>
      <c r="D86" s="0" t="n">
        <v>81.13</v>
      </c>
      <c r="E86" s="0" t="n">
        <v>80.84</v>
      </c>
      <c r="F86" s="0" t="n">
        <v>80.57</v>
      </c>
      <c r="G86" s="0" t="n">
        <v>80.86</v>
      </c>
      <c r="H86" s="0" t="n">
        <v>78.6</v>
      </c>
      <c r="I86" s="0" t="n">
        <v>78.8</v>
      </c>
      <c r="J86" s="0" t="n">
        <v>79.51</v>
      </c>
      <c r="K86" s="0" t="n">
        <v>80.23</v>
      </c>
      <c r="L86" s="0" t="n">
        <v>78.78</v>
      </c>
      <c r="M86" s="0" t="n">
        <v>77.57</v>
      </c>
      <c r="N86" s="0" t="n">
        <v>79.33</v>
      </c>
      <c r="O86" s="0" t="n">
        <v>79.17</v>
      </c>
      <c r="P86" s="0" t="n">
        <v>78.8</v>
      </c>
      <c r="Q86" s="0" t="n">
        <v>78.7</v>
      </c>
      <c r="R86" s="0" t="n">
        <v>78.89</v>
      </c>
      <c r="S86" s="0" t="n">
        <v>79.48</v>
      </c>
      <c r="T86" s="0" t="n">
        <v>88.94</v>
      </c>
      <c r="U86" s="0" t="n">
        <v>89.2</v>
      </c>
      <c r="V86" s="0" t="n">
        <v>115.04</v>
      </c>
      <c r="W86" s="0" t="n">
        <v>113.3</v>
      </c>
      <c r="X86" s="0" t="n">
        <v>111.94</v>
      </c>
      <c r="Y86" s="0" t="n">
        <v>111.96</v>
      </c>
      <c r="Z86" s="0" t="n">
        <v>112.25</v>
      </c>
      <c r="AA86" s="0" t="n">
        <v>111.73</v>
      </c>
      <c r="AB86" s="0" t="n">
        <v>110.5</v>
      </c>
      <c r="AC86" s="0" t="n">
        <v>45.03</v>
      </c>
      <c r="AD86" s="0" t="n">
        <v>45.47</v>
      </c>
      <c r="AE86" s="0" t="n">
        <v>46.28</v>
      </c>
      <c r="AF86" s="0" t="n">
        <v>46.38</v>
      </c>
      <c r="AG86" s="0" t="n">
        <v>166.54</v>
      </c>
      <c r="AH86" s="0" t="n">
        <v>77.95</v>
      </c>
      <c r="AI86" s="0" t="n">
        <v>89.87</v>
      </c>
      <c r="AJ86" s="0" t="n">
        <v>112.79</v>
      </c>
      <c r="AK86" s="0" t="n">
        <v>50.85</v>
      </c>
      <c r="AL86" s="0" t="n">
        <v>46.3</v>
      </c>
      <c r="AM86" s="0" t="n">
        <v>113.6</v>
      </c>
      <c r="AN86" s="0" t="n">
        <v>214.1</v>
      </c>
    </row>
    <row r="87" customFormat="false" ht="15" hidden="false" customHeight="true" outlineLevel="0" collapsed="false">
      <c r="A87" s="0" t="s">
        <v>272</v>
      </c>
      <c r="B87" s="0" t="s">
        <v>273</v>
      </c>
      <c r="C87" s="0" t="n">
        <v>120.46</v>
      </c>
      <c r="D87" s="0" t="n">
        <v>89.59</v>
      </c>
      <c r="E87" s="0" t="n">
        <v>89.3</v>
      </c>
      <c r="F87" s="0" t="n">
        <v>89.03</v>
      </c>
      <c r="G87" s="0" t="n">
        <v>89.32</v>
      </c>
      <c r="H87" s="0" t="n">
        <v>87.06</v>
      </c>
      <c r="I87" s="0" t="n">
        <v>87.26</v>
      </c>
      <c r="J87" s="0" t="n">
        <v>87.97</v>
      </c>
      <c r="K87" s="0" t="n">
        <v>88.68</v>
      </c>
      <c r="L87" s="0" t="n">
        <v>87.24</v>
      </c>
      <c r="M87" s="0" t="n">
        <v>86.03</v>
      </c>
      <c r="N87" s="0" t="n">
        <v>87.79</v>
      </c>
      <c r="O87" s="0" t="n">
        <v>87.63</v>
      </c>
      <c r="P87" s="0" t="n">
        <v>87.26</v>
      </c>
      <c r="Q87" s="0" t="n">
        <v>87.15</v>
      </c>
      <c r="R87" s="0" t="n">
        <v>87.35</v>
      </c>
      <c r="S87" s="0" t="n">
        <v>87.94</v>
      </c>
      <c r="T87" s="0" t="n">
        <v>97.4</v>
      </c>
      <c r="U87" s="0" t="n">
        <v>97.66</v>
      </c>
      <c r="V87" s="0" t="n">
        <v>123.5</v>
      </c>
      <c r="W87" s="0" t="n">
        <v>121.76</v>
      </c>
      <c r="X87" s="0" t="n">
        <v>120.4</v>
      </c>
      <c r="Y87" s="0" t="n">
        <v>120.42</v>
      </c>
      <c r="Z87" s="0" t="n">
        <v>120.71</v>
      </c>
      <c r="AA87" s="0" t="n">
        <v>120.19</v>
      </c>
      <c r="AB87" s="0" t="n">
        <v>118.96</v>
      </c>
      <c r="AC87" s="0" t="n">
        <v>39.55</v>
      </c>
      <c r="AD87" s="0" t="n">
        <v>39.99</v>
      </c>
      <c r="AE87" s="0" t="n">
        <v>40.81</v>
      </c>
      <c r="AF87" s="0" t="n">
        <v>40.9</v>
      </c>
      <c r="AG87" s="0" t="n">
        <v>175</v>
      </c>
      <c r="AH87" s="0" t="n">
        <v>86.41</v>
      </c>
      <c r="AI87" s="0" t="n">
        <v>98.33</v>
      </c>
      <c r="AJ87" s="0" t="n">
        <v>121.25</v>
      </c>
      <c r="AK87" s="0" t="n">
        <v>45.37</v>
      </c>
      <c r="AL87" s="0" t="n">
        <v>40.9</v>
      </c>
      <c r="AM87" s="0" t="n">
        <v>122.1</v>
      </c>
      <c r="AN87" s="0" t="n">
        <v>222.6</v>
      </c>
    </row>
    <row r="88" customFormat="false" ht="15" hidden="false" customHeight="true" outlineLevel="0" collapsed="false">
      <c r="A88" s="0" t="s">
        <v>274</v>
      </c>
      <c r="B88" s="0" t="s">
        <v>275</v>
      </c>
      <c r="C88" s="0" t="n">
        <v>156.77</v>
      </c>
      <c r="D88" s="0" t="n">
        <v>125.9</v>
      </c>
      <c r="E88" s="0" t="n">
        <v>125.61</v>
      </c>
      <c r="F88" s="0" t="n">
        <v>125.34</v>
      </c>
      <c r="G88" s="0" t="n">
        <v>125.62</v>
      </c>
      <c r="H88" s="0" t="n">
        <v>123.36</v>
      </c>
      <c r="I88" s="0" t="n">
        <v>123.57</v>
      </c>
      <c r="J88" s="0" t="n">
        <v>124.27</v>
      </c>
      <c r="K88" s="0" t="n">
        <v>124.99</v>
      </c>
      <c r="L88" s="0" t="n">
        <v>123.55</v>
      </c>
      <c r="M88" s="0" t="n">
        <v>122.33</v>
      </c>
      <c r="N88" s="0" t="n">
        <v>124.1</v>
      </c>
      <c r="O88" s="0" t="n">
        <v>123.93</v>
      </c>
      <c r="P88" s="0" t="n">
        <v>123.56</v>
      </c>
      <c r="Q88" s="0" t="n">
        <v>123.46</v>
      </c>
      <c r="R88" s="0" t="n">
        <v>123.66</v>
      </c>
      <c r="S88" s="0" t="n">
        <v>124.25</v>
      </c>
      <c r="T88" s="0" t="n">
        <v>133.71</v>
      </c>
      <c r="U88" s="0" t="n">
        <v>133.97</v>
      </c>
      <c r="V88" s="0" t="n">
        <v>159.81</v>
      </c>
      <c r="W88" s="0" t="n">
        <v>158.07</v>
      </c>
      <c r="X88" s="0" t="n">
        <v>156.71</v>
      </c>
      <c r="Y88" s="0" t="n">
        <v>156.72</v>
      </c>
      <c r="Z88" s="0" t="n">
        <v>157.01</v>
      </c>
      <c r="AA88" s="0" t="n">
        <v>156.5</v>
      </c>
      <c r="AB88" s="0" t="n">
        <v>155.27</v>
      </c>
      <c r="AC88" s="0" t="n">
        <v>53.69</v>
      </c>
      <c r="AD88" s="0" t="n">
        <v>54.13</v>
      </c>
      <c r="AE88" s="0" t="n">
        <v>54.94</v>
      </c>
      <c r="AF88" s="0" t="n">
        <v>55.04</v>
      </c>
      <c r="AG88" s="0" t="n">
        <v>211.3</v>
      </c>
      <c r="AH88" s="0" t="n">
        <v>122.72</v>
      </c>
      <c r="AI88" s="0" t="n">
        <v>134.63</v>
      </c>
      <c r="AJ88" s="0" t="n">
        <v>157.55</v>
      </c>
      <c r="AK88" s="0" t="n">
        <v>59.51</v>
      </c>
      <c r="AL88" s="0" t="n">
        <v>55</v>
      </c>
      <c r="AM88" s="0" t="n">
        <v>158.4</v>
      </c>
      <c r="AN88" s="0" t="n">
        <v>258.9</v>
      </c>
    </row>
    <row r="89" customFormat="false" ht="15" hidden="false" customHeight="true" outlineLevel="0" collapsed="false">
      <c r="A89" s="0" t="s">
        <v>276</v>
      </c>
      <c r="B89" s="0" t="s">
        <v>277</v>
      </c>
      <c r="C89" s="0" t="n">
        <v>180.26</v>
      </c>
      <c r="D89" s="0" t="n">
        <v>149.39</v>
      </c>
      <c r="E89" s="0" t="n">
        <v>149.1</v>
      </c>
      <c r="F89" s="0" t="n">
        <v>148.83</v>
      </c>
      <c r="G89" s="0" t="n">
        <v>149.12</v>
      </c>
      <c r="H89" s="0" t="n">
        <v>146.86</v>
      </c>
      <c r="I89" s="0" t="n">
        <v>147.06</v>
      </c>
      <c r="J89" s="0" t="n">
        <v>147.77</v>
      </c>
      <c r="K89" s="0" t="n">
        <v>148.49</v>
      </c>
      <c r="L89" s="0" t="n">
        <v>147.04</v>
      </c>
      <c r="M89" s="0" t="n">
        <v>145.83</v>
      </c>
      <c r="N89" s="0" t="n">
        <v>147.59</v>
      </c>
      <c r="O89" s="0" t="n">
        <v>147.43</v>
      </c>
      <c r="P89" s="0" t="n">
        <v>147.06</v>
      </c>
      <c r="Q89" s="0" t="n">
        <v>146.96</v>
      </c>
      <c r="R89" s="0" t="n">
        <v>147.15</v>
      </c>
      <c r="S89" s="0" t="n">
        <v>147.74</v>
      </c>
      <c r="T89" s="0" t="n">
        <v>157.2</v>
      </c>
      <c r="U89" s="0" t="n">
        <v>157.46</v>
      </c>
      <c r="V89" s="0" t="n">
        <v>183.3</v>
      </c>
      <c r="W89" s="0" t="n">
        <v>181.56</v>
      </c>
      <c r="X89" s="0" t="n">
        <v>180.2</v>
      </c>
      <c r="Y89" s="0" t="n">
        <v>180.22</v>
      </c>
      <c r="Z89" s="0" t="n">
        <v>180.51</v>
      </c>
      <c r="AA89" s="0" t="n">
        <v>179.99</v>
      </c>
      <c r="AB89" s="0" t="n">
        <v>178.77</v>
      </c>
      <c r="AC89" s="0" t="n">
        <v>77.19</v>
      </c>
      <c r="AD89" s="0" t="n">
        <v>77.62</v>
      </c>
      <c r="AE89" s="0" t="n">
        <v>78.44</v>
      </c>
      <c r="AF89" s="0" t="n">
        <v>78.53</v>
      </c>
      <c r="AG89" s="0" t="n">
        <v>226.39</v>
      </c>
      <c r="AH89" s="0" t="n">
        <v>146.21</v>
      </c>
      <c r="AI89" s="0" t="n">
        <v>158.13</v>
      </c>
      <c r="AJ89" s="0" t="n">
        <v>181.05</v>
      </c>
      <c r="AK89" s="0" t="n">
        <v>83</v>
      </c>
      <c r="AL89" s="0" t="n">
        <v>78.5</v>
      </c>
      <c r="AM89" s="0" t="n">
        <v>181.9</v>
      </c>
      <c r="AN89" s="0" t="n">
        <v>282.4</v>
      </c>
    </row>
    <row r="90" customFormat="false" ht="15" hidden="false" customHeight="true" outlineLevel="0" collapsed="false">
      <c r="A90" s="0" t="s">
        <v>278</v>
      </c>
      <c r="B90" s="0" t="s">
        <v>279</v>
      </c>
      <c r="C90" s="0" t="n">
        <v>171.12</v>
      </c>
      <c r="D90" s="0" t="n">
        <v>140.25</v>
      </c>
      <c r="E90" s="0" t="n">
        <v>139.96</v>
      </c>
      <c r="F90" s="0" t="n">
        <v>139.69</v>
      </c>
      <c r="G90" s="0" t="n">
        <v>139.97</v>
      </c>
      <c r="H90" s="0" t="n">
        <v>137.71</v>
      </c>
      <c r="I90" s="0" t="n">
        <v>137.91</v>
      </c>
      <c r="J90" s="0" t="n">
        <v>138.62</v>
      </c>
      <c r="K90" s="0" t="n">
        <v>139.34</v>
      </c>
      <c r="L90" s="0" t="n">
        <v>137.89</v>
      </c>
      <c r="M90" s="0" t="n">
        <v>136.68</v>
      </c>
      <c r="N90" s="0" t="n">
        <v>138.45</v>
      </c>
      <c r="O90" s="0" t="n">
        <v>138.28</v>
      </c>
      <c r="P90" s="0" t="n">
        <v>137.91</v>
      </c>
      <c r="Q90" s="0" t="n">
        <v>137.81</v>
      </c>
      <c r="R90" s="0" t="n">
        <v>138</v>
      </c>
      <c r="S90" s="0" t="n">
        <v>138.6</v>
      </c>
      <c r="T90" s="0" t="n">
        <v>148.06</v>
      </c>
      <c r="U90" s="0" t="n">
        <v>148.31</v>
      </c>
      <c r="V90" s="0" t="n">
        <v>174.15</v>
      </c>
      <c r="W90" s="0" t="n">
        <v>172.42</v>
      </c>
      <c r="X90" s="0" t="n">
        <v>171.05</v>
      </c>
      <c r="Y90" s="0" t="n">
        <v>171.07</v>
      </c>
      <c r="Z90" s="0" t="n">
        <v>171.36</v>
      </c>
      <c r="AA90" s="0" t="n">
        <v>170.84</v>
      </c>
      <c r="AB90" s="0" t="n">
        <v>169.62</v>
      </c>
      <c r="AC90" s="0" t="n">
        <v>68.04</v>
      </c>
      <c r="AD90" s="0" t="n">
        <v>68.47</v>
      </c>
      <c r="AE90" s="0" t="n">
        <v>69.29</v>
      </c>
      <c r="AF90" s="0" t="n">
        <v>69.39</v>
      </c>
      <c r="AG90" s="0" t="n">
        <v>225.65</v>
      </c>
      <c r="AH90" s="0" t="n">
        <v>137.06</v>
      </c>
      <c r="AI90" s="0" t="n">
        <v>148.98</v>
      </c>
      <c r="AJ90" s="0" t="n">
        <v>171.9</v>
      </c>
      <c r="AK90" s="0" t="n">
        <v>73.85</v>
      </c>
      <c r="AL90" s="0" t="n">
        <v>69.3</v>
      </c>
      <c r="AM90" s="0" t="n">
        <v>172.8</v>
      </c>
      <c r="AN90" s="0" t="n">
        <v>273.2</v>
      </c>
    </row>
    <row r="91" customFormat="false" ht="15" hidden="false" customHeight="true" outlineLevel="0" collapsed="false">
      <c r="A91" s="0" t="s">
        <v>280</v>
      </c>
      <c r="B91" s="0" t="s">
        <v>281</v>
      </c>
      <c r="C91" s="0" t="n">
        <v>167.06</v>
      </c>
      <c r="D91" s="0" t="n">
        <v>136.19</v>
      </c>
      <c r="E91" s="0" t="n">
        <v>135.9</v>
      </c>
      <c r="F91" s="0" t="n">
        <v>135.63</v>
      </c>
      <c r="G91" s="0" t="n">
        <v>135.92</v>
      </c>
      <c r="H91" s="0" t="n">
        <v>133.66</v>
      </c>
      <c r="I91" s="0" t="n">
        <v>133.86</v>
      </c>
      <c r="J91" s="0" t="n">
        <v>134.57</v>
      </c>
      <c r="K91" s="0" t="n">
        <v>135.29</v>
      </c>
      <c r="L91" s="0" t="n">
        <v>133.84</v>
      </c>
      <c r="M91" s="0" t="n">
        <v>132.63</v>
      </c>
      <c r="N91" s="0" t="n">
        <v>134.39</v>
      </c>
      <c r="O91" s="0" t="n">
        <v>134.23</v>
      </c>
      <c r="P91" s="0" t="n">
        <v>133.86</v>
      </c>
      <c r="Q91" s="0" t="n">
        <v>133.76</v>
      </c>
      <c r="R91" s="0" t="n">
        <v>133.95</v>
      </c>
      <c r="S91" s="0" t="n">
        <v>134.54</v>
      </c>
      <c r="T91" s="0" t="n">
        <v>144</v>
      </c>
      <c r="U91" s="0" t="n">
        <v>144.26</v>
      </c>
      <c r="V91" s="0" t="n">
        <v>170.1</v>
      </c>
      <c r="W91" s="0" t="n">
        <v>168.36</v>
      </c>
      <c r="X91" s="0" t="n">
        <v>167</v>
      </c>
      <c r="Y91" s="0" t="n">
        <v>167.02</v>
      </c>
      <c r="Z91" s="0" t="n">
        <v>167.31</v>
      </c>
      <c r="AA91" s="0" t="n">
        <v>166.79</v>
      </c>
      <c r="AB91" s="0" t="n">
        <v>165.56</v>
      </c>
      <c r="AC91" s="0" t="n">
        <v>63.99</v>
      </c>
      <c r="AD91" s="0" t="n">
        <v>64.42</v>
      </c>
      <c r="AE91" s="0" t="n">
        <v>65.24</v>
      </c>
      <c r="AF91" s="0" t="n">
        <v>65.33</v>
      </c>
      <c r="AG91" s="0" t="n">
        <v>221.6</v>
      </c>
      <c r="AH91" s="0" t="n">
        <v>133.01</v>
      </c>
      <c r="AI91" s="0" t="n">
        <v>144.93</v>
      </c>
      <c r="AJ91" s="0" t="n">
        <v>167.85</v>
      </c>
      <c r="AK91" s="0" t="n">
        <v>69.8</v>
      </c>
      <c r="AL91" s="0" t="n">
        <v>65.3</v>
      </c>
      <c r="AM91" s="0" t="n">
        <v>168.7</v>
      </c>
      <c r="AN91" s="0" t="n">
        <v>269.2</v>
      </c>
    </row>
    <row r="92" customFormat="false" ht="15" hidden="false" customHeight="true" outlineLevel="0" collapsed="false">
      <c r="A92" s="0" t="s">
        <v>282</v>
      </c>
      <c r="B92" s="0" t="s">
        <v>283</v>
      </c>
      <c r="C92" s="0" t="n">
        <v>172.81</v>
      </c>
      <c r="D92" s="0" t="n">
        <v>141.94</v>
      </c>
      <c r="E92" s="0" t="n">
        <v>141.65</v>
      </c>
      <c r="F92" s="0" t="n">
        <v>141.38</v>
      </c>
      <c r="G92" s="0" t="n">
        <v>141.67</v>
      </c>
      <c r="H92" s="0" t="n">
        <v>139.4</v>
      </c>
      <c r="I92" s="0" t="n">
        <v>139.61</v>
      </c>
      <c r="J92" s="0" t="n">
        <v>140.32</v>
      </c>
      <c r="K92" s="0" t="n">
        <v>141.03</v>
      </c>
      <c r="L92" s="0" t="n">
        <v>139.59</v>
      </c>
      <c r="M92" s="0" t="n">
        <v>138.37</v>
      </c>
      <c r="N92" s="0" t="n">
        <v>140.14</v>
      </c>
      <c r="O92" s="0" t="n">
        <v>139.97</v>
      </c>
      <c r="P92" s="0" t="n">
        <v>139.61</v>
      </c>
      <c r="Q92" s="0" t="n">
        <v>139.5</v>
      </c>
      <c r="R92" s="0" t="n">
        <v>139.7</v>
      </c>
      <c r="S92" s="0" t="n">
        <v>140.29</v>
      </c>
      <c r="T92" s="0" t="n">
        <v>149.75</v>
      </c>
      <c r="U92" s="0" t="n">
        <v>150.01</v>
      </c>
      <c r="V92" s="0" t="n">
        <v>175.85</v>
      </c>
      <c r="W92" s="0" t="n">
        <v>174.11</v>
      </c>
      <c r="X92" s="0" t="n">
        <v>172.75</v>
      </c>
      <c r="Y92" s="0" t="n">
        <v>172.76</v>
      </c>
      <c r="Z92" s="0" t="n">
        <v>173.05</v>
      </c>
      <c r="AA92" s="0" t="n">
        <v>172.54</v>
      </c>
      <c r="AB92" s="0" t="n">
        <v>171.31</v>
      </c>
      <c r="AC92" s="0" t="n">
        <v>60.39</v>
      </c>
      <c r="AD92" s="0" t="n">
        <v>60.83</v>
      </c>
      <c r="AE92" s="0" t="n">
        <v>61.64</v>
      </c>
      <c r="AF92" s="0" t="n">
        <v>61.74</v>
      </c>
      <c r="AG92" s="0" t="n">
        <v>227.35</v>
      </c>
      <c r="AH92" s="0" t="n">
        <v>138.76</v>
      </c>
      <c r="AI92" s="0" t="n">
        <v>150.67</v>
      </c>
      <c r="AJ92" s="0" t="n">
        <v>173.59</v>
      </c>
      <c r="AK92" s="0" t="n">
        <v>66.21</v>
      </c>
      <c r="AL92" s="0" t="n">
        <v>61.7</v>
      </c>
      <c r="AM92" s="0" t="n">
        <v>174.5</v>
      </c>
      <c r="AN92" s="0" t="n">
        <v>274.9</v>
      </c>
    </row>
    <row r="93" customFormat="false" ht="15" hidden="false" customHeight="true" outlineLevel="0" collapsed="false">
      <c r="A93" s="0" t="s">
        <v>284</v>
      </c>
      <c r="B93" s="0" t="s">
        <v>285</v>
      </c>
      <c r="C93" s="0" t="n">
        <v>159.88</v>
      </c>
      <c r="D93" s="0" t="n">
        <v>137.38</v>
      </c>
      <c r="E93" s="0" t="n">
        <v>137.09</v>
      </c>
      <c r="F93" s="0" t="n">
        <v>136.82</v>
      </c>
      <c r="G93" s="0" t="n">
        <v>137.11</v>
      </c>
      <c r="H93" s="0" t="n">
        <v>134.85</v>
      </c>
      <c r="I93" s="0" t="n">
        <v>135.05</v>
      </c>
      <c r="J93" s="0" t="n">
        <v>135.76</v>
      </c>
      <c r="K93" s="0" t="n">
        <v>136.47</v>
      </c>
      <c r="L93" s="0" t="n">
        <v>135.03</v>
      </c>
      <c r="M93" s="0" t="n">
        <v>133.82</v>
      </c>
      <c r="N93" s="0" t="n">
        <v>135.58</v>
      </c>
      <c r="O93" s="0" t="n">
        <v>135.42</v>
      </c>
      <c r="P93" s="0" t="n">
        <v>135.05</v>
      </c>
      <c r="Q93" s="0" t="n">
        <v>134.95</v>
      </c>
      <c r="R93" s="0" t="n">
        <v>135.14</v>
      </c>
      <c r="S93" s="0" t="n">
        <v>135.73</v>
      </c>
      <c r="T93" s="0" t="n">
        <v>131.65</v>
      </c>
      <c r="U93" s="0" t="n">
        <v>105.06</v>
      </c>
      <c r="V93" s="0" t="n">
        <v>135.39</v>
      </c>
      <c r="W93" s="0" t="n">
        <v>133.65</v>
      </c>
      <c r="X93" s="0" t="n">
        <v>132.29</v>
      </c>
      <c r="Y93" s="0" t="n">
        <v>132.3</v>
      </c>
      <c r="Z93" s="0" t="n">
        <v>132.59</v>
      </c>
      <c r="AA93" s="0" t="n">
        <v>132.08</v>
      </c>
      <c r="AB93" s="0" t="n">
        <v>130.85</v>
      </c>
      <c r="AC93" s="0" t="n">
        <v>26.55</v>
      </c>
      <c r="AD93" s="0" t="n">
        <v>26.17</v>
      </c>
      <c r="AE93" s="0" t="n">
        <v>26.19</v>
      </c>
      <c r="AF93" s="0" t="n">
        <v>26.88</v>
      </c>
      <c r="AG93" s="0" t="n">
        <v>222.79</v>
      </c>
      <c r="AH93" s="0" t="n">
        <v>134.2</v>
      </c>
      <c r="AI93" s="0" t="n">
        <v>133.53</v>
      </c>
      <c r="AJ93" s="0" t="n">
        <v>133.13</v>
      </c>
      <c r="AK93" s="0" t="n">
        <v>30.58</v>
      </c>
      <c r="AL93" s="0" t="n">
        <v>26.7</v>
      </c>
      <c r="AM93" s="0" t="n">
        <v>160.8</v>
      </c>
      <c r="AN93" s="0" t="n">
        <v>266.2</v>
      </c>
    </row>
    <row r="94" customFormat="false" ht="15" hidden="false" customHeight="true" outlineLevel="0" collapsed="false">
      <c r="A94" s="0" t="s">
        <v>286</v>
      </c>
      <c r="B94" s="0" t="s">
        <v>287</v>
      </c>
      <c r="C94" s="0" t="n">
        <v>135.73</v>
      </c>
      <c r="D94" s="0" t="n">
        <v>113.23</v>
      </c>
      <c r="E94" s="0" t="n">
        <v>112.95</v>
      </c>
      <c r="F94" s="0" t="n">
        <v>112.67</v>
      </c>
      <c r="G94" s="0" t="n">
        <v>112.96</v>
      </c>
      <c r="H94" s="0" t="n">
        <v>110.7</v>
      </c>
      <c r="I94" s="0" t="n">
        <v>110.9</v>
      </c>
      <c r="J94" s="0" t="n">
        <v>111.61</v>
      </c>
      <c r="K94" s="0" t="n">
        <v>112.33</v>
      </c>
      <c r="L94" s="0" t="n">
        <v>110.88</v>
      </c>
      <c r="M94" s="0" t="n">
        <v>109.67</v>
      </c>
      <c r="N94" s="0" t="n">
        <v>111.44</v>
      </c>
      <c r="O94" s="0" t="n">
        <v>111.27</v>
      </c>
      <c r="P94" s="0" t="n">
        <v>110.9</v>
      </c>
      <c r="Q94" s="0" t="n">
        <v>110.8</v>
      </c>
      <c r="R94" s="0" t="n">
        <v>110.99</v>
      </c>
      <c r="S94" s="0" t="n">
        <v>111.58</v>
      </c>
      <c r="T94" s="0" t="n">
        <v>107.5</v>
      </c>
      <c r="U94" s="0" t="n">
        <v>80.91</v>
      </c>
      <c r="V94" s="0" t="n">
        <v>111.24</v>
      </c>
      <c r="W94" s="0" t="n">
        <v>109.5</v>
      </c>
      <c r="X94" s="0" t="n">
        <v>108.14</v>
      </c>
      <c r="Y94" s="0" t="n">
        <v>108.15</v>
      </c>
      <c r="Z94" s="0" t="n">
        <v>108.44</v>
      </c>
      <c r="AA94" s="0" t="n">
        <v>107.93</v>
      </c>
      <c r="AB94" s="0" t="n">
        <v>106.7</v>
      </c>
      <c r="AC94" s="0" t="n">
        <v>43.13</v>
      </c>
      <c r="AD94" s="0" t="n">
        <v>42.76</v>
      </c>
      <c r="AE94" s="0" t="n">
        <v>42.78</v>
      </c>
      <c r="AF94" s="0" t="n">
        <v>43.47</v>
      </c>
      <c r="AG94" s="0" t="n">
        <v>198.64</v>
      </c>
      <c r="AH94" s="0" t="n">
        <v>110.05</v>
      </c>
      <c r="AI94" s="0" t="n">
        <v>109.38</v>
      </c>
      <c r="AJ94" s="0" t="n">
        <v>108.98</v>
      </c>
      <c r="AK94" s="0" t="n">
        <v>47.17</v>
      </c>
      <c r="AL94" s="0" t="n">
        <v>43.3</v>
      </c>
      <c r="AM94" s="0" t="n">
        <v>136.6</v>
      </c>
      <c r="AN94" s="0" t="n">
        <v>242</v>
      </c>
    </row>
    <row r="95" customFormat="false" ht="15" hidden="false" customHeight="true" outlineLevel="0" collapsed="false">
      <c r="A95" s="0" t="s">
        <v>288</v>
      </c>
      <c r="B95" s="0" t="s">
        <v>289</v>
      </c>
      <c r="C95" s="0" t="n">
        <v>169.82</v>
      </c>
      <c r="D95" s="0" t="n">
        <v>138.95</v>
      </c>
      <c r="E95" s="0" t="n">
        <v>138.66</v>
      </c>
      <c r="F95" s="0" t="n">
        <v>138.39</v>
      </c>
      <c r="G95" s="0" t="n">
        <v>138.68</v>
      </c>
      <c r="H95" s="0" t="n">
        <v>136.41</v>
      </c>
      <c r="I95" s="0" t="n">
        <v>136.62</v>
      </c>
      <c r="J95" s="0" t="n">
        <v>137.33</v>
      </c>
      <c r="K95" s="0" t="n">
        <v>138.04</v>
      </c>
      <c r="L95" s="0" t="n">
        <v>136.6</v>
      </c>
      <c r="M95" s="0" t="n">
        <v>135.39</v>
      </c>
      <c r="N95" s="0" t="n">
        <v>137.15</v>
      </c>
      <c r="O95" s="0" t="n">
        <v>136.98</v>
      </c>
      <c r="P95" s="0" t="n">
        <v>136.62</v>
      </c>
      <c r="Q95" s="0" t="n">
        <v>136.51</v>
      </c>
      <c r="R95" s="0" t="n">
        <v>136.71</v>
      </c>
      <c r="S95" s="0" t="n">
        <v>137.3</v>
      </c>
      <c r="T95" s="0" t="n">
        <v>146.76</v>
      </c>
      <c r="U95" s="0" t="n">
        <v>126.77</v>
      </c>
      <c r="V95" s="0" t="n">
        <v>157.09</v>
      </c>
      <c r="W95" s="0" t="n">
        <v>155.36</v>
      </c>
      <c r="X95" s="0" t="n">
        <v>153.99</v>
      </c>
      <c r="Y95" s="0" t="n">
        <v>154.01</v>
      </c>
      <c r="Z95" s="0" t="n">
        <v>154.3</v>
      </c>
      <c r="AA95" s="0" t="n">
        <v>153.78</v>
      </c>
      <c r="AB95" s="0" t="n">
        <v>152.56</v>
      </c>
      <c r="AC95" s="0" t="n">
        <v>16</v>
      </c>
      <c r="AD95" s="0" t="n">
        <v>15.62</v>
      </c>
      <c r="AE95" s="0" t="n">
        <v>15.13</v>
      </c>
      <c r="AF95" s="0" t="n">
        <v>15.23</v>
      </c>
      <c r="AG95" s="0" t="n">
        <v>224.36</v>
      </c>
      <c r="AH95" s="0" t="n">
        <v>135.77</v>
      </c>
      <c r="AI95" s="0" t="n">
        <v>147.68</v>
      </c>
      <c r="AJ95" s="0" t="n">
        <v>154.84</v>
      </c>
      <c r="AK95" s="0" t="n">
        <v>10.18</v>
      </c>
      <c r="AL95" s="0" t="n">
        <v>16.1</v>
      </c>
      <c r="AM95" s="0" t="n">
        <v>171.5</v>
      </c>
      <c r="AN95" s="0" t="n">
        <v>272</v>
      </c>
    </row>
    <row r="96" customFormat="false" ht="15" hidden="false" customHeight="true" outlineLevel="0" collapsed="false">
      <c r="A96" s="0" t="s">
        <v>290</v>
      </c>
      <c r="B96" s="0" t="s">
        <v>291</v>
      </c>
      <c r="C96" s="0" t="n">
        <v>160.03</v>
      </c>
      <c r="D96" s="0" t="n">
        <v>129.16</v>
      </c>
      <c r="E96" s="0" t="n">
        <v>128.87</v>
      </c>
      <c r="F96" s="0" t="n">
        <v>128.6</v>
      </c>
      <c r="G96" s="0" t="n">
        <v>128.88</v>
      </c>
      <c r="H96" s="0" t="n">
        <v>126.62</v>
      </c>
      <c r="I96" s="0" t="n">
        <v>126.82</v>
      </c>
      <c r="J96" s="0" t="n">
        <v>127.53</v>
      </c>
      <c r="K96" s="0" t="n">
        <v>128.25</v>
      </c>
      <c r="L96" s="0" t="n">
        <v>126.8</v>
      </c>
      <c r="M96" s="0" t="n">
        <v>125.59</v>
      </c>
      <c r="N96" s="0" t="n">
        <v>127.36</v>
      </c>
      <c r="O96" s="0" t="n">
        <v>127.19</v>
      </c>
      <c r="P96" s="0" t="n">
        <v>126.82</v>
      </c>
      <c r="Q96" s="0" t="n">
        <v>126.72</v>
      </c>
      <c r="R96" s="0" t="n">
        <v>126.91</v>
      </c>
      <c r="S96" s="0" t="n">
        <v>127.51</v>
      </c>
      <c r="T96" s="0" t="n">
        <v>136.84</v>
      </c>
      <c r="U96" s="0" t="n">
        <v>110.25</v>
      </c>
      <c r="V96" s="0" t="n">
        <v>140.57</v>
      </c>
      <c r="W96" s="0" t="n">
        <v>138.84</v>
      </c>
      <c r="X96" s="0" t="n">
        <v>137.47</v>
      </c>
      <c r="Y96" s="0" t="n">
        <v>137.49</v>
      </c>
      <c r="Z96" s="0" t="n">
        <v>137.78</v>
      </c>
      <c r="AA96" s="0" t="n">
        <v>137.26</v>
      </c>
      <c r="AB96" s="0" t="n">
        <v>136.04</v>
      </c>
      <c r="AC96" s="0" t="n">
        <v>6.2</v>
      </c>
      <c r="AD96" s="0" t="n">
        <v>5.82</v>
      </c>
      <c r="AE96" s="0" t="n">
        <v>5.85</v>
      </c>
      <c r="AF96" s="0" t="n">
        <v>6.54</v>
      </c>
      <c r="AG96" s="0" t="n">
        <v>214.56</v>
      </c>
      <c r="AH96" s="0" t="n">
        <v>125.97</v>
      </c>
      <c r="AI96" s="0" t="n">
        <v>137.89</v>
      </c>
      <c r="AJ96" s="0" t="n">
        <v>138.32</v>
      </c>
      <c r="AK96" s="0" t="n">
        <v>10.24</v>
      </c>
      <c r="AL96" s="0" t="n">
        <v>6.3</v>
      </c>
      <c r="AM96" s="0" t="n">
        <v>161.7</v>
      </c>
      <c r="AN96" s="0" t="n">
        <v>262.2</v>
      </c>
    </row>
    <row r="97" customFormat="false" ht="15" hidden="false" customHeight="true" outlineLevel="0" collapsed="false">
      <c r="A97" s="0" t="s">
        <v>292</v>
      </c>
      <c r="B97" s="0" t="s">
        <v>293</v>
      </c>
      <c r="C97" s="0" t="n">
        <v>183.28</v>
      </c>
      <c r="D97" s="0" t="n">
        <v>152.41</v>
      </c>
      <c r="E97" s="0" t="n">
        <v>152.12</v>
      </c>
      <c r="F97" s="0" t="n">
        <v>151.85</v>
      </c>
      <c r="G97" s="0" t="n">
        <v>152.13</v>
      </c>
      <c r="H97" s="0" t="n">
        <v>149.87</v>
      </c>
      <c r="I97" s="0" t="n">
        <v>150.08</v>
      </c>
      <c r="J97" s="0" t="n">
        <v>150.78</v>
      </c>
      <c r="K97" s="0" t="n">
        <v>151.5</v>
      </c>
      <c r="L97" s="0" t="n">
        <v>150.05</v>
      </c>
      <c r="M97" s="0" t="n">
        <v>148.84</v>
      </c>
      <c r="N97" s="0" t="n">
        <v>150.61</v>
      </c>
      <c r="O97" s="0" t="n">
        <v>150.44</v>
      </c>
      <c r="P97" s="0" t="n">
        <v>150.07</v>
      </c>
      <c r="Q97" s="0" t="n">
        <v>149.97</v>
      </c>
      <c r="R97" s="0" t="n">
        <v>150.17</v>
      </c>
      <c r="S97" s="0" t="n">
        <v>150.76</v>
      </c>
      <c r="T97" s="0" t="n">
        <v>160.22</v>
      </c>
      <c r="U97" s="0" t="n">
        <v>147.06</v>
      </c>
      <c r="V97" s="0" t="n">
        <v>177.39</v>
      </c>
      <c r="W97" s="0" t="n">
        <v>175.65</v>
      </c>
      <c r="X97" s="0" t="n">
        <v>174.29</v>
      </c>
      <c r="Y97" s="0" t="n">
        <v>174.31</v>
      </c>
      <c r="Z97" s="0" t="n">
        <v>174.6</v>
      </c>
      <c r="AA97" s="0" t="n">
        <v>174.08</v>
      </c>
      <c r="AB97" s="0" t="n">
        <v>172.85</v>
      </c>
      <c r="AC97" s="0" t="n">
        <v>35.56</v>
      </c>
      <c r="AD97" s="0" t="n">
        <v>35.92</v>
      </c>
      <c r="AE97" s="0" t="n">
        <v>34.49</v>
      </c>
      <c r="AF97" s="0" t="n">
        <v>34.58</v>
      </c>
      <c r="AG97" s="0" t="n">
        <v>237.81</v>
      </c>
      <c r="AH97" s="0" t="n">
        <v>149.23</v>
      </c>
      <c r="AI97" s="0" t="n">
        <v>161.14</v>
      </c>
      <c r="AJ97" s="0" t="n">
        <v>175.14</v>
      </c>
      <c r="AK97" s="0" t="n">
        <v>38.09</v>
      </c>
      <c r="AL97" s="0" t="n">
        <v>35.8</v>
      </c>
      <c r="AM97" s="0" t="n">
        <v>184.9</v>
      </c>
      <c r="AN97" s="0" t="n">
        <v>285.4</v>
      </c>
    </row>
    <row r="98" customFormat="false" ht="15" hidden="false" customHeight="true" outlineLevel="0" collapsed="false">
      <c r="A98" s="0" t="s">
        <v>294</v>
      </c>
      <c r="B98" s="0" t="s">
        <v>295</v>
      </c>
      <c r="C98" s="0" t="n">
        <v>141.43</v>
      </c>
      <c r="D98" s="0" t="n">
        <v>110.56</v>
      </c>
      <c r="E98" s="0" t="n">
        <v>110.27</v>
      </c>
      <c r="F98" s="0" t="n">
        <v>110</v>
      </c>
      <c r="G98" s="0" t="n">
        <v>110.28</v>
      </c>
      <c r="H98" s="0" t="n">
        <v>108.02</v>
      </c>
      <c r="I98" s="0" t="n">
        <v>108.23</v>
      </c>
      <c r="J98" s="0" t="n">
        <v>108.93</v>
      </c>
      <c r="K98" s="0" t="n">
        <v>109.65</v>
      </c>
      <c r="L98" s="0" t="n">
        <v>108.2</v>
      </c>
      <c r="M98" s="0" t="n">
        <v>106.99</v>
      </c>
      <c r="N98" s="0" t="n">
        <v>108.76</v>
      </c>
      <c r="O98" s="0" t="n">
        <v>108.59</v>
      </c>
      <c r="P98" s="0" t="n">
        <v>108.22</v>
      </c>
      <c r="Q98" s="0" t="n">
        <v>108.12</v>
      </c>
      <c r="R98" s="0" t="n">
        <v>108.32</v>
      </c>
      <c r="S98" s="0" t="n">
        <v>108.91</v>
      </c>
      <c r="T98" s="0" t="n">
        <v>118.37</v>
      </c>
      <c r="U98" s="0" t="n">
        <v>118.63</v>
      </c>
      <c r="V98" s="0" t="n">
        <v>144.47</v>
      </c>
      <c r="W98" s="0" t="n">
        <v>142.73</v>
      </c>
      <c r="X98" s="0" t="n">
        <v>141.36</v>
      </c>
      <c r="Y98" s="0" t="n">
        <v>141.38</v>
      </c>
      <c r="Z98" s="0" t="n">
        <v>141.67</v>
      </c>
      <c r="AA98" s="0" t="n">
        <v>141.15</v>
      </c>
      <c r="AB98" s="0" t="n">
        <v>139.93</v>
      </c>
      <c r="AC98" s="0" t="n">
        <v>21.55</v>
      </c>
      <c r="AD98" s="0" t="n">
        <v>21.98</v>
      </c>
      <c r="AE98" s="0" t="n">
        <v>22.8</v>
      </c>
      <c r="AF98" s="0" t="n">
        <v>22.89</v>
      </c>
      <c r="AG98" s="0" t="n">
        <v>195.96</v>
      </c>
      <c r="AH98" s="0" t="n">
        <v>107.38</v>
      </c>
      <c r="AI98" s="0" t="n">
        <v>119.29</v>
      </c>
      <c r="AJ98" s="0" t="n">
        <v>142.21</v>
      </c>
      <c r="AK98" s="0" t="n">
        <v>27.36</v>
      </c>
      <c r="AL98" s="0" t="n">
        <v>22.8</v>
      </c>
      <c r="AM98" s="0" t="n">
        <v>143.1</v>
      </c>
      <c r="AN98" s="0" t="n">
        <v>243.6</v>
      </c>
    </row>
    <row r="99" customFormat="false" ht="15" hidden="false" customHeight="true" outlineLevel="0" collapsed="false">
      <c r="A99" s="0" t="s">
        <v>296</v>
      </c>
      <c r="B99" s="0" t="s">
        <v>297</v>
      </c>
      <c r="C99" s="0" t="n">
        <v>156.36</v>
      </c>
      <c r="D99" s="0" t="n">
        <v>133.87</v>
      </c>
      <c r="E99" s="0" t="n">
        <v>133.58</v>
      </c>
      <c r="F99" s="0" t="n">
        <v>133.31</v>
      </c>
      <c r="G99" s="0" t="n">
        <v>133.59</v>
      </c>
      <c r="H99" s="0" t="n">
        <v>131.33</v>
      </c>
      <c r="I99" s="0" t="n">
        <v>131.54</v>
      </c>
      <c r="J99" s="0" t="n">
        <v>132.24</v>
      </c>
      <c r="K99" s="0" t="n">
        <v>132.96</v>
      </c>
      <c r="L99" s="0" t="n">
        <v>131.52</v>
      </c>
      <c r="M99" s="0" t="n">
        <v>130.3</v>
      </c>
      <c r="N99" s="0" t="n">
        <v>132.07</v>
      </c>
      <c r="O99" s="0" t="n">
        <v>131.9</v>
      </c>
      <c r="P99" s="0" t="n">
        <v>131.53</v>
      </c>
      <c r="Q99" s="0" t="n">
        <v>131.43</v>
      </c>
      <c r="R99" s="0" t="n">
        <v>131.63</v>
      </c>
      <c r="S99" s="0" t="n">
        <v>132.22</v>
      </c>
      <c r="T99" s="0" t="n">
        <v>128.14</v>
      </c>
      <c r="U99" s="0" t="n">
        <v>101.54</v>
      </c>
      <c r="V99" s="0" t="n">
        <v>131.87</v>
      </c>
      <c r="W99" s="0" t="n">
        <v>130.14</v>
      </c>
      <c r="X99" s="0" t="n">
        <v>128.77</v>
      </c>
      <c r="Y99" s="0" t="n">
        <v>128.79</v>
      </c>
      <c r="Z99" s="0" t="n">
        <v>129.08</v>
      </c>
      <c r="AA99" s="0" t="n">
        <v>128.56</v>
      </c>
      <c r="AB99" s="0" t="n">
        <v>127.34</v>
      </c>
      <c r="AC99" s="0" t="n">
        <v>71.87</v>
      </c>
      <c r="AD99" s="0" t="n">
        <v>71.49</v>
      </c>
      <c r="AE99" s="0" t="n">
        <v>71.51</v>
      </c>
      <c r="AF99" s="0" t="n">
        <v>72.2</v>
      </c>
      <c r="AG99" s="0" t="n">
        <v>219.27</v>
      </c>
      <c r="AH99" s="0" t="n">
        <v>130.69</v>
      </c>
      <c r="AI99" s="0" t="n">
        <v>130.02</v>
      </c>
      <c r="AJ99" s="0" t="n">
        <v>129.62</v>
      </c>
      <c r="AK99" s="0" t="n">
        <v>75.91</v>
      </c>
      <c r="AL99" s="0" t="n">
        <v>72</v>
      </c>
      <c r="AM99" s="0" t="n">
        <v>157.3</v>
      </c>
      <c r="AN99" s="0" t="n">
        <v>262.7</v>
      </c>
    </row>
    <row r="100" customFormat="false" ht="15" hidden="false" customHeight="true" outlineLevel="0" collapsed="false">
      <c r="A100" s="0" t="s">
        <v>298</v>
      </c>
      <c r="B100" s="0" t="s">
        <v>299</v>
      </c>
      <c r="C100" s="0" t="n">
        <v>173.38</v>
      </c>
      <c r="D100" s="0" t="n">
        <v>150.89</v>
      </c>
      <c r="E100" s="0" t="n">
        <v>150.6</v>
      </c>
      <c r="F100" s="0" t="n">
        <v>150.33</v>
      </c>
      <c r="G100" s="0" t="n">
        <v>150.61</v>
      </c>
      <c r="H100" s="0" t="n">
        <v>148.35</v>
      </c>
      <c r="I100" s="0" t="n">
        <v>148.56</v>
      </c>
      <c r="J100" s="0" t="n">
        <v>149.26</v>
      </c>
      <c r="K100" s="0" t="n">
        <v>149.98</v>
      </c>
      <c r="L100" s="0" t="n">
        <v>148.53</v>
      </c>
      <c r="M100" s="0" t="n">
        <v>147.32</v>
      </c>
      <c r="N100" s="0" t="n">
        <v>149.09</v>
      </c>
      <c r="O100" s="0" t="n">
        <v>148.92</v>
      </c>
      <c r="P100" s="0" t="n">
        <v>148.55</v>
      </c>
      <c r="Q100" s="0" t="n">
        <v>148.45</v>
      </c>
      <c r="R100" s="0" t="n">
        <v>148.65</v>
      </c>
      <c r="S100" s="0" t="n">
        <v>149.24</v>
      </c>
      <c r="T100" s="0" t="n">
        <v>145.15</v>
      </c>
      <c r="U100" s="0" t="n">
        <v>105.42</v>
      </c>
      <c r="V100" s="0" t="n">
        <v>135.63</v>
      </c>
      <c r="W100" s="0" t="n">
        <v>135.28</v>
      </c>
      <c r="X100" s="0" t="n">
        <v>134.28</v>
      </c>
      <c r="Y100" s="0" t="n">
        <v>134.73</v>
      </c>
      <c r="Z100" s="0" t="n">
        <v>135.37</v>
      </c>
      <c r="AA100" s="0" t="n">
        <v>133.68</v>
      </c>
      <c r="AB100" s="0" t="n">
        <v>134.52</v>
      </c>
      <c r="AC100" s="0" t="n">
        <v>43.1</v>
      </c>
      <c r="AD100" s="0" t="n">
        <v>42.72</v>
      </c>
      <c r="AE100" s="0" t="n">
        <v>42.75</v>
      </c>
      <c r="AF100" s="0" t="n">
        <v>43.44</v>
      </c>
      <c r="AG100" s="0" t="n">
        <v>236.29</v>
      </c>
      <c r="AH100" s="0" t="n">
        <v>147.71</v>
      </c>
      <c r="AI100" s="0" t="n">
        <v>147.03</v>
      </c>
      <c r="AJ100" s="0" t="n">
        <v>134.48</v>
      </c>
      <c r="AK100" s="0" t="n">
        <v>47.14</v>
      </c>
      <c r="AL100" s="0" t="n">
        <v>43.2</v>
      </c>
      <c r="AM100" s="0" t="n">
        <v>174.3</v>
      </c>
      <c r="AN100" s="0" t="n">
        <v>279.7</v>
      </c>
    </row>
    <row r="101" customFormat="false" ht="15" hidden="false" customHeight="true" outlineLevel="0" collapsed="false">
      <c r="A101" s="0" t="s">
        <v>300</v>
      </c>
      <c r="B101" s="0" t="s">
        <v>301</v>
      </c>
      <c r="C101" s="0" t="n">
        <v>142.21</v>
      </c>
      <c r="D101" s="0" t="n">
        <v>119.72</v>
      </c>
      <c r="E101" s="0" t="n">
        <v>119.43</v>
      </c>
      <c r="F101" s="0" t="n">
        <v>119.16</v>
      </c>
      <c r="G101" s="0" t="n">
        <v>119.44</v>
      </c>
      <c r="H101" s="0" t="n">
        <v>117.18</v>
      </c>
      <c r="I101" s="0" t="n">
        <v>117.39</v>
      </c>
      <c r="J101" s="0" t="n">
        <v>118.09</v>
      </c>
      <c r="K101" s="0" t="n">
        <v>118.81</v>
      </c>
      <c r="L101" s="0" t="n">
        <v>117.37</v>
      </c>
      <c r="M101" s="0" t="n">
        <v>116.15</v>
      </c>
      <c r="N101" s="0" t="n">
        <v>117.92</v>
      </c>
      <c r="O101" s="0" t="n">
        <v>117.75</v>
      </c>
      <c r="P101" s="0" t="n">
        <v>117.38</v>
      </c>
      <c r="Q101" s="0" t="n">
        <v>117.28</v>
      </c>
      <c r="R101" s="0" t="n">
        <v>117.48</v>
      </c>
      <c r="S101" s="0" t="n">
        <v>118.07</v>
      </c>
      <c r="T101" s="0" t="n">
        <v>113.99</v>
      </c>
      <c r="U101" s="0" t="n">
        <v>74.25</v>
      </c>
      <c r="V101" s="0" t="n">
        <v>107.31</v>
      </c>
      <c r="W101" s="0" t="n">
        <v>106.39</v>
      </c>
      <c r="X101" s="0" t="n">
        <v>105.03</v>
      </c>
      <c r="Y101" s="0" t="n">
        <v>105.04</v>
      </c>
      <c r="Z101" s="0" t="n">
        <v>105.33</v>
      </c>
      <c r="AA101" s="0" t="n">
        <v>104.82</v>
      </c>
      <c r="AB101" s="0" t="n">
        <v>103.59</v>
      </c>
      <c r="AC101" s="0" t="n">
        <v>69.87</v>
      </c>
      <c r="AD101" s="0" t="n">
        <v>69.49</v>
      </c>
      <c r="AE101" s="0" t="n">
        <v>69.51</v>
      </c>
      <c r="AF101" s="0" t="n">
        <v>70.2</v>
      </c>
      <c r="AG101" s="0" t="n">
        <v>205.12</v>
      </c>
      <c r="AH101" s="0" t="n">
        <v>116.54</v>
      </c>
      <c r="AI101" s="0" t="n">
        <v>115.86</v>
      </c>
      <c r="AJ101" s="0" t="n">
        <v>105.87</v>
      </c>
      <c r="AK101" s="0" t="n">
        <v>73.91</v>
      </c>
      <c r="AL101" s="0" t="n">
        <v>70</v>
      </c>
      <c r="AM101" s="0" t="n">
        <v>143.1</v>
      </c>
      <c r="AN101" s="0" t="n">
        <v>248.5</v>
      </c>
    </row>
    <row r="102" customFormat="false" ht="15" hidden="false" customHeight="true" outlineLevel="0" collapsed="false">
      <c r="A102" s="0" t="s">
        <v>302</v>
      </c>
      <c r="B102" s="0" t="s">
        <v>303</v>
      </c>
      <c r="C102" s="0" t="n">
        <v>151.34</v>
      </c>
      <c r="D102" s="0" t="n">
        <v>133.82</v>
      </c>
      <c r="E102" s="0" t="n">
        <v>133.53</v>
      </c>
      <c r="F102" s="0" t="n">
        <v>133.26</v>
      </c>
      <c r="G102" s="0" t="n">
        <v>133.54</v>
      </c>
      <c r="H102" s="0" t="n">
        <v>131.28</v>
      </c>
      <c r="I102" s="0" t="n">
        <v>131.49</v>
      </c>
      <c r="J102" s="0" t="n">
        <v>132.19</v>
      </c>
      <c r="K102" s="0" t="n">
        <v>132.91</v>
      </c>
      <c r="L102" s="0" t="n">
        <v>131.47</v>
      </c>
      <c r="M102" s="0" t="n">
        <v>130.25</v>
      </c>
      <c r="N102" s="0" t="n">
        <v>132.02</v>
      </c>
      <c r="O102" s="0" t="n">
        <v>131.85</v>
      </c>
      <c r="P102" s="0" t="n">
        <v>131.49</v>
      </c>
      <c r="Q102" s="0" t="n">
        <v>131.38</v>
      </c>
      <c r="R102" s="0" t="n">
        <v>131.58</v>
      </c>
      <c r="S102" s="0" t="n">
        <v>132.17</v>
      </c>
      <c r="T102" s="0" t="n">
        <v>123.11</v>
      </c>
      <c r="U102" s="0" t="n">
        <v>82.82</v>
      </c>
      <c r="V102" s="0" t="n">
        <v>105.77</v>
      </c>
      <c r="W102" s="0" t="n">
        <v>105.42</v>
      </c>
      <c r="X102" s="0" t="n">
        <v>104.42</v>
      </c>
      <c r="Y102" s="0" t="n">
        <v>104.87</v>
      </c>
      <c r="Z102" s="0" t="n">
        <v>105.51</v>
      </c>
      <c r="AA102" s="0" t="n">
        <v>103.82</v>
      </c>
      <c r="AB102" s="0" t="n">
        <v>104.66</v>
      </c>
      <c r="AC102" s="0" t="n">
        <v>92</v>
      </c>
      <c r="AD102" s="0" t="n">
        <v>91.62</v>
      </c>
      <c r="AE102" s="0" t="n">
        <v>91.65</v>
      </c>
      <c r="AF102" s="0" t="n">
        <v>92.34</v>
      </c>
      <c r="AG102" s="0" t="n">
        <v>219.23</v>
      </c>
      <c r="AH102" s="0" t="n">
        <v>130.64</v>
      </c>
      <c r="AI102" s="0" t="n">
        <v>124.99</v>
      </c>
      <c r="AJ102" s="0" t="n">
        <v>104.62</v>
      </c>
      <c r="AK102" s="0" t="n">
        <v>96.04</v>
      </c>
      <c r="AL102" s="0" t="n">
        <v>92.1</v>
      </c>
      <c r="AM102" s="0" t="n">
        <v>152.2</v>
      </c>
      <c r="AN102" s="0" t="n">
        <v>257.6</v>
      </c>
    </row>
    <row r="103" customFormat="false" ht="15" hidden="false" customHeight="true" outlineLevel="0" collapsed="false">
      <c r="A103" s="0" t="s">
        <v>304</v>
      </c>
      <c r="B103" s="0" t="s">
        <v>305</v>
      </c>
      <c r="C103" s="0" t="n">
        <v>144.12</v>
      </c>
      <c r="D103" s="0" t="n">
        <v>126.6</v>
      </c>
      <c r="E103" s="0" t="n">
        <v>126.31</v>
      </c>
      <c r="F103" s="0" t="n">
        <v>126.04</v>
      </c>
      <c r="G103" s="0" t="n">
        <v>126.33</v>
      </c>
      <c r="H103" s="0" t="n">
        <v>124.06</v>
      </c>
      <c r="I103" s="0" t="n">
        <v>124.27</v>
      </c>
      <c r="J103" s="0" t="n">
        <v>124.98</v>
      </c>
      <c r="K103" s="0" t="n">
        <v>125.69</v>
      </c>
      <c r="L103" s="0" t="n">
        <v>124.25</v>
      </c>
      <c r="M103" s="0" t="n">
        <v>123.03</v>
      </c>
      <c r="N103" s="0" t="n">
        <v>124.8</v>
      </c>
      <c r="O103" s="0" t="n">
        <v>124.63</v>
      </c>
      <c r="P103" s="0" t="n">
        <v>124.27</v>
      </c>
      <c r="Q103" s="0" t="n">
        <v>124.16</v>
      </c>
      <c r="R103" s="0" t="n">
        <v>124.36</v>
      </c>
      <c r="S103" s="0" t="n">
        <v>124.95</v>
      </c>
      <c r="T103" s="0" t="n">
        <v>115.89</v>
      </c>
      <c r="U103" s="0" t="n">
        <v>75.6</v>
      </c>
      <c r="V103" s="0" t="n">
        <v>98.55</v>
      </c>
      <c r="W103" s="0" t="n">
        <v>98.2</v>
      </c>
      <c r="X103" s="0" t="n">
        <v>97.2</v>
      </c>
      <c r="Y103" s="0" t="n">
        <v>97.65</v>
      </c>
      <c r="Z103" s="0" t="n">
        <v>98.29</v>
      </c>
      <c r="AA103" s="0" t="n">
        <v>96.6</v>
      </c>
      <c r="AB103" s="0" t="n">
        <v>97.13</v>
      </c>
      <c r="AC103" s="0" t="n">
        <v>98.27</v>
      </c>
      <c r="AD103" s="0" t="n">
        <v>97.89</v>
      </c>
      <c r="AE103" s="0" t="n">
        <v>97.91</v>
      </c>
      <c r="AF103" s="0" t="n">
        <v>98.6</v>
      </c>
      <c r="AG103" s="0" t="n">
        <v>212.01</v>
      </c>
      <c r="AH103" s="0" t="n">
        <v>123.42</v>
      </c>
      <c r="AI103" s="0" t="n">
        <v>117.77</v>
      </c>
      <c r="AJ103" s="0" t="n">
        <v>97.4</v>
      </c>
      <c r="AK103" s="0" t="n">
        <v>102.31</v>
      </c>
      <c r="AL103" s="0" t="n">
        <v>98.4</v>
      </c>
      <c r="AM103" s="0" t="n">
        <v>145</v>
      </c>
      <c r="AN103" s="0" t="n">
        <v>250.4</v>
      </c>
    </row>
    <row r="104" customFormat="false" ht="15" hidden="false" customHeight="true" outlineLevel="0" collapsed="false">
      <c r="A104" s="0" t="s">
        <v>306</v>
      </c>
      <c r="B104" s="0" t="s">
        <v>307</v>
      </c>
      <c r="C104" s="0" t="n">
        <v>199.75</v>
      </c>
      <c r="D104" s="0" t="n">
        <v>172.3</v>
      </c>
      <c r="E104" s="0" t="n">
        <v>172.01</v>
      </c>
      <c r="F104" s="0" t="n">
        <v>171.74</v>
      </c>
      <c r="G104" s="0" t="n">
        <v>172.03</v>
      </c>
      <c r="H104" s="0" t="n">
        <v>169.77</v>
      </c>
      <c r="I104" s="0" t="n">
        <v>169.97</v>
      </c>
      <c r="J104" s="0" t="n">
        <v>170.68</v>
      </c>
      <c r="K104" s="0" t="n">
        <v>171.39</v>
      </c>
      <c r="L104" s="0" t="n">
        <v>169.95</v>
      </c>
      <c r="M104" s="0" t="n">
        <v>168.74</v>
      </c>
      <c r="N104" s="0" t="n">
        <v>170.5</v>
      </c>
      <c r="O104" s="0" t="n">
        <v>170.34</v>
      </c>
      <c r="P104" s="0" t="n">
        <v>169.97</v>
      </c>
      <c r="Q104" s="0" t="n">
        <v>169.87</v>
      </c>
      <c r="R104" s="0" t="n">
        <v>170.06</v>
      </c>
      <c r="S104" s="0" t="n">
        <v>170.65</v>
      </c>
      <c r="T104" s="0" t="n">
        <v>171.52</v>
      </c>
      <c r="U104" s="0" t="n">
        <v>131.79</v>
      </c>
      <c r="V104" s="0" t="n">
        <v>162</v>
      </c>
      <c r="W104" s="0" t="n">
        <v>161.65</v>
      </c>
      <c r="X104" s="0" t="n">
        <v>160.65</v>
      </c>
      <c r="Y104" s="0" t="n">
        <v>161.1</v>
      </c>
      <c r="Z104" s="0" t="n">
        <v>161.74</v>
      </c>
      <c r="AA104" s="0" t="n">
        <v>160.05</v>
      </c>
      <c r="AB104" s="0" t="n">
        <v>160.89</v>
      </c>
      <c r="AC104" s="0" t="n">
        <v>49.35</v>
      </c>
      <c r="AD104" s="0" t="n">
        <v>48.97</v>
      </c>
      <c r="AE104" s="0" t="n">
        <v>48.48</v>
      </c>
      <c r="AF104" s="0" t="n">
        <v>48.58</v>
      </c>
      <c r="AG104" s="0" t="n">
        <v>257.71</v>
      </c>
      <c r="AH104" s="0" t="n">
        <v>169.12</v>
      </c>
      <c r="AI104" s="0" t="n">
        <v>173.4</v>
      </c>
      <c r="AJ104" s="0" t="n">
        <v>160.85</v>
      </c>
      <c r="AK104" s="0" t="n">
        <v>43.54</v>
      </c>
      <c r="AL104" s="0" t="n">
        <v>49.5</v>
      </c>
      <c r="AM104" s="0" t="n">
        <v>200.7</v>
      </c>
      <c r="AN104" s="0" t="n">
        <v>305.3</v>
      </c>
    </row>
    <row r="105" customFormat="false" ht="15" hidden="false" customHeight="true" outlineLevel="0" collapsed="false">
      <c r="A105" s="0" t="s">
        <v>308</v>
      </c>
      <c r="B105" s="0" t="s">
        <v>309</v>
      </c>
      <c r="C105" s="0" t="n">
        <v>207.95</v>
      </c>
      <c r="D105" s="0" t="n">
        <v>177.08</v>
      </c>
      <c r="E105" s="0" t="n">
        <v>176.79</v>
      </c>
      <c r="F105" s="0" t="n">
        <v>176.52</v>
      </c>
      <c r="G105" s="0" t="n">
        <v>176.81</v>
      </c>
      <c r="H105" s="0" t="n">
        <v>174.55</v>
      </c>
      <c r="I105" s="0" t="n">
        <v>174.75</v>
      </c>
      <c r="J105" s="0" t="n">
        <v>175.46</v>
      </c>
      <c r="K105" s="0" t="n">
        <v>176.18</v>
      </c>
      <c r="L105" s="0" t="n">
        <v>174.73</v>
      </c>
      <c r="M105" s="0" t="n">
        <v>173.52</v>
      </c>
      <c r="N105" s="0" t="n">
        <v>175.28</v>
      </c>
      <c r="O105" s="0" t="n">
        <v>175.12</v>
      </c>
      <c r="P105" s="0" t="n">
        <v>174.75</v>
      </c>
      <c r="Q105" s="0" t="n">
        <v>174.65</v>
      </c>
      <c r="R105" s="0" t="n">
        <v>174.84</v>
      </c>
      <c r="S105" s="0" t="n">
        <v>175.43</v>
      </c>
      <c r="T105" s="0" t="n">
        <v>184.89</v>
      </c>
      <c r="U105" s="0" t="n">
        <v>164.9</v>
      </c>
      <c r="V105" s="0" t="n">
        <v>195.23</v>
      </c>
      <c r="W105" s="0" t="n">
        <v>193.49</v>
      </c>
      <c r="X105" s="0" t="n">
        <v>192.13</v>
      </c>
      <c r="Y105" s="0" t="n">
        <v>192.14</v>
      </c>
      <c r="Z105" s="0" t="n">
        <v>192.43</v>
      </c>
      <c r="AA105" s="0" t="n">
        <v>191.92</v>
      </c>
      <c r="AB105" s="0" t="n">
        <v>190.69</v>
      </c>
      <c r="AC105" s="0" t="n">
        <v>54.13</v>
      </c>
      <c r="AD105" s="0" t="n">
        <v>53.75</v>
      </c>
      <c r="AE105" s="0" t="n">
        <v>53.26</v>
      </c>
      <c r="AF105" s="0" t="n">
        <v>53.36</v>
      </c>
      <c r="AG105" s="0" t="n">
        <v>262.49</v>
      </c>
      <c r="AH105" s="0" t="n">
        <v>173.9</v>
      </c>
      <c r="AI105" s="0" t="n">
        <v>185.82</v>
      </c>
      <c r="AJ105" s="0" t="n">
        <v>192.97</v>
      </c>
      <c r="AK105" s="0" t="n">
        <v>50.72</v>
      </c>
      <c r="AL105" s="0" t="n">
        <v>54.3</v>
      </c>
      <c r="AM105" s="0" t="n">
        <v>209.6</v>
      </c>
      <c r="AN105" s="0" t="n">
        <v>310.1</v>
      </c>
    </row>
    <row r="106" customFormat="false" ht="15" hidden="false" customHeight="true" outlineLevel="0" collapsed="false">
      <c r="A106" s="0" t="s">
        <v>310</v>
      </c>
      <c r="B106" s="0" t="s">
        <v>311</v>
      </c>
      <c r="C106" s="0" t="n">
        <v>65.97</v>
      </c>
      <c r="D106" s="0" t="n">
        <v>72.27</v>
      </c>
      <c r="E106" s="0" t="n">
        <v>73.66</v>
      </c>
      <c r="F106" s="0" t="n">
        <v>73.39</v>
      </c>
      <c r="G106" s="0" t="n">
        <v>74.3</v>
      </c>
      <c r="H106" s="0" t="n">
        <v>71.41</v>
      </c>
      <c r="I106" s="0" t="n">
        <v>73.28</v>
      </c>
      <c r="J106" s="0" t="n">
        <v>73.81</v>
      </c>
      <c r="K106" s="0" t="n">
        <v>74</v>
      </c>
      <c r="L106" s="0" t="n">
        <v>73.25</v>
      </c>
      <c r="M106" s="0" t="n">
        <v>72.16</v>
      </c>
      <c r="N106" s="0" t="n">
        <v>73.36</v>
      </c>
      <c r="O106" s="0" t="n">
        <v>73.64</v>
      </c>
      <c r="P106" s="0" t="n">
        <v>73.73</v>
      </c>
      <c r="Q106" s="0" t="n">
        <v>74.07</v>
      </c>
      <c r="R106" s="0" t="n">
        <v>74.2</v>
      </c>
      <c r="S106" s="0" t="n">
        <v>74.48</v>
      </c>
      <c r="T106" s="0" t="n">
        <v>37.75</v>
      </c>
      <c r="U106" s="0" t="n">
        <v>33.9</v>
      </c>
      <c r="V106" s="0" t="n">
        <v>0.92</v>
      </c>
      <c r="W106" s="0" t="n">
        <v>4.01</v>
      </c>
      <c r="X106" s="0" t="n">
        <v>4.12</v>
      </c>
      <c r="Y106" s="0" t="n">
        <v>4.14</v>
      </c>
      <c r="Z106" s="0" t="n">
        <v>4.43</v>
      </c>
      <c r="AA106" s="0" t="n">
        <v>5.88</v>
      </c>
      <c r="AB106" s="0" t="n">
        <v>6.61</v>
      </c>
      <c r="AC106" s="0" t="n">
        <v>141.61</v>
      </c>
      <c r="AD106" s="0" t="n">
        <v>141.24</v>
      </c>
      <c r="AE106" s="0" t="n">
        <v>141.26</v>
      </c>
      <c r="AF106" s="0" t="n">
        <v>141.95</v>
      </c>
      <c r="AG106" s="0" t="n">
        <v>148.94</v>
      </c>
      <c r="AH106" s="0" t="n">
        <v>74.89</v>
      </c>
      <c r="AI106" s="0" t="n">
        <v>39.62</v>
      </c>
      <c r="AJ106" s="0" t="n">
        <v>4.97</v>
      </c>
      <c r="AK106" s="0" t="n">
        <v>145.65</v>
      </c>
      <c r="AL106" s="0" t="n">
        <v>141.7</v>
      </c>
      <c r="AM106" s="0" t="n">
        <v>66.9</v>
      </c>
      <c r="AN106" s="0" t="n">
        <v>172.3</v>
      </c>
    </row>
    <row r="107" customFormat="false" ht="15" hidden="false" customHeight="true" outlineLevel="0" collapsed="false">
      <c r="A107" s="0" t="s">
        <v>312</v>
      </c>
      <c r="B107" s="0" t="s">
        <v>313</v>
      </c>
      <c r="C107" s="0" t="n">
        <v>69.24</v>
      </c>
      <c r="D107" s="0" t="n">
        <v>53.54</v>
      </c>
      <c r="E107" s="0" t="n">
        <v>53.25</v>
      </c>
      <c r="F107" s="0" t="n">
        <v>52.98</v>
      </c>
      <c r="G107" s="0" t="n">
        <v>53.26</v>
      </c>
      <c r="H107" s="0" t="n">
        <v>51</v>
      </c>
      <c r="I107" s="0" t="n">
        <v>51.21</v>
      </c>
      <c r="J107" s="0" t="n">
        <v>51.91</v>
      </c>
      <c r="K107" s="0" t="n">
        <v>52.63</v>
      </c>
      <c r="L107" s="0" t="n">
        <v>51.18</v>
      </c>
      <c r="M107" s="0" t="n">
        <v>49.97</v>
      </c>
      <c r="N107" s="0" t="n">
        <v>51.74</v>
      </c>
      <c r="O107" s="0" t="n">
        <v>51.57</v>
      </c>
      <c r="P107" s="0" t="n">
        <v>51.2</v>
      </c>
      <c r="Q107" s="0" t="n">
        <v>51.1</v>
      </c>
      <c r="R107" s="0" t="n">
        <v>51.3</v>
      </c>
      <c r="S107" s="0" t="n">
        <v>51.89</v>
      </c>
      <c r="T107" s="0" t="n">
        <v>41.01</v>
      </c>
      <c r="U107" s="0" t="n">
        <v>1.29</v>
      </c>
      <c r="V107" s="0" t="n">
        <v>33.18</v>
      </c>
      <c r="W107" s="0" t="n">
        <v>32.83</v>
      </c>
      <c r="X107" s="0" t="n">
        <v>31.84</v>
      </c>
      <c r="Y107" s="0" t="n">
        <v>32.28</v>
      </c>
      <c r="Z107" s="0" t="n">
        <v>32.92</v>
      </c>
      <c r="AA107" s="0" t="n">
        <v>31.23</v>
      </c>
      <c r="AB107" s="0" t="n">
        <v>31.64</v>
      </c>
      <c r="AC107" s="0" t="n">
        <v>114.17</v>
      </c>
      <c r="AD107" s="0" t="n">
        <v>113.79</v>
      </c>
      <c r="AE107" s="0" t="n">
        <v>113.81</v>
      </c>
      <c r="AF107" s="0" t="n">
        <v>114.5</v>
      </c>
      <c r="AG107" s="0" t="n">
        <v>138.94</v>
      </c>
      <c r="AH107" s="0" t="n">
        <v>50.36</v>
      </c>
      <c r="AI107" s="0" t="n">
        <v>42.89</v>
      </c>
      <c r="AJ107" s="0" t="n">
        <v>32.04</v>
      </c>
      <c r="AK107" s="0" t="n">
        <v>118.21</v>
      </c>
      <c r="AL107" s="0" t="n">
        <v>114.3</v>
      </c>
      <c r="AM107" s="0" t="n">
        <v>70.1</v>
      </c>
      <c r="AN107" s="0" t="n">
        <v>175.5</v>
      </c>
    </row>
    <row r="108" customFormat="false" ht="15" hidden="false" customHeight="true" outlineLevel="0" collapsed="false">
      <c r="A108" s="0" t="s">
        <v>314</v>
      </c>
      <c r="B108" s="0" t="s">
        <v>315</v>
      </c>
      <c r="C108" s="0" t="n">
        <v>77.17</v>
      </c>
      <c r="D108" s="0" t="n">
        <v>54.67</v>
      </c>
      <c r="E108" s="0" t="n">
        <v>54.38</v>
      </c>
      <c r="F108" s="0" t="n">
        <v>54.11</v>
      </c>
      <c r="G108" s="0" t="n">
        <v>54.4</v>
      </c>
      <c r="H108" s="0" t="n">
        <v>52.14</v>
      </c>
      <c r="I108" s="0" t="n">
        <v>52.34</v>
      </c>
      <c r="J108" s="0" t="n">
        <v>53.05</v>
      </c>
      <c r="K108" s="0" t="n">
        <v>53.76</v>
      </c>
      <c r="L108" s="0" t="n">
        <v>52.32</v>
      </c>
      <c r="M108" s="0" t="n">
        <v>51.11</v>
      </c>
      <c r="N108" s="0" t="n">
        <v>52.87</v>
      </c>
      <c r="O108" s="0" t="n">
        <v>52.71</v>
      </c>
      <c r="P108" s="0" t="n">
        <v>52.34</v>
      </c>
      <c r="Q108" s="0" t="n">
        <v>52.24</v>
      </c>
      <c r="R108" s="0" t="n">
        <v>52.43</v>
      </c>
      <c r="S108" s="0" t="n">
        <v>53.02</v>
      </c>
      <c r="T108" s="0" t="n">
        <v>48.94</v>
      </c>
      <c r="U108" s="0" t="n">
        <v>22.35</v>
      </c>
      <c r="V108" s="0" t="n">
        <v>52.68</v>
      </c>
      <c r="W108" s="0" t="n">
        <v>50.94</v>
      </c>
      <c r="X108" s="0" t="n">
        <v>49.58</v>
      </c>
      <c r="Y108" s="0" t="n">
        <v>49.59</v>
      </c>
      <c r="Z108" s="0" t="n">
        <v>49.88</v>
      </c>
      <c r="AA108" s="0" t="n">
        <v>49.37</v>
      </c>
      <c r="AB108" s="0" t="n">
        <v>48.14</v>
      </c>
      <c r="AC108" s="0" t="n">
        <v>92.96</v>
      </c>
      <c r="AD108" s="0" t="n">
        <v>92.58</v>
      </c>
      <c r="AE108" s="0" t="n">
        <v>92.6</v>
      </c>
      <c r="AF108" s="0" t="n">
        <v>93.29</v>
      </c>
      <c r="AG108" s="0" t="n">
        <v>140.08</v>
      </c>
      <c r="AH108" s="0" t="n">
        <v>51.49</v>
      </c>
      <c r="AI108" s="0" t="n">
        <v>50.82</v>
      </c>
      <c r="AJ108" s="0" t="n">
        <v>50.42</v>
      </c>
      <c r="AK108" s="0" t="n">
        <v>97</v>
      </c>
      <c r="AL108" s="0" t="n">
        <v>93.1</v>
      </c>
      <c r="AM108" s="0" t="n">
        <v>78.1</v>
      </c>
      <c r="AN108" s="0" t="n">
        <v>183.5</v>
      </c>
    </row>
    <row r="109" customFormat="false" ht="15" hidden="false" customHeight="true" outlineLevel="0" collapsed="false">
      <c r="A109" s="0" t="s">
        <v>316</v>
      </c>
      <c r="B109" s="0" t="s">
        <v>317</v>
      </c>
      <c r="C109" s="0" t="n">
        <v>80.09</v>
      </c>
      <c r="D109" s="0" t="n">
        <v>74.42</v>
      </c>
      <c r="E109" s="0" t="n">
        <v>74.13</v>
      </c>
      <c r="F109" s="0" t="n">
        <v>73.86</v>
      </c>
      <c r="G109" s="0" t="n">
        <v>74.15</v>
      </c>
      <c r="H109" s="0" t="n">
        <v>71.88</v>
      </c>
      <c r="I109" s="0" t="n">
        <v>72.09</v>
      </c>
      <c r="J109" s="0" t="n">
        <v>72.8</v>
      </c>
      <c r="K109" s="0" t="n">
        <v>73.51</v>
      </c>
      <c r="L109" s="0" t="n">
        <v>72.07</v>
      </c>
      <c r="M109" s="0" t="n">
        <v>70.86</v>
      </c>
      <c r="N109" s="0" t="n">
        <v>72.62</v>
      </c>
      <c r="O109" s="0" t="n">
        <v>72.45</v>
      </c>
      <c r="P109" s="0" t="n">
        <v>72.09</v>
      </c>
      <c r="Q109" s="0" t="n">
        <v>71.98</v>
      </c>
      <c r="R109" s="0" t="n">
        <v>72.18</v>
      </c>
      <c r="S109" s="0" t="n">
        <v>72.77</v>
      </c>
      <c r="T109" s="0" t="n">
        <v>51.86</v>
      </c>
      <c r="U109" s="0" t="n">
        <v>22.18</v>
      </c>
      <c r="V109" s="0" t="n">
        <v>18.11</v>
      </c>
      <c r="W109" s="0" t="n">
        <v>17.76</v>
      </c>
      <c r="X109" s="0" t="n">
        <v>16.76</v>
      </c>
      <c r="Y109" s="0" t="n">
        <v>17.21</v>
      </c>
      <c r="Z109" s="0" t="n">
        <v>17.85</v>
      </c>
      <c r="AA109" s="0" t="n">
        <v>16.16</v>
      </c>
      <c r="AB109" s="0" t="n">
        <v>17</v>
      </c>
      <c r="AC109" s="0" t="n">
        <v>135.05</v>
      </c>
      <c r="AD109" s="0" t="n">
        <v>134.67</v>
      </c>
      <c r="AE109" s="0" t="n">
        <v>134.7</v>
      </c>
      <c r="AF109" s="0" t="n">
        <v>135.39</v>
      </c>
      <c r="AG109" s="0" t="n">
        <v>159.83</v>
      </c>
      <c r="AH109" s="0" t="n">
        <v>71.24</v>
      </c>
      <c r="AI109" s="0" t="n">
        <v>53.74</v>
      </c>
      <c r="AJ109" s="0" t="n">
        <v>16.96</v>
      </c>
      <c r="AK109" s="0" t="n">
        <v>139.09</v>
      </c>
      <c r="AL109" s="0" t="n">
        <v>135.2</v>
      </c>
      <c r="AM109" s="0" t="n">
        <v>81</v>
      </c>
      <c r="AN109" s="0" t="n">
        <v>186.4</v>
      </c>
    </row>
    <row r="110" customFormat="false" ht="15" hidden="false" customHeight="true" outlineLevel="0" collapsed="false">
      <c r="A110" s="0" t="s">
        <v>318</v>
      </c>
      <c r="B110" s="0" t="s">
        <v>319</v>
      </c>
      <c r="C110" s="0" t="n">
        <v>67.37</v>
      </c>
      <c r="D110" s="0" t="n">
        <v>73.67</v>
      </c>
      <c r="E110" s="0" t="n">
        <v>75.06</v>
      </c>
      <c r="F110" s="0" t="n">
        <v>74.79</v>
      </c>
      <c r="G110" s="0" t="n">
        <v>75.7</v>
      </c>
      <c r="H110" s="0" t="n">
        <v>72.82</v>
      </c>
      <c r="I110" s="0" t="n">
        <v>74.68</v>
      </c>
      <c r="J110" s="0" t="n">
        <v>75.21</v>
      </c>
      <c r="K110" s="0" t="n">
        <v>75.4</v>
      </c>
      <c r="L110" s="0" t="n">
        <v>74.66</v>
      </c>
      <c r="M110" s="0" t="n">
        <v>73.56</v>
      </c>
      <c r="N110" s="0" t="n">
        <v>74.76</v>
      </c>
      <c r="O110" s="0" t="n">
        <v>75.04</v>
      </c>
      <c r="P110" s="0" t="n">
        <v>75.14</v>
      </c>
      <c r="Q110" s="0" t="n">
        <v>75.47</v>
      </c>
      <c r="R110" s="0" t="n">
        <v>75.6</v>
      </c>
      <c r="S110" s="0" t="n">
        <v>75.88</v>
      </c>
      <c r="T110" s="0" t="n">
        <v>39.15</v>
      </c>
      <c r="U110" s="0" t="n">
        <v>30.85</v>
      </c>
      <c r="V110" s="0" t="n">
        <v>17.66</v>
      </c>
      <c r="W110" s="0" t="n">
        <v>20.33</v>
      </c>
      <c r="X110" s="0" t="n">
        <v>19.68</v>
      </c>
      <c r="Y110" s="0" t="n">
        <v>20.13</v>
      </c>
      <c r="Z110" s="0" t="n">
        <v>20.75</v>
      </c>
      <c r="AA110" s="0" t="n">
        <v>21.44</v>
      </c>
      <c r="AB110" s="0" t="n">
        <v>22.28</v>
      </c>
      <c r="AC110" s="0" t="n">
        <v>143.72</v>
      </c>
      <c r="AD110" s="0" t="n">
        <v>143.34</v>
      </c>
      <c r="AE110" s="0" t="n">
        <v>143.37</v>
      </c>
      <c r="AF110" s="0" t="n">
        <v>144.06</v>
      </c>
      <c r="AG110" s="0" t="n">
        <v>150.34</v>
      </c>
      <c r="AH110" s="0" t="n">
        <v>76.66</v>
      </c>
      <c r="AI110" s="0" t="n">
        <v>41.03</v>
      </c>
      <c r="AJ110" s="0" t="n">
        <v>19.88</v>
      </c>
      <c r="AK110" s="0" t="n">
        <v>147.76</v>
      </c>
      <c r="AL110" s="0" t="n">
        <v>143.8</v>
      </c>
      <c r="AM110" s="0" t="n">
        <v>68.3</v>
      </c>
      <c r="AN110" s="0" t="n">
        <v>173.7</v>
      </c>
    </row>
    <row r="111" customFormat="false" ht="15" hidden="false" customHeight="true" outlineLevel="0" collapsed="false">
      <c r="A111" s="0" t="s">
        <v>320</v>
      </c>
      <c r="B111" s="0" t="s">
        <v>321</v>
      </c>
      <c r="C111" s="0" t="n">
        <v>118.87</v>
      </c>
      <c r="D111" s="0" t="n">
        <v>96.38</v>
      </c>
      <c r="E111" s="0" t="n">
        <v>96.09</v>
      </c>
      <c r="F111" s="0" t="n">
        <v>95.82</v>
      </c>
      <c r="G111" s="0" t="n">
        <v>96.1</v>
      </c>
      <c r="H111" s="0" t="n">
        <v>93.84</v>
      </c>
      <c r="I111" s="0" t="n">
        <v>94.04</v>
      </c>
      <c r="J111" s="0" t="n">
        <v>94.75</v>
      </c>
      <c r="K111" s="0" t="n">
        <v>95.47</v>
      </c>
      <c r="L111" s="0" t="n">
        <v>94.02</v>
      </c>
      <c r="M111" s="0" t="n">
        <v>92.81</v>
      </c>
      <c r="N111" s="0" t="n">
        <v>94.58</v>
      </c>
      <c r="O111" s="0" t="n">
        <v>94.41</v>
      </c>
      <c r="P111" s="0" t="n">
        <v>94.04</v>
      </c>
      <c r="Q111" s="0" t="n">
        <v>93.94</v>
      </c>
      <c r="R111" s="0" t="n">
        <v>94.14</v>
      </c>
      <c r="S111" s="0" t="n">
        <v>94.73</v>
      </c>
      <c r="T111" s="0" t="n">
        <v>90.64</v>
      </c>
      <c r="U111" s="0" t="n">
        <v>58.07</v>
      </c>
      <c r="V111" s="0" t="n">
        <v>91.13</v>
      </c>
      <c r="W111" s="0" t="n">
        <v>90.21</v>
      </c>
      <c r="X111" s="0" t="n">
        <v>88.85</v>
      </c>
      <c r="Y111" s="0" t="n">
        <v>88.86</v>
      </c>
      <c r="Z111" s="0" t="n">
        <v>89.15</v>
      </c>
      <c r="AA111" s="0" t="n">
        <v>88.64</v>
      </c>
      <c r="AB111" s="0" t="n">
        <v>87.41</v>
      </c>
      <c r="AC111" s="0" t="n">
        <v>112.55</v>
      </c>
      <c r="AD111" s="0" t="n">
        <v>112.17</v>
      </c>
      <c r="AE111" s="0" t="n">
        <v>112.19</v>
      </c>
      <c r="AF111" s="0" t="n">
        <v>112.88</v>
      </c>
      <c r="AG111" s="0" t="n">
        <v>181.78</v>
      </c>
      <c r="AH111" s="0" t="n">
        <v>93.19</v>
      </c>
      <c r="AI111" s="0" t="n">
        <v>92.52</v>
      </c>
      <c r="AJ111" s="0" t="n">
        <v>89.69</v>
      </c>
      <c r="AK111" s="0" t="n">
        <v>116.58</v>
      </c>
      <c r="AL111" s="0" t="n">
        <v>112.7</v>
      </c>
      <c r="AM111" s="0" t="n">
        <v>119.8</v>
      </c>
      <c r="AN111" s="0" t="n">
        <v>225.2</v>
      </c>
    </row>
    <row r="112" customFormat="false" ht="15" hidden="false" customHeight="true" outlineLevel="0" collapsed="false">
      <c r="A112" s="0" t="s">
        <v>322</v>
      </c>
      <c r="B112" s="0" t="s">
        <v>323</v>
      </c>
      <c r="C112" s="0" t="n">
        <v>117.22</v>
      </c>
      <c r="D112" s="0" t="n">
        <v>96.92</v>
      </c>
      <c r="E112" s="0" t="n">
        <v>96.64</v>
      </c>
      <c r="F112" s="0" t="n">
        <v>96.36</v>
      </c>
      <c r="G112" s="0" t="n">
        <v>96.65</v>
      </c>
      <c r="H112" s="0" t="n">
        <v>94.39</v>
      </c>
      <c r="I112" s="0" t="n">
        <v>94.59</v>
      </c>
      <c r="J112" s="0" t="n">
        <v>95.3</v>
      </c>
      <c r="K112" s="0" t="n">
        <v>96.02</v>
      </c>
      <c r="L112" s="0" t="n">
        <v>94.57</v>
      </c>
      <c r="M112" s="0" t="n">
        <v>93.36</v>
      </c>
      <c r="N112" s="0" t="n">
        <v>95.12</v>
      </c>
      <c r="O112" s="0" t="n">
        <v>94.96</v>
      </c>
      <c r="P112" s="0" t="n">
        <v>94.59</v>
      </c>
      <c r="Q112" s="0" t="n">
        <v>94.49</v>
      </c>
      <c r="R112" s="0" t="n">
        <v>94.68</v>
      </c>
      <c r="S112" s="0" t="n">
        <v>95.27</v>
      </c>
      <c r="T112" s="0" t="n">
        <v>88.99</v>
      </c>
      <c r="U112" s="0" t="n">
        <v>49.05</v>
      </c>
      <c r="V112" s="0" t="n">
        <v>82.11</v>
      </c>
      <c r="W112" s="0" t="n">
        <v>81.19</v>
      </c>
      <c r="X112" s="0" t="n">
        <v>79.83</v>
      </c>
      <c r="Y112" s="0" t="n">
        <v>79.84</v>
      </c>
      <c r="Z112" s="0" t="n">
        <v>80.13</v>
      </c>
      <c r="AA112" s="0" t="n">
        <v>79.62</v>
      </c>
      <c r="AB112" s="0" t="n">
        <v>78.39</v>
      </c>
      <c r="AC112" s="0" t="n">
        <v>125.55</v>
      </c>
      <c r="AD112" s="0" t="n">
        <v>125.17</v>
      </c>
      <c r="AE112" s="0" t="n">
        <v>125.19</v>
      </c>
      <c r="AF112" s="0" t="n">
        <v>125.88</v>
      </c>
      <c r="AG112" s="0" t="n">
        <v>182.33</v>
      </c>
      <c r="AH112" s="0" t="n">
        <v>93.74</v>
      </c>
      <c r="AI112" s="0" t="n">
        <v>90.87</v>
      </c>
      <c r="AJ112" s="0" t="n">
        <v>80.67</v>
      </c>
      <c r="AK112" s="0" t="n">
        <v>129.59</v>
      </c>
      <c r="AL112" s="0" t="n">
        <v>125.7</v>
      </c>
      <c r="AM112" s="0" t="n">
        <v>118.1</v>
      </c>
      <c r="AN112" s="0" t="n">
        <v>223.5</v>
      </c>
    </row>
    <row r="113" customFormat="false" ht="15" hidden="false" customHeight="true" outlineLevel="0" collapsed="false">
      <c r="A113" s="0" t="s">
        <v>324</v>
      </c>
      <c r="B113" s="0" t="s">
        <v>325</v>
      </c>
      <c r="C113" s="0" t="n">
        <v>80.39</v>
      </c>
      <c r="D113" s="0" t="n">
        <v>57.9</v>
      </c>
      <c r="E113" s="0" t="n">
        <v>57.61</v>
      </c>
      <c r="F113" s="0" t="n">
        <v>57.34</v>
      </c>
      <c r="G113" s="0" t="n">
        <v>57.62</v>
      </c>
      <c r="H113" s="0" t="n">
        <v>55.36</v>
      </c>
      <c r="I113" s="0" t="n">
        <v>55.56</v>
      </c>
      <c r="J113" s="0" t="n">
        <v>56.27</v>
      </c>
      <c r="K113" s="0" t="n">
        <v>56.99</v>
      </c>
      <c r="L113" s="0" t="n">
        <v>55.54</v>
      </c>
      <c r="M113" s="0" t="n">
        <v>54.33</v>
      </c>
      <c r="N113" s="0" t="n">
        <v>56.1</v>
      </c>
      <c r="O113" s="0" t="n">
        <v>55.93</v>
      </c>
      <c r="P113" s="0" t="n">
        <v>55.56</v>
      </c>
      <c r="Q113" s="0" t="n">
        <v>55.46</v>
      </c>
      <c r="R113" s="0" t="n">
        <v>55.66</v>
      </c>
      <c r="S113" s="0" t="n">
        <v>56.25</v>
      </c>
      <c r="T113" s="0" t="n">
        <v>52.16</v>
      </c>
      <c r="U113" s="0" t="n">
        <v>27.53</v>
      </c>
      <c r="V113" s="0" t="n">
        <v>57.86</v>
      </c>
      <c r="W113" s="0" t="n">
        <v>56.13</v>
      </c>
      <c r="X113" s="0" t="n">
        <v>54.76</v>
      </c>
      <c r="Y113" s="0" t="n">
        <v>54.78</v>
      </c>
      <c r="Z113" s="0" t="n">
        <v>55.07</v>
      </c>
      <c r="AA113" s="0" t="n">
        <v>54.55</v>
      </c>
      <c r="AB113" s="0" t="n">
        <v>53.33</v>
      </c>
      <c r="AC113" s="0" t="n">
        <v>101.56</v>
      </c>
      <c r="AD113" s="0" t="n">
        <v>101.18</v>
      </c>
      <c r="AE113" s="0" t="n">
        <v>101.21</v>
      </c>
      <c r="AF113" s="0" t="n">
        <v>101.9</v>
      </c>
      <c r="AG113" s="0" t="n">
        <v>143.3</v>
      </c>
      <c r="AH113" s="0" t="n">
        <v>54.71</v>
      </c>
      <c r="AI113" s="0" t="n">
        <v>54.04</v>
      </c>
      <c r="AJ113" s="0" t="n">
        <v>55.61</v>
      </c>
      <c r="AK113" s="0" t="n">
        <v>105.6</v>
      </c>
      <c r="AL113" s="0" t="n">
        <v>101.7</v>
      </c>
      <c r="AM113" s="0" t="n">
        <v>81.3</v>
      </c>
      <c r="AN113" s="0" t="n">
        <v>186.7</v>
      </c>
    </row>
    <row r="114" customFormat="false" ht="15" hidden="false" customHeight="true" outlineLevel="0" collapsed="false">
      <c r="A114" s="0" t="s">
        <v>326</v>
      </c>
      <c r="B114" s="0" t="s">
        <v>327</v>
      </c>
      <c r="C114" s="0" t="n">
        <v>65.06</v>
      </c>
      <c r="D114" s="0" t="n">
        <v>69.79</v>
      </c>
      <c r="E114" s="0" t="n">
        <v>71.19</v>
      </c>
      <c r="F114" s="0" t="n">
        <v>70.92</v>
      </c>
      <c r="G114" s="0" t="n">
        <v>71.83</v>
      </c>
      <c r="H114" s="0" t="n">
        <v>68.94</v>
      </c>
      <c r="I114" s="0" t="n">
        <v>70.8</v>
      </c>
      <c r="J114" s="0" t="n">
        <v>71.34</v>
      </c>
      <c r="K114" s="0" t="n">
        <v>71.53</v>
      </c>
      <c r="L114" s="0" t="n">
        <v>70.78</v>
      </c>
      <c r="M114" s="0" t="n">
        <v>69.68</v>
      </c>
      <c r="N114" s="0" t="n">
        <v>70.89</v>
      </c>
      <c r="O114" s="0" t="n">
        <v>71.17</v>
      </c>
      <c r="P114" s="0" t="n">
        <v>71.26</v>
      </c>
      <c r="Q114" s="0" t="n">
        <v>71.6</v>
      </c>
      <c r="R114" s="0" t="n">
        <v>71.73</v>
      </c>
      <c r="S114" s="0" t="n">
        <v>72.01</v>
      </c>
      <c r="T114" s="0" t="n">
        <v>36.83</v>
      </c>
      <c r="U114" s="0" t="n">
        <v>26.53</v>
      </c>
      <c r="V114" s="0" t="n">
        <v>58.37</v>
      </c>
      <c r="W114" s="0" t="n">
        <v>58.01</v>
      </c>
      <c r="X114" s="0" t="n">
        <v>57.02</v>
      </c>
      <c r="Y114" s="0" t="n">
        <v>57.46</v>
      </c>
      <c r="Z114" s="0" t="n">
        <v>58.1</v>
      </c>
      <c r="AA114" s="0" t="n">
        <v>56.41</v>
      </c>
      <c r="AB114" s="0" t="n">
        <v>57.25</v>
      </c>
      <c r="AC114" s="0" t="n">
        <v>125.64</v>
      </c>
      <c r="AD114" s="0" t="n">
        <v>125.26</v>
      </c>
      <c r="AE114" s="0" t="n">
        <v>125.29</v>
      </c>
      <c r="AF114" s="0" t="n">
        <v>125.98</v>
      </c>
      <c r="AG114" s="0" t="n">
        <v>147.74</v>
      </c>
      <c r="AH114" s="0" t="n">
        <v>71.72</v>
      </c>
      <c r="AI114" s="0" t="n">
        <v>38.71</v>
      </c>
      <c r="AJ114" s="0" t="n">
        <v>57.22</v>
      </c>
      <c r="AK114" s="0" t="n">
        <v>129.68</v>
      </c>
      <c r="AL114" s="0" t="n">
        <v>125.8</v>
      </c>
      <c r="AM114" s="0" t="n">
        <v>66</v>
      </c>
      <c r="AN114" s="0" t="n">
        <v>171.3</v>
      </c>
    </row>
    <row r="115" customFormat="false" ht="15" hidden="false" customHeight="true" outlineLevel="0" collapsed="false">
      <c r="A115" s="0" t="s">
        <v>328</v>
      </c>
      <c r="B115" s="0" t="s">
        <v>329</v>
      </c>
      <c r="C115" s="0" t="n">
        <v>102.74</v>
      </c>
      <c r="D115" s="0" t="n">
        <v>80.25</v>
      </c>
      <c r="E115" s="0" t="n">
        <v>79.96</v>
      </c>
      <c r="F115" s="0" t="n">
        <v>79.69</v>
      </c>
      <c r="G115" s="0" t="n">
        <v>79.97</v>
      </c>
      <c r="H115" s="0" t="n">
        <v>77.71</v>
      </c>
      <c r="I115" s="0" t="n">
        <v>77.92</v>
      </c>
      <c r="J115" s="0" t="n">
        <v>78.62</v>
      </c>
      <c r="K115" s="0" t="n">
        <v>79.34</v>
      </c>
      <c r="L115" s="0" t="n">
        <v>77.9</v>
      </c>
      <c r="M115" s="0" t="n">
        <v>76.68</v>
      </c>
      <c r="N115" s="0" t="n">
        <v>78.45</v>
      </c>
      <c r="O115" s="0" t="n">
        <v>78.28</v>
      </c>
      <c r="P115" s="0" t="n">
        <v>77.91</v>
      </c>
      <c r="Q115" s="0" t="n">
        <v>77.81</v>
      </c>
      <c r="R115" s="0" t="n">
        <v>78.01</v>
      </c>
      <c r="S115" s="0" t="n">
        <v>78.6</v>
      </c>
      <c r="T115" s="0" t="n">
        <v>74.52</v>
      </c>
      <c r="U115" s="0" t="n">
        <v>47.92</v>
      </c>
      <c r="V115" s="0" t="n">
        <v>78.25</v>
      </c>
      <c r="W115" s="0" t="n">
        <v>76.52</v>
      </c>
      <c r="X115" s="0" t="n">
        <v>75.15</v>
      </c>
      <c r="Y115" s="0" t="n">
        <v>75.17</v>
      </c>
      <c r="Z115" s="0" t="n">
        <v>75.46</v>
      </c>
      <c r="AA115" s="0" t="n">
        <v>74.94</v>
      </c>
      <c r="AB115" s="0" t="n">
        <v>73.72</v>
      </c>
      <c r="AC115" s="0" t="n">
        <v>90.37</v>
      </c>
      <c r="AD115" s="0" t="n">
        <v>89.99</v>
      </c>
      <c r="AE115" s="0" t="n">
        <v>90.02</v>
      </c>
      <c r="AF115" s="0" t="n">
        <v>90.71</v>
      </c>
      <c r="AG115" s="0" t="n">
        <v>165.65</v>
      </c>
      <c r="AH115" s="0" t="n">
        <v>77.07</v>
      </c>
      <c r="AI115" s="0" t="n">
        <v>76.39</v>
      </c>
      <c r="AJ115" s="0" t="n">
        <v>76</v>
      </c>
      <c r="AK115" s="0" t="n">
        <v>94.41</v>
      </c>
      <c r="AL115" s="0" t="n">
        <v>90.5</v>
      </c>
      <c r="AM115" s="0" t="n">
        <v>103.6</v>
      </c>
      <c r="AN115" s="0" t="n">
        <v>209</v>
      </c>
    </row>
    <row r="116" customFormat="false" ht="15" hidden="false" customHeight="true" outlineLevel="0" collapsed="false">
      <c r="A116" s="0" t="s">
        <v>330</v>
      </c>
      <c r="B116" s="0" t="s">
        <v>331</v>
      </c>
      <c r="C116" s="0" t="n">
        <v>107.08</v>
      </c>
      <c r="D116" s="0" t="n">
        <v>84.58</v>
      </c>
      <c r="E116" s="0" t="n">
        <v>84.29</v>
      </c>
      <c r="F116" s="0" t="n">
        <v>84.02</v>
      </c>
      <c r="G116" s="0" t="n">
        <v>84.31</v>
      </c>
      <c r="H116" s="0" t="n">
        <v>82.05</v>
      </c>
      <c r="I116" s="0" t="n">
        <v>82.25</v>
      </c>
      <c r="J116" s="0" t="n">
        <v>82.96</v>
      </c>
      <c r="K116" s="0" t="n">
        <v>83.67</v>
      </c>
      <c r="L116" s="0" t="n">
        <v>82.23</v>
      </c>
      <c r="M116" s="0" t="n">
        <v>81.02</v>
      </c>
      <c r="N116" s="0" t="n">
        <v>82.78</v>
      </c>
      <c r="O116" s="0" t="n">
        <v>82.62</v>
      </c>
      <c r="P116" s="0" t="n">
        <v>82.25</v>
      </c>
      <c r="Q116" s="0" t="n">
        <v>82.15</v>
      </c>
      <c r="R116" s="0" t="n">
        <v>82.34</v>
      </c>
      <c r="S116" s="0" t="n">
        <v>82.93</v>
      </c>
      <c r="T116" s="0" t="n">
        <v>78.85</v>
      </c>
      <c r="U116" s="0" t="n">
        <v>52.26</v>
      </c>
      <c r="V116" s="0" t="n">
        <v>82.59</v>
      </c>
      <c r="W116" s="0" t="n">
        <v>80.85</v>
      </c>
      <c r="X116" s="0" t="n">
        <v>79.49</v>
      </c>
      <c r="Y116" s="0" t="n">
        <v>79.5</v>
      </c>
      <c r="Z116" s="0" t="n">
        <v>79.79</v>
      </c>
      <c r="AA116" s="0" t="n">
        <v>79.28</v>
      </c>
      <c r="AB116" s="0" t="n">
        <v>78.05</v>
      </c>
      <c r="AC116" s="0" t="n">
        <v>71.08</v>
      </c>
      <c r="AD116" s="0" t="n">
        <v>70.7</v>
      </c>
      <c r="AE116" s="0" t="n">
        <v>70.72</v>
      </c>
      <c r="AF116" s="0" t="n">
        <v>71.41</v>
      </c>
      <c r="AG116" s="0" t="n">
        <v>169.99</v>
      </c>
      <c r="AH116" s="0" t="n">
        <v>81.4</v>
      </c>
      <c r="AI116" s="0" t="n">
        <v>80.73</v>
      </c>
      <c r="AJ116" s="0" t="n">
        <v>80.33</v>
      </c>
      <c r="AK116" s="0" t="n">
        <v>75.11</v>
      </c>
      <c r="AL116" s="0" t="n">
        <v>71.2</v>
      </c>
      <c r="AM116" s="0" t="n">
        <v>108</v>
      </c>
      <c r="AN116" s="0" t="n">
        <v>213.4</v>
      </c>
    </row>
    <row r="117" customFormat="false" ht="15" hidden="false" customHeight="true" outlineLevel="0" collapsed="false">
      <c r="A117" s="0" t="s">
        <v>332</v>
      </c>
      <c r="B117" s="0" t="s">
        <v>333</v>
      </c>
      <c r="C117" s="0" t="n">
        <v>103.39</v>
      </c>
      <c r="D117" s="0" t="n">
        <v>72.52</v>
      </c>
      <c r="E117" s="0" t="n">
        <v>72.23</v>
      </c>
      <c r="F117" s="0" t="n">
        <v>71.96</v>
      </c>
      <c r="G117" s="0" t="n">
        <v>72.24</v>
      </c>
      <c r="H117" s="0" t="n">
        <v>69.98</v>
      </c>
      <c r="I117" s="0" t="n">
        <v>70.19</v>
      </c>
      <c r="J117" s="0" t="n">
        <v>70.89</v>
      </c>
      <c r="K117" s="0" t="n">
        <v>71.61</v>
      </c>
      <c r="L117" s="0" t="n">
        <v>70.17</v>
      </c>
      <c r="M117" s="0" t="n">
        <v>68.95</v>
      </c>
      <c r="N117" s="0" t="n">
        <v>70.72</v>
      </c>
      <c r="O117" s="0" t="n">
        <v>70.55</v>
      </c>
      <c r="P117" s="0" t="n">
        <v>70.18</v>
      </c>
      <c r="Q117" s="0" t="n">
        <v>70.08</v>
      </c>
      <c r="R117" s="0" t="n">
        <v>70.28</v>
      </c>
      <c r="S117" s="0" t="n">
        <v>70.87</v>
      </c>
      <c r="T117" s="0" t="n">
        <v>78.4</v>
      </c>
      <c r="U117" s="0" t="n">
        <v>52.62</v>
      </c>
      <c r="V117" s="0" t="n">
        <v>82.95</v>
      </c>
      <c r="W117" s="0" t="n">
        <v>81.21</v>
      </c>
      <c r="X117" s="0" t="n">
        <v>79.84</v>
      </c>
      <c r="Y117" s="0" t="n">
        <v>79.86</v>
      </c>
      <c r="Z117" s="0" t="n">
        <v>80.15</v>
      </c>
      <c r="AA117" s="0" t="n">
        <v>79.63</v>
      </c>
      <c r="AB117" s="0" t="n">
        <v>78.41</v>
      </c>
      <c r="AC117" s="0" t="n">
        <v>88.52</v>
      </c>
      <c r="AD117" s="0" t="n">
        <v>88.14</v>
      </c>
      <c r="AE117" s="0" t="n">
        <v>88.16</v>
      </c>
      <c r="AF117" s="0" t="n">
        <v>88.85</v>
      </c>
      <c r="AG117" s="0" t="n">
        <v>157.92</v>
      </c>
      <c r="AH117" s="0" t="n">
        <v>69.34</v>
      </c>
      <c r="AI117" s="0" t="n">
        <v>79.33</v>
      </c>
      <c r="AJ117" s="0" t="n">
        <v>80.69</v>
      </c>
      <c r="AK117" s="0" t="n">
        <v>92.56</v>
      </c>
      <c r="AL117" s="0" t="n">
        <v>88.6</v>
      </c>
      <c r="AM117" s="0" t="n">
        <v>105</v>
      </c>
      <c r="AN117" s="0" t="n">
        <v>205.5</v>
      </c>
    </row>
    <row r="118" customFormat="false" ht="15" hidden="false" customHeight="true" outlineLevel="0" collapsed="false">
      <c r="A118" s="0" t="s">
        <v>334</v>
      </c>
      <c r="B118" s="0" t="s">
        <v>335</v>
      </c>
      <c r="C118" s="0" t="n">
        <v>92.35</v>
      </c>
      <c r="D118" s="0" t="n">
        <v>65.97</v>
      </c>
      <c r="E118" s="0" t="n">
        <v>65.68</v>
      </c>
      <c r="F118" s="0" t="n">
        <v>65.41</v>
      </c>
      <c r="G118" s="0" t="n">
        <v>65.69</v>
      </c>
      <c r="H118" s="0" t="n">
        <v>63.43</v>
      </c>
      <c r="I118" s="0" t="n">
        <v>63.64</v>
      </c>
      <c r="J118" s="0" t="n">
        <v>64.34</v>
      </c>
      <c r="K118" s="0" t="n">
        <v>65.06</v>
      </c>
      <c r="L118" s="0" t="n">
        <v>63.61</v>
      </c>
      <c r="M118" s="0" t="n">
        <v>62.4</v>
      </c>
      <c r="N118" s="0" t="n">
        <v>64.17</v>
      </c>
      <c r="O118" s="0" t="n">
        <v>64</v>
      </c>
      <c r="P118" s="0" t="n">
        <v>63.63</v>
      </c>
      <c r="Q118" s="0" t="n">
        <v>63.53</v>
      </c>
      <c r="R118" s="0" t="n">
        <v>63.73</v>
      </c>
      <c r="S118" s="0" t="n">
        <v>64.32</v>
      </c>
      <c r="T118" s="0" t="n">
        <v>64.12</v>
      </c>
      <c r="U118" s="0" t="n">
        <v>41.22</v>
      </c>
      <c r="V118" s="0" t="n">
        <v>71.55</v>
      </c>
      <c r="W118" s="0" t="n">
        <v>69.81</v>
      </c>
      <c r="X118" s="0" t="n">
        <v>68.45</v>
      </c>
      <c r="Y118" s="0" t="n">
        <v>68.46</v>
      </c>
      <c r="Z118" s="0" t="n">
        <v>68.75</v>
      </c>
      <c r="AA118" s="0" t="n">
        <v>68.24</v>
      </c>
      <c r="AB118" s="0" t="n">
        <v>67.01</v>
      </c>
      <c r="AC118" s="0" t="n">
        <v>97.83</v>
      </c>
      <c r="AD118" s="0" t="n">
        <v>97.45</v>
      </c>
      <c r="AE118" s="0" t="n">
        <v>97.47</v>
      </c>
      <c r="AF118" s="0" t="n">
        <v>98.16</v>
      </c>
      <c r="AG118" s="0" t="n">
        <v>151.37</v>
      </c>
      <c r="AH118" s="0" t="n">
        <v>62.79</v>
      </c>
      <c r="AI118" s="0" t="n">
        <v>66</v>
      </c>
      <c r="AJ118" s="0" t="n">
        <v>69.29</v>
      </c>
      <c r="AK118" s="0" t="n">
        <v>101.87</v>
      </c>
      <c r="AL118" s="0" t="n">
        <v>98</v>
      </c>
      <c r="AM118" s="0" t="n">
        <v>93.3</v>
      </c>
      <c r="AN118" s="0" t="n">
        <v>198.6</v>
      </c>
    </row>
    <row r="119" customFormat="false" ht="15" hidden="false" customHeight="true" outlineLevel="0" collapsed="false">
      <c r="A119" s="0" t="s">
        <v>336</v>
      </c>
      <c r="B119" s="0" t="s">
        <v>337</v>
      </c>
      <c r="C119" s="0" t="n">
        <v>86.11</v>
      </c>
      <c r="D119" s="0" t="n">
        <v>82.06</v>
      </c>
      <c r="E119" s="0" t="n">
        <v>81.77</v>
      </c>
      <c r="F119" s="0" t="n">
        <v>81.49</v>
      </c>
      <c r="G119" s="0" t="n">
        <v>81.78</v>
      </c>
      <c r="H119" s="0" t="n">
        <v>79.52</v>
      </c>
      <c r="I119" s="0" t="n">
        <v>79.72</v>
      </c>
      <c r="J119" s="0" t="n">
        <v>80.43</v>
      </c>
      <c r="K119" s="0" t="n">
        <v>81.15</v>
      </c>
      <c r="L119" s="0" t="n">
        <v>79.7</v>
      </c>
      <c r="M119" s="0" t="n">
        <v>78.49</v>
      </c>
      <c r="N119" s="0" t="n">
        <v>80.26</v>
      </c>
      <c r="O119" s="0" t="n">
        <v>80.09</v>
      </c>
      <c r="P119" s="0" t="n">
        <v>79.72</v>
      </c>
      <c r="Q119" s="0" t="n">
        <v>79.62</v>
      </c>
      <c r="R119" s="0" t="n">
        <v>79.81</v>
      </c>
      <c r="S119" s="0" t="n">
        <v>80.4</v>
      </c>
      <c r="T119" s="0" t="n">
        <v>57.89</v>
      </c>
      <c r="U119" s="0" t="n">
        <v>34.94</v>
      </c>
      <c r="V119" s="0" t="n">
        <v>22.12</v>
      </c>
      <c r="W119" s="0" t="n">
        <v>20.39</v>
      </c>
      <c r="X119" s="0" t="n">
        <v>19.02</v>
      </c>
      <c r="Y119" s="0" t="n">
        <v>19.04</v>
      </c>
      <c r="Z119" s="0" t="n">
        <v>19.33</v>
      </c>
      <c r="AA119" s="0" t="n">
        <v>18.81</v>
      </c>
      <c r="AB119" s="0" t="n">
        <v>17.59</v>
      </c>
      <c r="AC119" s="0" t="n">
        <v>145.6</v>
      </c>
      <c r="AD119" s="0" t="n">
        <v>145.22</v>
      </c>
      <c r="AE119" s="0" t="n">
        <v>145.25</v>
      </c>
      <c r="AF119" s="0" t="n">
        <v>145.94</v>
      </c>
      <c r="AG119" s="0" t="n">
        <v>167.46</v>
      </c>
      <c r="AH119" s="0" t="n">
        <v>78.87</v>
      </c>
      <c r="AI119" s="0" t="n">
        <v>59.77</v>
      </c>
      <c r="AJ119" s="0" t="n">
        <v>19.87</v>
      </c>
      <c r="AK119" s="0" t="n">
        <v>149.64</v>
      </c>
      <c r="AL119" s="0" t="n">
        <v>145.7</v>
      </c>
      <c r="AM119" s="0" t="n">
        <v>87</v>
      </c>
      <c r="AN119" s="0" t="n">
        <v>192.4</v>
      </c>
    </row>
    <row r="120" customFormat="false" ht="15" hidden="false" customHeight="true" outlineLevel="0" collapsed="false">
      <c r="A120" s="0" t="s">
        <v>338</v>
      </c>
      <c r="B120" s="0" t="s">
        <v>339</v>
      </c>
      <c r="C120" s="0" t="n">
        <v>81.76</v>
      </c>
      <c r="D120" s="0" t="n">
        <v>72.17</v>
      </c>
      <c r="E120" s="0" t="n">
        <v>71.88</v>
      </c>
      <c r="F120" s="0" t="n">
        <v>71.61</v>
      </c>
      <c r="G120" s="0" t="n">
        <v>71.9</v>
      </c>
      <c r="H120" s="0" t="n">
        <v>69.64</v>
      </c>
      <c r="I120" s="0" t="n">
        <v>69.84</v>
      </c>
      <c r="J120" s="0" t="n">
        <v>70.55</v>
      </c>
      <c r="K120" s="0" t="n">
        <v>71.27</v>
      </c>
      <c r="L120" s="0" t="n">
        <v>69.82</v>
      </c>
      <c r="M120" s="0" t="n">
        <v>68.61</v>
      </c>
      <c r="N120" s="0" t="n">
        <v>70.37</v>
      </c>
      <c r="O120" s="0" t="n">
        <v>70.21</v>
      </c>
      <c r="P120" s="0" t="n">
        <v>69.84</v>
      </c>
      <c r="Q120" s="0" t="n">
        <v>69.74</v>
      </c>
      <c r="R120" s="0" t="n">
        <v>69.93</v>
      </c>
      <c r="S120" s="0" t="n">
        <v>70.52</v>
      </c>
      <c r="T120" s="0" t="n">
        <v>53.54</v>
      </c>
      <c r="U120" s="0" t="n">
        <v>19.93</v>
      </c>
      <c r="V120" s="0" t="n">
        <v>24.82</v>
      </c>
      <c r="W120" s="0" t="n">
        <v>24.47</v>
      </c>
      <c r="X120" s="0" t="n">
        <v>23.47</v>
      </c>
      <c r="Y120" s="0" t="n">
        <v>23.92</v>
      </c>
      <c r="Z120" s="0" t="n">
        <v>24.56</v>
      </c>
      <c r="AA120" s="0" t="n">
        <v>22.87</v>
      </c>
      <c r="AB120" s="0" t="n">
        <v>23.71</v>
      </c>
      <c r="AC120" s="0" t="n">
        <v>132.8</v>
      </c>
      <c r="AD120" s="0" t="n">
        <v>132.43</v>
      </c>
      <c r="AE120" s="0" t="n">
        <v>132.45</v>
      </c>
      <c r="AF120" s="0" t="n">
        <v>133.14</v>
      </c>
      <c r="AG120" s="0" t="n">
        <v>157.58</v>
      </c>
      <c r="AH120" s="0" t="n">
        <v>68.99</v>
      </c>
      <c r="AI120" s="0" t="n">
        <v>55.41</v>
      </c>
      <c r="AJ120" s="0" t="n">
        <v>23.67</v>
      </c>
      <c r="AK120" s="0" t="n">
        <v>136.84</v>
      </c>
      <c r="AL120" s="0" t="n">
        <v>132.9</v>
      </c>
      <c r="AM120" s="0" t="n">
        <v>82.7</v>
      </c>
      <c r="AN120" s="0" t="n">
        <v>188</v>
      </c>
    </row>
    <row r="121" customFormat="false" ht="15" hidden="false" customHeight="true" outlineLevel="0" collapsed="false">
      <c r="A121" s="0" t="s">
        <v>340</v>
      </c>
      <c r="B121" s="0" t="s">
        <v>341</v>
      </c>
      <c r="C121" s="0" t="n">
        <v>74.2</v>
      </c>
      <c r="D121" s="0" t="n">
        <v>77.78</v>
      </c>
      <c r="E121" s="0" t="n">
        <v>77.49</v>
      </c>
      <c r="F121" s="0" t="n">
        <v>77.22</v>
      </c>
      <c r="G121" s="0" t="n">
        <v>77.51</v>
      </c>
      <c r="H121" s="0" t="n">
        <v>75.25</v>
      </c>
      <c r="I121" s="0" t="n">
        <v>75.45</v>
      </c>
      <c r="J121" s="0" t="n">
        <v>76.16</v>
      </c>
      <c r="K121" s="0" t="n">
        <v>76.87</v>
      </c>
      <c r="L121" s="0" t="n">
        <v>75.43</v>
      </c>
      <c r="M121" s="0" t="n">
        <v>74.22</v>
      </c>
      <c r="N121" s="0" t="n">
        <v>75.98</v>
      </c>
      <c r="O121" s="0" t="n">
        <v>75.82</v>
      </c>
      <c r="P121" s="0" t="n">
        <v>75.45</v>
      </c>
      <c r="Q121" s="0" t="n">
        <v>75.34</v>
      </c>
      <c r="R121" s="0" t="n">
        <v>75.54</v>
      </c>
      <c r="S121" s="0" t="n">
        <v>76.13</v>
      </c>
      <c r="T121" s="0" t="n">
        <v>45.97</v>
      </c>
      <c r="U121" s="0" t="n">
        <v>25.54</v>
      </c>
      <c r="V121" s="0" t="n">
        <v>13.25</v>
      </c>
      <c r="W121" s="0" t="n">
        <v>12.9</v>
      </c>
      <c r="X121" s="0" t="n">
        <v>11.9</v>
      </c>
      <c r="Y121" s="0" t="n">
        <v>12.35</v>
      </c>
      <c r="Z121" s="0" t="n">
        <v>12.99</v>
      </c>
      <c r="AA121" s="0" t="n">
        <v>11.3</v>
      </c>
      <c r="AB121" s="0" t="n">
        <v>12.14</v>
      </c>
      <c r="AC121" s="0" t="n">
        <v>138.41</v>
      </c>
      <c r="AD121" s="0" t="n">
        <v>138.03</v>
      </c>
      <c r="AE121" s="0" t="n">
        <v>138.06</v>
      </c>
      <c r="AF121" s="0" t="n">
        <v>138.75</v>
      </c>
      <c r="AG121" s="0" t="n">
        <v>157.16</v>
      </c>
      <c r="AH121" s="0" t="n">
        <v>74.6</v>
      </c>
      <c r="AI121" s="0" t="n">
        <v>47.85</v>
      </c>
      <c r="AJ121" s="0" t="n">
        <v>12.1</v>
      </c>
      <c r="AK121" s="0" t="n">
        <v>142.45</v>
      </c>
      <c r="AL121" s="0" t="n">
        <v>141.1</v>
      </c>
      <c r="AM121" s="0" t="n">
        <v>75.1</v>
      </c>
      <c r="AN121" s="0" t="n">
        <v>180.5</v>
      </c>
    </row>
    <row r="122" customFormat="false" ht="15" hidden="false" customHeight="true" outlineLevel="0" collapsed="false">
      <c r="A122" s="0" t="s">
        <v>342</v>
      </c>
      <c r="B122" s="0" t="s">
        <v>343</v>
      </c>
      <c r="C122" s="0" t="n">
        <v>71.07</v>
      </c>
      <c r="D122" s="0" t="n">
        <v>77.36</v>
      </c>
      <c r="E122" s="0" t="n">
        <v>78.75</v>
      </c>
      <c r="F122" s="0" t="n">
        <v>78.48</v>
      </c>
      <c r="G122" s="0" t="n">
        <v>79.23</v>
      </c>
      <c r="H122" s="0" t="n">
        <v>76.51</v>
      </c>
      <c r="I122" s="0" t="n">
        <v>77.18</v>
      </c>
      <c r="J122" s="0" t="n">
        <v>77.88</v>
      </c>
      <c r="K122" s="0" t="n">
        <v>78.6</v>
      </c>
      <c r="L122" s="0" t="n">
        <v>77.16</v>
      </c>
      <c r="M122" s="0" t="n">
        <v>75.94</v>
      </c>
      <c r="N122" s="0" t="n">
        <v>77.71</v>
      </c>
      <c r="O122" s="0" t="n">
        <v>77.54</v>
      </c>
      <c r="P122" s="0" t="n">
        <v>77.17</v>
      </c>
      <c r="Q122" s="0" t="n">
        <v>77.07</v>
      </c>
      <c r="R122" s="0" t="n">
        <v>77.27</v>
      </c>
      <c r="S122" s="0" t="n">
        <v>77.86</v>
      </c>
      <c r="T122" s="0" t="n">
        <v>42.84</v>
      </c>
      <c r="U122" s="0" t="n">
        <v>27.27</v>
      </c>
      <c r="V122" s="0" t="n">
        <v>18.11</v>
      </c>
      <c r="W122" s="0" t="n">
        <v>20.78</v>
      </c>
      <c r="X122" s="0" t="n">
        <v>20.13</v>
      </c>
      <c r="Y122" s="0" t="n">
        <v>20.58</v>
      </c>
      <c r="Z122" s="0" t="n">
        <v>21.2</v>
      </c>
      <c r="AA122" s="0" t="n">
        <v>21.89</v>
      </c>
      <c r="AB122" s="0" t="n">
        <v>22.73</v>
      </c>
      <c r="AC122" s="0" t="n">
        <v>140.14</v>
      </c>
      <c r="AD122" s="0" t="n">
        <v>139.76</v>
      </c>
      <c r="AE122" s="0" t="n">
        <v>139.79</v>
      </c>
      <c r="AF122" s="0" t="n">
        <v>140.48</v>
      </c>
      <c r="AG122" s="0" t="n">
        <v>154.03</v>
      </c>
      <c r="AH122" s="0" t="n">
        <v>76.33</v>
      </c>
      <c r="AI122" s="0" t="n">
        <v>44.72</v>
      </c>
      <c r="AJ122" s="0" t="n">
        <v>20.33</v>
      </c>
      <c r="AK122" s="0" t="n">
        <v>144.18</v>
      </c>
      <c r="AL122" s="0" t="n">
        <v>140.3</v>
      </c>
      <c r="AM122" s="0" t="n">
        <v>72</v>
      </c>
      <c r="AN122" s="0" t="n">
        <v>177.4</v>
      </c>
    </row>
    <row r="123" customFormat="false" ht="15" hidden="false" customHeight="true" outlineLevel="0" collapsed="false">
      <c r="A123" s="0" t="s">
        <v>344</v>
      </c>
      <c r="B123" s="0" t="s">
        <v>345</v>
      </c>
      <c r="C123" s="0" t="n">
        <v>74.31</v>
      </c>
      <c r="D123" s="0" t="n">
        <v>82.3</v>
      </c>
      <c r="E123" s="0" t="n">
        <v>83.7</v>
      </c>
      <c r="F123" s="0" t="n">
        <v>83.43</v>
      </c>
      <c r="G123" s="0" t="n">
        <v>84.34</v>
      </c>
      <c r="H123" s="0" t="n">
        <v>81.45</v>
      </c>
      <c r="I123" s="0" t="n">
        <v>83.31</v>
      </c>
      <c r="J123" s="0" t="n">
        <v>83.85</v>
      </c>
      <c r="K123" s="0" t="n">
        <v>84.04</v>
      </c>
      <c r="L123" s="0" t="n">
        <v>83.29</v>
      </c>
      <c r="M123" s="0" t="n">
        <v>82.19</v>
      </c>
      <c r="N123" s="0" t="n">
        <v>83.4</v>
      </c>
      <c r="O123" s="0" t="n">
        <v>83.68</v>
      </c>
      <c r="P123" s="0" t="n">
        <v>83.77</v>
      </c>
      <c r="Q123" s="0" t="n">
        <v>84.11</v>
      </c>
      <c r="R123" s="0" t="n">
        <v>84.23</v>
      </c>
      <c r="S123" s="0" t="n">
        <v>84.52</v>
      </c>
      <c r="T123" s="0" t="n">
        <v>47.78</v>
      </c>
      <c r="U123" s="0" t="n">
        <v>59.68</v>
      </c>
      <c r="V123" s="0" t="n">
        <v>33.4</v>
      </c>
      <c r="W123" s="0" t="n">
        <v>34.14</v>
      </c>
      <c r="X123" s="0" t="n">
        <v>34.51</v>
      </c>
      <c r="Y123" s="0" t="n">
        <v>34.52</v>
      </c>
      <c r="Z123" s="0" t="n">
        <v>34.78</v>
      </c>
      <c r="AA123" s="0" t="n">
        <v>36.27</v>
      </c>
      <c r="AB123" s="0" t="n">
        <v>36.99</v>
      </c>
      <c r="AC123" s="0" t="n">
        <v>172</v>
      </c>
      <c r="AD123" s="0" t="n">
        <v>171.62</v>
      </c>
      <c r="AE123" s="0" t="n">
        <v>171.65</v>
      </c>
      <c r="AF123" s="0" t="n">
        <v>172.34</v>
      </c>
      <c r="AG123" s="0" t="n">
        <v>157.28</v>
      </c>
      <c r="AH123" s="0" t="n">
        <v>85.29</v>
      </c>
      <c r="AI123" s="0" t="n">
        <v>47.96</v>
      </c>
      <c r="AJ123" s="0" t="n">
        <v>35.36</v>
      </c>
      <c r="AK123" s="0" t="n">
        <v>176.04</v>
      </c>
      <c r="AL123" s="0" t="n">
        <v>172.1</v>
      </c>
      <c r="AM123" s="0" t="n">
        <v>75.2</v>
      </c>
      <c r="AN123" s="0" t="n">
        <v>165.3</v>
      </c>
    </row>
    <row r="124" customFormat="false" ht="15" hidden="false" customHeight="true" outlineLevel="0" collapsed="false">
      <c r="A124" s="0" t="s">
        <v>346</v>
      </c>
      <c r="B124" s="0" t="s">
        <v>347</v>
      </c>
      <c r="C124" s="0" t="n">
        <v>66.2</v>
      </c>
      <c r="D124" s="0" t="n">
        <v>72.5</v>
      </c>
      <c r="E124" s="0" t="n">
        <v>73.89</v>
      </c>
      <c r="F124" s="0" t="n">
        <v>73.62</v>
      </c>
      <c r="G124" s="0" t="n">
        <v>74.53</v>
      </c>
      <c r="H124" s="0" t="n">
        <v>71.65</v>
      </c>
      <c r="I124" s="0" t="n">
        <v>73.51</v>
      </c>
      <c r="J124" s="0" t="n">
        <v>74.04</v>
      </c>
      <c r="K124" s="0" t="n">
        <v>74.23</v>
      </c>
      <c r="L124" s="0" t="n">
        <v>73.49</v>
      </c>
      <c r="M124" s="0" t="n">
        <v>72.39</v>
      </c>
      <c r="N124" s="0" t="n">
        <v>73.59</v>
      </c>
      <c r="O124" s="0" t="n">
        <v>73.87</v>
      </c>
      <c r="P124" s="0" t="n">
        <v>73.97</v>
      </c>
      <c r="Q124" s="0" t="n">
        <v>74.3</v>
      </c>
      <c r="R124" s="0" t="n">
        <v>74.43</v>
      </c>
      <c r="S124" s="0" t="n">
        <v>74.71</v>
      </c>
      <c r="T124" s="0" t="n">
        <v>37.98</v>
      </c>
      <c r="U124" s="0" t="n">
        <v>45.52</v>
      </c>
      <c r="V124" s="0" t="n">
        <v>27.54</v>
      </c>
      <c r="W124" s="0" t="n">
        <v>29.7</v>
      </c>
      <c r="X124" s="0" t="n">
        <v>29.81</v>
      </c>
      <c r="Y124" s="0" t="n">
        <v>29.83</v>
      </c>
      <c r="Z124" s="0" t="n">
        <v>30.12</v>
      </c>
      <c r="AA124" s="0" t="n">
        <v>31.57</v>
      </c>
      <c r="AB124" s="0" t="n">
        <v>32.3</v>
      </c>
      <c r="AC124" s="0" t="n">
        <v>158.4</v>
      </c>
      <c r="AD124" s="0" t="n">
        <v>158.02</v>
      </c>
      <c r="AE124" s="0" t="n">
        <v>158.04</v>
      </c>
      <c r="AF124" s="0" t="n">
        <v>158.73</v>
      </c>
      <c r="AG124" s="0" t="n">
        <v>149.17</v>
      </c>
      <c r="AH124" s="0" t="n">
        <v>75.49</v>
      </c>
      <c r="AI124" s="0" t="n">
        <v>39.86</v>
      </c>
      <c r="AJ124" s="0" t="n">
        <v>30.66</v>
      </c>
      <c r="AK124" s="0" t="n">
        <v>162.44</v>
      </c>
      <c r="AL124" s="0" t="n">
        <v>158.5</v>
      </c>
      <c r="AM124" s="0" t="n">
        <v>67.1</v>
      </c>
      <c r="AN124" s="0" t="n">
        <v>172.5</v>
      </c>
    </row>
    <row r="125" customFormat="false" ht="15" hidden="false" customHeight="true" outlineLevel="0" collapsed="false">
      <c r="A125" s="0" t="s">
        <v>348</v>
      </c>
      <c r="B125" s="0" t="s">
        <v>349</v>
      </c>
      <c r="C125" s="0" t="n">
        <v>74.71</v>
      </c>
      <c r="D125" s="0" t="n">
        <v>81.01</v>
      </c>
      <c r="E125" s="0" t="n">
        <v>82.4</v>
      </c>
      <c r="F125" s="0" t="n">
        <v>82.13</v>
      </c>
      <c r="G125" s="0" t="n">
        <v>83.04</v>
      </c>
      <c r="H125" s="0" t="n">
        <v>80.15</v>
      </c>
      <c r="I125" s="0" t="n">
        <v>82.02</v>
      </c>
      <c r="J125" s="0" t="n">
        <v>82.55</v>
      </c>
      <c r="K125" s="0" t="n">
        <v>82.74</v>
      </c>
      <c r="L125" s="0" t="n">
        <v>81.99</v>
      </c>
      <c r="M125" s="0" t="n">
        <v>80.9</v>
      </c>
      <c r="N125" s="0" t="n">
        <v>82.1</v>
      </c>
      <c r="O125" s="0" t="n">
        <v>82.38</v>
      </c>
      <c r="P125" s="0" t="n">
        <v>82.47</v>
      </c>
      <c r="Q125" s="0" t="n">
        <v>82.81</v>
      </c>
      <c r="R125" s="0" t="n">
        <v>82.94</v>
      </c>
      <c r="S125" s="0" t="n">
        <v>83.22</v>
      </c>
      <c r="T125" s="0" t="n">
        <v>46.49</v>
      </c>
      <c r="U125" s="0" t="n">
        <v>42.23</v>
      </c>
      <c r="V125" s="0" t="n">
        <v>13.01</v>
      </c>
      <c r="W125" s="0" t="n">
        <v>12.32</v>
      </c>
      <c r="X125" s="0" t="n">
        <v>12.96</v>
      </c>
      <c r="Y125" s="0" t="n">
        <v>12.97</v>
      </c>
      <c r="Z125" s="0" t="n">
        <v>12.86</v>
      </c>
      <c r="AA125" s="0" t="n">
        <v>14.04</v>
      </c>
      <c r="AB125" s="0" t="n">
        <v>14.76</v>
      </c>
      <c r="AC125" s="0" t="n">
        <v>149.77</v>
      </c>
      <c r="AD125" s="0" t="n">
        <v>149.39</v>
      </c>
      <c r="AE125" s="0" t="n">
        <v>149.42</v>
      </c>
      <c r="AF125" s="0" t="n">
        <v>150.11</v>
      </c>
      <c r="AG125" s="0" t="n">
        <v>157.68</v>
      </c>
      <c r="AH125" s="0" t="n">
        <v>83.04</v>
      </c>
      <c r="AI125" s="0" t="n">
        <v>48.36</v>
      </c>
      <c r="AJ125" s="0" t="n">
        <v>13.81</v>
      </c>
      <c r="AK125" s="0" t="n">
        <v>153.81</v>
      </c>
      <c r="AL125" s="0" t="n">
        <v>150</v>
      </c>
      <c r="AM125" s="0" t="n">
        <v>74.7</v>
      </c>
      <c r="AN125" s="0" t="n">
        <v>180.1</v>
      </c>
    </row>
    <row r="126" customFormat="false" ht="15" hidden="false" customHeight="true" outlineLevel="0" collapsed="false">
      <c r="A126" s="0" t="s">
        <v>350</v>
      </c>
      <c r="B126" s="0" t="s">
        <v>351</v>
      </c>
      <c r="C126" s="0" t="n">
        <v>59.99</v>
      </c>
      <c r="D126" s="0" t="n">
        <v>66.29</v>
      </c>
      <c r="E126" s="0" t="n">
        <v>67.68</v>
      </c>
      <c r="F126" s="0" t="n">
        <v>67.41</v>
      </c>
      <c r="G126" s="0" t="n">
        <v>68.32</v>
      </c>
      <c r="H126" s="0" t="n">
        <v>65.44</v>
      </c>
      <c r="I126" s="0" t="n">
        <v>67.3</v>
      </c>
      <c r="J126" s="0" t="n">
        <v>67.83</v>
      </c>
      <c r="K126" s="0" t="n">
        <v>68.02</v>
      </c>
      <c r="L126" s="0" t="n">
        <v>67.28</v>
      </c>
      <c r="M126" s="0" t="n">
        <v>66.18</v>
      </c>
      <c r="N126" s="0" t="n">
        <v>67.38</v>
      </c>
      <c r="O126" s="0" t="n">
        <v>67.66</v>
      </c>
      <c r="P126" s="0" t="n">
        <v>67.76</v>
      </c>
      <c r="Q126" s="0" t="n">
        <v>68.09</v>
      </c>
      <c r="R126" s="0" t="n">
        <v>68.22</v>
      </c>
      <c r="S126" s="0" t="n">
        <v>68.5</v>
      </c>
      <c r="T126" s="0" t="n">
        <v>31.77</v>
      </c>
      <c r="U126" s="0" t="n">
        <v>30.34</v>
      </c>
      <c r="V126" s="0" t="n">
        <v>33.62</v>
      </c>
      <c r="W126" s="0" t="n">
        <v>35.78</v>
      </c>
      <c r="X126" s="0" t="n">
        <v>35.89</v>
      </c>
      <c r="Y126" s="0" t="n">
        <v>35.91</v>
      </c>
      <c r="Z126" s="0" t="n">
        <v>36.2</v>
      </c>
      <c r="AA126" s="0" t="n">
        <v>37.65</v>
      </c>
      <c r="AB126" s="0" t="n">
        <v>38.38</v>
      </c>
      <c r="AC126" s="0" t="n">
        <v>143.21</v>
      </c>
      <c r="AD126" s="0" t="n">
        <v>142.83</v>
      </c>
      <c r="AE126" s="0" t="n">
        <v>142.86</v>
      </c>
      <c r="AF126" s="0" t="n">
        <v>143.55</v>
      </c>
      <c r="AG126" s="0" t="n">
        <v>142.96</v>
      </c>
      <c r="AH126" s="0" t="n">
        <v>69.28</v>
      </c>
      <c r="AI126" s="0" t="n">
        <v>33.65</v>
      </c>
      <c r="AJ126" s="0" t="n">
        <v>36.74</v>
      </c>
      <c r="AK126" s="0" t="n">
        <v>147.25</v>
      </c>
      <c r="AL126" s="0" t="n">
        <v>143.3</v>
      </c>
      <c r="AM126" s="0" t="n">
        <v>60.9</v>
      </c>
      <c r="AN126" s="0" t="n">
        <v>166.3</v>
      </c>
    </row>
    <row r="127" customFormat="false" ht="15" hidden="false" customHeight="true" outlineLevel="0" collapsed="false">
      <c r="A127" s="0" t="s">
        <v>352</v>
      </c>
      <c r="B127" s="0" t="s">
        <v>353</v>
      </c>
      <c r="C127" s="0" t="n">
        <v>101.97</v>
      </c>
      <c r="D127" s="0" t="n">
        <v>80.4</v>
      </c>
      <c r="E127" s="0" t="n">
        <v>80.11</v>
      </c>
      <c r="F127" s="0" t="n">
        <v>79.84</v>
      </c>
      <c r="G127" s="0" t="n">
        <v>80.13</v>
      </c>
      <c r="H127" s="0" t="n">
        <v>77.87</v>
      </c>
      <c r="I127" s="0" t="n">
        <v>78.07</v>
      </c>
      <c r="J127" s="0" t="n">
        <v>78.78</v>
      </c>
      <c r="K127" s="0" t="n">
        <v>79.5</v>
      </c>
      <c r="L127" s="0" t="n">
        <v>78.05</v>
      </c>
      <c r="M127" s="0" t="n">
        <v>76.84</v>
      </c>
      <c r="N127" s="0" t="n">
        <v>78.6</v>
      </c>
      <c r="O127" s="0" t="n">
        <v>78.44</v>
      </c>
      <c r="P127" s="0" t="n">
        <v>78.07</v>
      </c>
      <c r="Q127" s="0" t="n">
        <v>77.97</v>
      </c>
      <c r="R127" s="0" t="n">
        <v>78.16</v>
      </c>
      <c r="S127" s="0" t="n">
        <v>78.75</v>
      </c>
      <c r="T127" s="0" t="n">
        <v>73.74</v>
      </c>
      <c r="U127" s="0" t="n">
        <v>33.44</v>
      </c>
      <c r="V127" s="0" t="n">
        <v>47.64</v>
      </c>
      <c r="W127" s="0" t="n">
        <v>47.28</v>
      </c>
      <c r="X127" s="0" t="n">
        <v>46.29</v>
      </c>
      <c r="Y127" s="0" t="n">
        <v>46.74</v>
      </c>
      <c r="Z127" s="0" t="n">
        <v>47.38</v>
      </c>
      <c r="AA127" s="0" t="n">
        <v>45.69</v>
      </c>
      <c r="AB127" s="0" t="n">
        <v>46.52</v>
      </c>
      <c r="AC127" s="0" t="n">
        <v>143.95</v>
      </c>
      <c r="AD127" s="0" t="n">
        <v>143.57</v>
      </c>
      <c r="AE127" s="0" t="n">
        <v>143.59</v>
      </c>
      <c r="AF127" s="0" t="n">
        <v>144.28</v>
      </c>
      <c r="AG127" s="0" t="n">
        <v>165.81</v>
      </c>
      <c r="AH127" s="0" t="n">
        <v>77.22</v>
      </c>
      <c r="AI127" s="0" t="n">
        <v>75.62</v>
      </c>
      <c r="AJ127" s="0" t="n">
        <v>46.49</v>
      </c>
      <c r="AK127" s="0" t="n">
        <v>147.99</v>
      </c>
      <c r="AL127" s="0" t="n">
        <v>144.1</v>
      </c>
      <c r="AM127" s="0" t="n">
        <v>102.9</v>
      </c>
      <c r="AN127" s="0" t="n">
        <v>208.3</v>
      </c>
    </row>
    <row r="128" customFormat="false" ht="15" hidden="false" customHeight="true" outlineLevel="0" collapsed="false">
      <c r="A128" s="0" t="s">
        <v>354</v>
      </c>
      <c r="B128" s="0" t="s">
        <v>355</v>
      </c>
      <c r="C128" s="0" t="n">
        <v>107.14</v>
      </c>
      <c r="D128" s="0" t="n">
        <v>85.58</v>
      </c>
      <c r="E128" s="0" t="n">
        <v>85.29</v>
      </c>
      <c r="F128" s="0" t="n">
        <v>85.02</v>
      </c>
      <c r="G128" s="0" t="n">
        <v>85.3</v>
      </c>
      <c r="H128" s="0" t="n">
        <v>83.04</v>
      </c>
      <c r="I128" s="0" t="n">
        <v>83.24</v>
      </c>
      <c r="J128" s="0" t="n">
        <v>83.95</v>
      </c>
      <c r="K128" s="0" t="n">
        <v>84.67</v>
      </c>
      <c r="L128" s="0" t="n">
        <v>83.22</v>
      </c>
      <c r="M128" s="0" t="n">
        <v>82.01</v>
      </c>
      <c r="N128" s="0" t="n">
        <v>83.78</v>
      </c>
      <c r="O128" s="0" t="n">
        <v>83.61</v>
      </c>
      <c r="P128" s="0" t="n">
        <v>83.24</v>
      </c>
      <c r="Q128" s="0" t="n">
        <v>83.14</v>
      </c>
      <c r="R128" s="0" t="n">
        <v>83.33</v>
      </c>
      <c r="S128" s="0" t="n">
        <v>83.93</v>
      </c>
      <c r="T128" s="0" t="n">
        <v>78.91</v>
      </c>
      <c r="U128" s="0" t="n">
        <v>38.61</v>
      </c>
      <c r="V128" s="0" t="n">
        <v>52.81</v>
      </c>
      <c r="W128" s="0" t="n">
        <v>52.06</v>
      </c>
      <c r="X128" s="0" t="n">
        <v>50.7</v>
      </c>
      <c r="Y128" s="0" t="n">
        <v>50.72</v>
      </c>
      <c r="Z128" s="0" t="n">
        <v>51.01</v>
      </c>
      <c r="AA128" s="0" t="n">
        <v>50.49</v>
      </c>
      <c r="AB128" s="0" t="n">
        <v>49.26</v>
      </c>
      <c r="AC128" s="0" t="n">
        <v>144.01</v>
      </c>
      <c r="AD128" s="0" t="n">
        <v>143.63</v>
      </c>
      <c r="AE128" s="0" t="n">
        <v>143.66</v>
      </c>
      <c r="AF128" s="0" t="n">
        <v>144.35</v>
      </c>
      <c r="AG128" s="0" t="n">
        <v>170.98</v>
      </c>
      <c r="AH128" s="0" t="n">
        <v>82.39</v>
      </c>
      <c r="AI128" s="0" t="n">
        <v>80.79</v>
      </c>
      <c r="AJ128" s="0" t="n">
        <v>51.55</v>
      </c>
      <c r="AK128" s="0" t="n">
        <v>148.05</v>
      </c>
      <c r="AL128" s="0" t="n">
        <v>144.1</v>
      </c>
      <c r="AM128" s="0" t="n">
        <v>108</v>
      </c>
      <c r="AN128" s="0" t="n">
        <v>213.4</v>
      </c>
    </row>
    <row r="129" customFormat="false" ht="15" hidden="false" customHeight="true" outlineLevel="0" collapsed="false">
      <c r="A129" s="0" t="s">
        <v>356</v>
      </c>
      <c r="B129" s="0" t="s">
        <v>357</v>
      </c>
      <c r="C129" s="0" t="n">
        <v>110.7</v>
      </c>
      <c r="D129" s="0" t="n">
        <v>104.35</v>
      </c>
      <c r="E129" s="0" t="n">
        <v>104.06</v>
      </c>
      <c r="F129" s="0" t="n">
        <v>103.79</v>
      </c>
      <c r="G129" s="0" t="n">
        <v>104.08</v>
      </c>
      <c r="H129" s="0" t="n">
        <v>101.81</v>
      </c>
      <c r="I129" s="0" t="n">
        <v>102.02</v>
      </c>
      <c r="J129" s="0" t="n">
        <v>102.72</v>
      </c>
      <c r="K129" s="0" t="n">
        <v>103.44</v>
      </c>
      <c r="L129" s="0" t="n">
        <v>102</v>
      </c>
      <c r="M129" s="0" t="n">
        <v>100.78</v>
      </c>
      <c r="N129" s="0" t="n">
        <v>102.55</v>
      </c>
      <c r="O129" s="0" t="n">
        <v>102.38</v>
      </c>
      <c r="P129" s="0" t="n">
        <v>102.02</v>
      </c>
      <c r="Q129" s="0" t="n">
        <v>101.91</v>
      </c>
      <c r="R129" s="0" t="n">
        <v>102.11</v>
      </c>
      <c r="S129" s="0" t="n">
        <v>102.7</v>
      </c>
      <c r="T129" s="0" t="n">
        <v>82.47</v>
      </c>
      <c r="U129" s="0" t="n">
        <v>57.39</v>
      </c>
      <c r="V129" s="0" t="n">
        <v>46.71</v>
      </c>
      <c r="W129" s="0" t="n">
        <v>44.97</v>
      </c>
      <c r="X129" s="0" t="n">
        <v>43.61</v>
      </c>
      <c r="Y129" s="0" t="n">
        <v>43.62</v>
      </c>
      <c r="Z129" s="0" t="n">
        <v>43.91</v>
      </c>
      <c r="AA129" s="0" t="n">
        <v>43.4</v>
      </c>
      <c r="AB129" s="0" t="n">
        <v>42.17</v>
      </c>
      <c r="AC129" s="0" t="n">
        <v>160.03</v>
      </c>
      <c r="AD129" s="0" t="n">
        <v>159.65</v>
      </c>
      <c r="AE129" s="0" t="n">
        <v>159.68</v>
      </c>
      <c r="AF129" s="0" t="n">
        <v>160.37</v>
      </c>
      <c r="AG129" s="0" t="n">
        <v>189.76</v>
      </c>
      <c r="AH129" s="0" t="n">
        <v>101.17</v>
      </c>
      <c r="AI129" s="0" t="n">
        <v>84.35</v>
      </c>
      <c r="AJ129" s="0" t="n">
        <v>44.45</v>
      </c>
      <c r="AK129" s="0" t="n">
        <v>164.07</v>
      </c>
      <c r="AL129" s="0" t="n">
        <v>160.2</v>
      </c>
      <c r="AM129" s="0" t="n">
        <v>111.6</v>
      </c>
      <c r="AN129" s="0" t="n">
        <v>217</v>
      </c>
    </row>
    <row r="130" customFormat="false" ht="15" hidden="false" customHeight="true" outlineLevel="0" collapsed="false">
      <c r="A130" s="0" t="s">
        <v>358</v>
      </c>
      <c r="B130" s="0" t="s">
        <v>359</v>
      </c>
      <c r="C130" s="0" t="n">
        <v>102.74</v>
      </c>
      <c r="D130" s="0" t="n">
        <v>81.17</v>
      </c>
      <c r="E130" s="0" t="n">
        <v>80.89</v>
      </c>
      <c r="F130" s="0" t="n">
        <v>80.61</v>
      </c>
      <c r="G130" s="0" t="n">
        <v>80.9</v>
      </c>
      <c r="H130" s="0" t="n">
        <v>78.64</v>
      </c>
      <c r="I130" s="0" t="n">
        <v>78.84</v>
      </c>
      <c r="J130" s="0" t="n">
        <v>79.55</v>
      </c>
      <c r="K130" s="0" t="n">
        <v>80.27</v>
      </c>
      <c r="L130" s="0" t="n">
        <v>78.82</v>
      </c>
      <c r="M130" s="0" t="n">
        <v>77.61</v>
      </c>
      <c r="N130" s="0" t="n">
        <v>79.37</v>
      </c>
      <c r="O130" s="0" t="n">
        <v>79.21</v>
      </c>
      <c r="P130" s="0" t="n">
        <v>78.84</v>
      </c>
      <c r="Q130" s="0" t="n">
        <v>78.74</v>
      </c>
      <c r="R130" s="0" t="n">
        <v>78.93</v>
      </c>
      <c r="S130" s="0" t="n">
        <v>79.52</v>
      </c>
      <c r="T130" s="0" t="n">
        <v>74.51</v>
      </c>
      <c r="U130" s="0" t="n">
        <v>34.21</v>
      </c>
      <c r="V130" s="0" t="n">
        <v>45.47</v>
      </c>
      <c r="W130" s="0" t="n">
        <v>43.73</v>
      </c>
      <c r="X130" s="0" t="n">
        <v>42.36</v>
      </c>
      <c r="Y130" s="0" t="n">
        <v>42.38</v>
      </c>
      <c r="Z130" s="0" t="n">
        <v>42.67</v>
      </c>
      <c r="AA130" s="0" t="n">
        <v>42.15</v>
      </c>
      <c r="AB130" s="0" t="n">
        <v>40.93</v>
      </c>
      <c r="AC130" s="0" t="n">
        <v>144.72</v>
      </c>
      <c r="AD130" s="0" t="n">
        <v>144.34</v>
      </c>
      <c r="AE130" s="0" t="n">
        <v>144.37</v>
      </c>
      <c r="AF130" s="0" t="n">
        <v>145.06</v>
      </c>
      <c r="AG130" s="0" t="n">
        <v>166.58</v>
      </c>
      <c r="AH130" s="0" t="n">
        <v>77.99</v>
      </c>
      <c r="AI130" s="0" t="n">
        <v>76.39</v>
      </c>
      <c r="AJ130" s="0" t="n">
        <v>43.21</v>
      </c>
      <c r="AK130" s="0" t="n">
        <v>148.76</v>
      </c>
      <c r="AL130" s="0" t="n">
        <v>144.8</v>
      </c>
      <c r="AM130" s="0" t="n">
        <v>103.6</v>
      </c>
      <c r="AN130" s="0" t="n">
        <v>209</v>
      </c>
    </row>
    <row r="131" customFormat="false" ht="15" hidden="false" customHeight="true" outlineLevel="0" collapsed="false">
      <c r="A131" s="0" t="s">
        <v>360</v>
      </c>
      <c r="B131" s="0" t="s">
        <v>361</v>
      </c>
      <c r="C131" s="0" t="n">
        <v>72</v>
      </c>
      <c r="D131" s="0" t="n">
        <v>69.17</v>
      </c>
      <c r="E131" s="0" t="n">
        <v>68.88</v>
      </c>
      <c r="F131" s="0" t="n">
        <v>68.61</v>
      </c>
      <c r="G131" s="0" t="n">
        <v>68.9</v>
      </c>
      <c r="H131" s="0" t="n">
        <v>66.63</v>
      </c>
      <c r="I131" s="0" t="n">
        <v>66.84</v>
      </c>
      <c r="J131" s="0" t="n">
        <v>67.54</v>
      </c>
      <c r="K131" s="0" t="n">
        <v>68.26</v>
      </c>
      <c r="L131" s="0" t="n">
        <v>66.82</v>
      </c>
      <c r="M131" s="0" t="n">
        <v>65.6</v>
      </c>
      <c r="N131" s="0" t="n">
        <v>67.37</v>
      </c>
      <c r="O131" s="0" t="n">
        <v>67.2</v>
      </c>
      <c r="P131" s="0" t="n">
        <v>66.84</v>
      </c>
      <c r="Q131" s="0" t="n">
        <v>66.73</v>
      </c>
      <c r="R131" s="0" t="n">
        <v>66.93</v>
      </c>
      <c r="S131" s="0" t="n">
        <v>67.52</v>
      </c>
      <c r="T131" s="0" t="n">
        <v>43.78</v>
      </c>
      <c r="U131" s="0" t="n">
        <v>16.93</v>
      </c>
      <c r="V131" s="0" t="n">
        <v>45.82</v>
      </c>
      <c r="W131" s="0" t="n">
        <v>45.46</v>
      </c>
      <c r="X131" s="0" t="n">
        <v>44.47</v>
      </c>
      <c r="Y131" s="0" t="n">
        <v>44.91</v>
      </c>
      <c r="Z131" s="0" t="n">
        <v>45.55</v>
      </c>
      <c r="AA131" s="0" t="n">
        <v>43.86</v>
      </c>
      <c r="AB131" s="0" t="n">
        <v>44.7</v>
      </c>
      <c r="AC131" s="0" t="n">
        <v>129.8</v>
      </c>
      <c r="AD131" s="0" t="n">
        <v>129.42</v>
      </c>
      <c r="AE131" s="0" t="n">
        <v>129.45</v>
      </c>
      <c r="AF131" s="0" t="n">
        <v>130.14</v>
      </c>
      <c r="AG131" s="0" t="n">
        <v>154.58</v>
      </c>
      <c r="AH131" s="0" t="n">
        <v>65.99</v>
      </c>
      <c r="AI131" s="0" t="n">
        <v>45.66</v>
      </c>
      <c r="AJ131" s="0" t="n">
        <v>44.67</v>
      </c>
      <c r="AK131" s="0" t="n">
        <v>133.84</v>
      </c>
      <c r="AL131" s="0" t="n">
        <v>129.9</v>
      </c>
      <c r="AM131" s="0" t="n">
        <v>72.9</v>
      </c>
      <c r="AN131" s="0" t="n">
        <v>178.3</v>
      </c>
    </row>
    <row r="132" customFormat="false" ht="15" hidden="false" customHeight="true" outlineLevel="0" collapsed="false">
      <c r="A132" s="0" t="s">
        <v>362</v>
      </c>
      <c r="B132" s="0" t="s">
        <v>363</v>
      </c>
      <c r="C132" s="0" t="n">
        <v>81.72</v>
      </c>
      <c r="D132" s="0" t="n">
        <v>60.16</v>
      </c>
      <c r="E132" s="0" t="n">
        <v>59.87</v>
      </c>
      <c r="F132" s="0" t="n">
        <v>59.6</v>
      </c>
      <c r="G132" s="0" t="n">
        <v>59.88</v>
      </c>
      <c r="H132" s="0" t="n">
        <v>57.62</v>
      </c>
      <c r="I132" s="0" t="n">
        <v>57.83</v>
      </c>
      <c r="J132" s="0" t="n">
        <v>58.53</v>
      </c>
      <c r="K132" s="0" t="n">
        <v>59.25</v>
      </c>
      <c r="L132" s="0" t="n">
        <v>57.8</v>
      </c>
      <c r="M132" s="0" t="n">
        <v>56.59</v>
      </c>
      <c r="N132" s="0" t="n">
        <v>58.36</v>
      </c>
      <c r="O132" s="0" t="n">
        <v>58.19</v>
      </c>
      <c r="P132" s="0" t="n">
        <v>57.82</v>
      </c>
      <c r="Q132" s="0" t="n">
        <v>57.72</v>
      </c>
      <c r="R132" s="0" t="n">
        <v>57.92</v>
      </c>
      <c r="S132" s="0" t="n">
        <v>58.51</v>
      </c>
      <c r="T132" s="0" t="n">
        <v>53.49</v>
      </c>
      <c r="U132" s="0" t="n">
        <v>13.2</v>
      </c>
      <c r="V132" s="0" t="n">
        <v>36.72</v>
      </c>
      <c r="W132" s="0" t="n">
        <v>36.36</v>
      </c>
      <c r="X132" s="0" t="n">
        <v>35.05</v>
      </c>
      <c r="Y132" s="0" t="n">
        <v>35.06</v>
      </c>
      <c r="Z132" s="0" t="n">
        <v>35.35</v>
      </c>
      <c r="AA132" s="0" t="n">
        <v>34.76</v>
      </c>
      <c r="AB132" s="0" t="n">
        <v>33.61</v>
      </c>
      <c r="AC132" s="0" t="n">
        <v>123.7</v>
      </c>
      <c r="AD132" s="0" t="n">
        <v>123.33</v>
      </c>
      <c r="AE132" s="0" t="n">
        <v>123.35</v>
      </c>
      <c r="AF132" s="0" t="n">
        <v>124.04</v>
      </c>
      <c r="AG132" s="0" t="n">
        <v>145.56</v>
      </c>
      <c r="AH132" s="0" t="n">
        <v>56.98</v>
      </c>
      <c r="AI132" s="0" t="n">
        <v>55.37</v>
      </c>
      <c r="AJ132" s="0" t="n">
        <v>35.57</v>
      </c>
      <c r="AK132" s="0" t="n">
        <v>127.74</v>
      </c>
      <c r="AL132" s="0" t="n">
        <v>123.8</v>
      </c>
      <c r="AM132" s="0" t="n">
        <v>82.6</v>
      </c>
      <c r="AN132" s="0" t="n">
        <v>188</v>
      </c>
    </row>
    <row r="133" customFormat="false" ht="15" hidden="false" customHeight="true" outlineLevel="0" collapsed="false">
      <c r="A133" s="0" t="s">
        <v>364</v>
      </c>
      <c r="B133" s="0" t="s">
        <v>365</v>
      </c>
      <c r="C133" s="0" t="n">
        <v>81.89</v>
      </c>
      <c r="D133" s="0" t="n">
        <v>61.59</v>
      </c>
      <c r="E133" s="0" t="n">
        <v>61.3</v>
      </c>
      <c r="F133" s="0" t="n">
        <v>61.03</v>
      </c>
      <c r="G133" s="0" t="n">
        <v>61.32</v>
      </c>
      <c r="H133" s="0" t="n">
        <v>59.06</v>
      </c>
      <c r="I133" s="0" t="n">
        <v>59.26</v>
      </c>
      <c r="J133" s="0" t="n">
        <v>59.97</v>
      </c>
      <c r="K133" s="0" t="n">
        <v>60.68</v>
      </c>
      <c r="L133" s="0" t="n">
        <v>59.24</v>
      </c>
      <c r="M133" s="0" t="n">
        <v>58.03</v>
      </c>
      <c r="N133" s="0" t="n">
        <v>59.79</v>
      </c>
      <c r="O133" s="0" t="n">
        <v>59.63</v>
      </c>
      <c r="P133" s="0" t="n">
        <v>59.26</v>
      </c>
      <c r="Q133" s="0" t="n">
        <v>59.15</v>
      </c>
      <c r="R133" s="0" t="n">
        <v>59.35</v>
      </c>
      <c r="S133" s="0" t="n">
        <v>59.94</v>
      </c>
      <c r="T133" s="0" t="n">
        <v>53.66</v>
      </c>
      <c r="U133" s="0" t="n">
        <v>13.72</v>
      </c>
      <c r="V133" s="0" t="n">
        <v>46.77</v>
      </c>
      <c r="W133" s="0" t="n">
        <v>46.42</v>
      </c>
      <c r="X133" s="0" t="n">
        <v>45.43</v>
      </c>
      <c r="Y133" s="0" t="n">
        <v>45.87</v>
      </c>
      <c r="Z133" s="0" t="n">
        <v>46.51</v>
      </c>
      <c r="AA133" s="0" t="n">
        <v>44.82</v>
      </c>
      <c r="AB133" s="0" t="n">
        <v>45.23</v>
      </c>
      <c r="AC133" s="0" t="n">
        <v>121.05</v>
      </c>
      <c r="AD133" s="0" t="n">
        <v>120.67</v>
      </c>
      <c r="AE133" s="0" t="n">
        <v>120.69</v>
      </c>
      <c r="AF133" s="0" t="n">
        <v>121.38</v>
      </c>
      <c r="AG133" s="0" t="n">
        <v>147</v>
      </c>
      <c r="AH133" s="0" t="n">
        <v>58.41</v>
      </c>
      <c r="AI133" s="0" t="n">
        <v>55.54</v>
      </c>
      <c r="AJ133" s="0" t="n">
        <v>45.63</v>
      </c>
      <c r="AK133" s="0" t="n">
        <v>125.09</v>
      </c>
      <c r="AL133" s="0" t="n">
        <v>121.2</v>
      </c>
      <c r="AM133" s="0" t="n">
        <v>82.8</v>
      </c>
      <c r="AN133" s="0" t="n">
        <v>188.2</v>
      </c>
    </row>
    <row r="134" customFormat="false" ht="15" hidden="false" customHeight="true" outlineLevel="0" collapsed="false">
      <c r="A134" s="0" t="s">
        <v>366</v>
      </c>
      <c r="B134" s="0" t="s">
        <v>367</v>
      </c>
      <c r="C134" s="0" t="n">
        <v>106.48</v>
      </c>
      <c r="D134" s="0" t="n">
        <v>88.96</v>
      </c>
      <c r="E134" s="0" t="n">
        <v>88.67</v>
      </c>
      <c r="F134" s="0" t="n">
        <v>88.4</v>
      </c>
      <c r="G134" s="0" t="n">
        <v>88.68</v>
      </c>
      <c r="H134" s="0" t="n">
        <v>86.42</v>
      </c>
      <c r="I134" s="0" t="n">
        <v>86.63</v>
      </c>
      <c r="J134" s="0" t="n">
        <v>87.33</v>
      </c>
      <c r="K134" s="0" t="n">
        <v>88.05</v>
      </c>
      <c r="L134" s="0" t="n">
        <v>86.6</v>
      </c>
      <c r="M134" s="0" t="n">
        <v>85.39</v>
      </c>
      <c r="N134" s="0" t="n">
        <v>87.16</v>
      </c>
      <c r="O134" s="0" t="n">
        <v>86.99</v>
      </c>
      <c r="P134" s="0" t="n">
        <v>86.62</v>
      </c>
      <c r="Q134" s="0" t="n">
        <v>86.52</v>
      </c>
      <c r="R134" s="0" t="n">
        <v>86.72</v>
      </c>
      <c r="S134" s="0" t="n">
        <v>87.31</v>
      </c>
      <c r="T134" s="0" t="n">
        <v>78.25</v>
      </c>
      <c r="U134" s="0" t="n">
        <v>37.95</v>
      </c>
      <c r="V134" s="0" t="n">
        <v>60.91</v>
      </c>
      <c r="W134" s="0" t="n">
        <v>60.55</v>
      </c>
      <c r="X134" s="0" t="n">
        <v>59.56</v>
      </c>
      <c r="Y134" s="0" t="n">
        <v>60.01</v>
      </c>
      <c r="Z134" s="0" t="n">
        <v>60.65</v>
      </c>
      <c r="AA134" s="0" t="n">
        <v>58.96</v>
      </c>
      <c r="AB134" s="0" t="n">
        <v>59.8</v>
      </c>
      <c r="AC134" s="0" t="n">
        <v>130.74</v>
      </c>
      <c r="AD134" s="0" t="n">
        <v>130.37</v>
      </c>
      <c r="AE134" s="0" t="n">
        <v>130.39</v>
      </c>
      <c r="AF134" s="0" t="n">
        <v>131.08</v>
      </c>
      <c r="AG134" s="0" t="n">
        <v>174.36</v>
      </c>
      <c r="AH134" s="0" t="n">
        <v>85.78</v>
      </c>
      <c r="AI134" s="0" t="n">
        <v>80.13</v>
      </c>
      <c r="AJ134" s="0" t="n">
        <v>59.76</v>
      </c>
      <c r="AK134" s="0" t="n">
        <v>134.78</v>
      </c>
      <c r="AL134" s="0" t="n">
        <v>130.9</v>
      </c>
      <c r="AM134" s="0" t="n">
        <v>107.4</v>
      </c>
      <c r="AN134" s="0" t="n">
        <v>212.8</v>
      </c>
    </row>
    <row r="135" customFormat="false" ht="15" hidden="false" customHeight="true" outlineLevel="0" collapsed="false">
      <c r="A135" s="0" t="s">
        <v>368</v>
      </c>
      <c r="B135" s="0" t="s">
        <v>369</v>
      </c>
      <c r="C135" s="0" t="n">
        <v>112.52</v>
      </c>
      <c r="D135" s="0" t="n">
        <v>92.23</v>
      </c>
      <c r="E135" s="0" t="n">
        <v>91.94</v>
      </c>
      <c r="F135" s="0" t="n">
        <v>91.67</v>
      </c>
      <c r="G135" s="0" t="n">
        <v>91.95</v>
      </c>
      <c r="H135" s="0" t="n">
        <v>89.69</v>
      </c>
      <c r="I135" s="0" t="n">
        <v>89.89</v>
      </c>
      <c r="J135" s="0" t="n">
        <v>90.6</v>
      </c>
      <c r="K135" s="0" t="n">
        <v>91.32</v>
      </c>
      <c r="L135" s="0" t="n">
        <v>89.87</v>
      </c>
      <c r="M135" s="0" t="n">
        <v>88.66</v>
      </c>
      <c r="N135" s="0" t="n">
        <v>90.43</v>
      </c>
      <c r="O135" s="0" t="n">
        <v>90.26</v>
      </c>
      <c r="P135" s="0" t="n">
        <v>89.89</v>
      </c>
      <c r="Q135" s="0" t="n">
        <v>89.79</v>
      </c>
      <c r="R135" s="0" t="n">
        <v>89.99</v>
      </c>
      <c r="S135" s="0" t="n">
        <v>90.58</v>
      </c>
      <c r="T135" s="0" t="n">
        <v>84.3</v>
      </c>
      <c r="U135" s="0" t="n">
        <v>44.36</v>
      </c>
      <c r="V135" s="0" t="n">
        <v>77.41</v>
      </c>
      <c r="W135" s="0" t="n">
        <v>75.95</v>
      </c>
      <c r="X135" s="0" t="n">
        <v>74.59</v>
      </c>
      <c r="Y135" s="0" t="n">
        <v>74.61</v>
      </c>
      <c r="Z135" s="0" t="n">
        <v>74.9</v>
      </c>
      <c r="AA135" s="0" t="n">
        <v>74.38</v>
      </c>
      <c r="AB135" s="0" t="n">
        <v>73.15</v>
      </c>
      <c r="AC135" s="0" t="n">
        <v>139.44</v>
      </c>
      <c r="AD135" s="0" t="n">
        <v>139.06</v>
      </c>
      <c r="AE135" s="0" t="n">
        <v>139.09</v>
      </c>
      <c r="AF135" s="0" t="n">
        <v>139.78</v>
      </c>
      <c r="AG135" s="0" t="n">
        <v>177.63</v>
      </c>
      <c r="AH135" s="0" t="n">
        <v>89.04</v>
      </c>
      <c r="AI135" s="0" t="n">
        <v>86.18</v>
      </c>
      <c r="AJ135" s="0" t="n">
        <v>75.44</v>
      </c>
      <c r="AK135" s="0" t="n">
        <v>143.48</v>
      </c>
      <c r="AL135" s="0" t="n">
        <v>139.6</v>
      </c>
      <c r="AM135" s="0" t="n">
        <v>113.4</v>
      </c>
      <c r="AN135" s="0" t="n">
        <v>218.8</v>
      </c>
    </row>
    <row r="136" customFormat="false" ht="15" hidden="false" customHeight="true" outlineLevel="0" collapsed="false">
      <c r="A136" s="0" t="s">
        <v>370</v>
      </c>
      <c r="B136" s="0" t="s">
        <v>371</v>
      </c>
      <c r="C136" s="0" t="n">
        <v>119.36</v>
      </c>
      <c r="D136" s="0" t="n">
        <v>99.41</v>
      </c>
      <c r="E136" s="0" t="n">
        <v>99.12</v>
      </c>
      <c r="F136" s="0" t="n">
        <v>98.85</v>
      </c>
      <c r="G136" s="0" t="n">
        <v>99.13</v>
      </c>
      <c r="H136" s="0" t="n">
        <v>96.87</v>
      </c>
      <c r="I136" s="0" t="n">
        <v>97.08</v>
      </c>
      <c r="J136" s="0" t="n">
        <v>97.78</v>
      </c>
      <c r="K136" s="0" t="n">
        <v>98.5</v>
      </c>
      <c r="L136" s="0" t="n">
        <v>97.05</v>
      </c>
      <c r="M136" s="0" t="n">
        <v>95.84</v>
      </c>
      <c r="N136" s="0" t="n">
        <v>97.61</v>
      </c>
      <c r="O136" s="0" t="n">
        <v>97.44</v>
      </c>
      <c r="P136" s="0" t="n">
        <v>97.07</v>
      </c>
      <c r="Q136" s="0" t="n">
        <v>96.97</v>
      </c>
      <c r="R136" s="0" t="n">
        <v>97.17</v>
      </c>
      <c r="S136" s="0" t="n">
        <v>97.76</v>
      </c>
      <c r="T136" s="0" t="n">
        <v>91.13</v>
      </c>
      <c r="U136" s="0" t="n">
        <v>50.84</v>
      </c>
      <c r="V136" s="0" t="n">
        <v>82.18</v>
      </c>
      <c r="W136" s="0" t="n">
        <v>80.9</v>
      </c>
      <c r="X136" s="0" t="n">
        <v>79.54</v>
      </c>
      <c r="Y136" s="0" t="n">
        <v>79.56</v>
      </c>
      <c r="Z136" s="0" t="n">
        <v>79.85</v>
      </c>
      <c r="AA136" s="0" t="n">
        <v>79.33</v>
      </c>
      <c r="AB136" s="0" t="n">
        <v>78.1</v>
      </c>
      <c r="AC136" s="0" t="n">
        <v>136.09</v>
      </c>
      <c r="AD136" s="0" t="n">
        <v>135.71</v>
      </c>
      <c r="AE136" s="0" t="n">
        <v>135.73</v>
      </c>
      <c r="AF136" s="0" t="n">
        <v>136.42</v>
      </c>
      <c r="AG136" s="0" t="n">
        <v>184.81</v>
      </c>
      <c r="AH136" s="0" t="n">
        <v>96.23</v>
      </c>
      <c r="AI136" s="0" t="n">
        <v>93.01</v>
      </c>
      <c r="AJ136" s="0" t="n">
        <v>80.39</v>
      </c>
      <c r="AK136" s="0" t="n">
        <v>140.13</v>
      </c>
      <c r="AL136" s="0" t="n">
        <v>136.2</v>
      </c>
      <c r="AM136" s="0" t="n">
        <v>120.3</v>
      </c>
      <c r="AN136" s="0" t="n">
        <v>225.6</v>
      </c>
    </row>
    <row r="137" customFormat="false" ht="19.5" hidden="false" customHeight="true" outlineLevel="0" collapsed="false">
      <c r="A137" s="44" t="s">
        <v>427</v>
      </c>
      <c r="B137" s="44"/>
      <c r="C137" s="44"/>
      <c r="D137" s="44"/>
      <c r="E137" s="44"/>
      <c r="F137" s="44"/>
    </row>
    <row r="138" customFormat="false" ht="30" hidden="false" customHeight="true" outlineLevel="0" collapsed="false">
      <c r="A138" s="45" t="s">
        <v>428</v>
      </c>
      <c r="B138" s="45"/>
      <c r="C138" s="45"/>
      <c r="D138" s="45"/>
      <c r="E138" s="45"/>
      <c r="F138" s="45"/>
    </row>
    <row r="139" customFormat="false" ht="18" hidden="false" customHeight="true" outlineLevel="0" collapsed="false">
      <c r="A139" s="36" t="s">
        <v>429</v>
      </c>
      <c r="B139" s="36"/>
      <c r="C139" s="36"/>
      <c r="D139" s="36"/>
      <c r="E139" s="36"/>
      <c r="F139" s="36"/>
    </row>
    <row r="140" customFormat="false" ht="18" hidden="false" customHeight="true" outlineLevel="0" collapsed="false">
      <c r="A140" s="36" t="s">
        <v>430</v>
      </c>
      <c r="B140" s="36"/>
      <c r="C140" s="36"/>
      <c r="D140" s="36"/>
      <c r="E140" s="36"/>
      <c r="F140" s="36"/>
    </row>
    <row r="141" customFormat="false" ht="18" hidden="false" customHeight="true" outlineLevel="0" collapsed="false">
      <c r="A141" s="36" t="s">
        <v>431</v>
      </c>
      <c r="B141" s="36"/>
      <c r="C141" s="36"/>
      <c r="D141" s="36"/>
      <c r="E141" s="36"/>
      <c r="F141" s="36"/>
    </row>
    <row r="142" customFormat="false" ht="18" hidden="false" customHeight="true" outlineLevel="0" collapsed="false">
      <c r="A142" s="36" t="s">
        <v>432</v>
      </c>
      <c r="B142" s="36"/>
      <c r="C142" s="36"/>
      <c r="D142" s="36"/>
      <c r="E142" s="36"/>
      <c r="F142" s="36"/>
    </row>
    <row r="143" customFormat="false" ht="18" hidden="false" customHeight="true" outlineLevel="0" collapsed="false">
      <c r="A143" s="36" t="s">
        <v>433</v>
      </c>
      <c r="B143" s="36"/>
      <c r="C143" s="36"/>
      <c r="D143" s="36"/>
      <c r="E143" s="36"/>
      <c r="F143" s="36"/>
    </row>
  </sheetData>
  <mergeCells count="7">
    <mergeCell ref="A137:F137"/>
    <mergeCell ref="A138:F138"/>
    <mergeCell ref="A139:F139"/>
    <mergeCell ref="A140:F140"/>
    <mergeCell ref="A141:F141"/>
    <mergeCell ref="A142:F142"/>
    <mergeCell ref="A143:F1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sheetData>
    <row r="1" customFormat="false" ht="79.5" hidden="false" customHeight="true" outlineLevel="0" collapsed="false">
      <c r="A1" s="31" t="s">
        <v>99</v>
      </c>
      <c r="B1" s="31" t="s">
        <v>100</v>
      </c>
      <c r="C1" s="31" t="s">
        <v>378</v>
      </c>
      <c r="D1" s="31" t="s">
        <v>380</v>
      </c>
      <c r="E1" s="31" t="s">
        <v>381</v>
      </c>
      <c r="F1" s="31" t="s">
        <v>382</v>
      </c>
      <c r="G1" s="31" t="s">
        <v>383</v>
      </c>
      <c r="H1" s="31" t="s">
        <v>384</v>
      </c>
      <c r="I1" s="31" t="s">
        <v>385</v>
      </c>
      <c r="J1" s="31" t="s">
        <v>386</v>
      </c>
      <c r="K1" s="31" t="s">
        <v>387</v>
      </c>
      <c r="L1" s="31" t="s">
        <v>388</v>
      </c>
      <c r="M1" s="31" t="s">
        <v>389</v>
      </c>
      <c r="N1" s="31" t="s">
        <v>390</v>
      </c>
      <c r="O1" s="31" t="s">
        <v>391</v>
      </c>
      <c r="P1" s="31" t="s">
        <v>392</v>
      </c>
      <c r="Q1" s="31" t="s">
        <v>393</v>
      </c>
      <c r="R1" s="31" t="s">
        <v>394</v>
      </c>
      <c r="S1" s="31" t="s">
        <v>395</v>
      </c>
      <c r="T1" s="31" t="s">
        <v>396</v>
      </c>
      <c r="U1" s="31" t="s">
        <v>397</v>
      </c>
      <c r="V1" s="31" t="s">
        <v>398</v>
      </c>
      <c r="W1" s="31" t="s">
        <v>399</v>
      </c>
      <c r="X1" s="31" t="s">
        <v>400</v>
      </c>
      <c r="Y1" s="31" t="s">
        <v>401</v>
      </c>
      <c r="Z1" s="31" t="s">
        <v>402</v>
      </c>
      <c r="AA1" s="31" t="s">
        <v>403</v>
      </c>
      <c r="AB1" s="31" t="s">
        <v>404</v>
      </c>
      <c r="AC1" s="31" t="s">
        <v>405</v>
      </c>
      <c r="AD1" s="31" t="s">
        <v>406</v>
      </c>
      <c r="AE1" s="31" t="s">
        <v>407</v>
      </c>
      <c r="AF1" s="31" t="s">
        <v>408</v>
      </c>
      <c r="AG1" s="31" t="s">
        <v>409</v>
      </c>
      <c r="AH1" s="31" t="s">
        <v>411</v>
      </c>
      <c r="AI1" s="31" t="s">
        <v>412</v>
      </c>
      <c r="AJ1" s="31" t="s">
        <v>413</v>
      </c>
      <c r="AK1" s="31" t="s">
        <v>414</v>
      </c>
      <c r="AL1" s="43" t="s">
        <v>415</v>
      </c>
      <c r="AM1" s="43" t="s">
        <v>416</v>
      </c>
      <c r="AN1" s="43" t="s">
        <v>417</v>
      </c>
    </row>
    <row r="2" customFormat="false" ht="15" hidden="false" customHeight="true" outlineLevel="0" collapsed="false">
      <c r="A2" s="0" t="s">
        <v>102</v>
      </c>
      <c r="B2" s="0" t="s">
        <v>103</v>
      </c>
      <c r="C2" s="0" t="n">
        <f aca="false">IF(Matrice_OD!C2&lt;=Param!$B$2,EXP(-(Matrice_OD!C2^2)/Param!$B$5),0)</f>
        <v>0.47921798764637</v>
      </c>
      <c r="D2" s="0" t="n">
        <f aca="false">IF(Matrice_OD!D2&lt;=Param!$B$2,EXP(-(Matrice_OD!D2^2)/Param!$B$5),0)</f>
        <v>0.985321088109829</v>
      </c>
      <c r="E2" s="0" t="n">
        <f aca="false">IF(Matrice_OD!E2&lt;=Param!$B$2,EXP(-(Matrice_OD!E2^2)/Param!$B$5),0)</f>
        <v>0.986932345589527</v>
      </c>
      <c r="F2" s="0" t="n">
        <f aca="false">IF(Matrice_OD!F2&lt;=Param!$B$2,EXP(-(Matrice_OD!F2^2)/Param!$B$5),0)</f>
        <v>0.992495379998259</v>
      </c>
      <c r="G2" s="0" t="n">
        <f aca="false">IF(Matrice_OD!G2&lt;=Param!$B$2,EXP(-(Matrice_OD!G2^2)/Param!$B$5),0)</f>
        <v>0.994374548963784</v>
      </c>
      <c r="H2" s="0" t="n">
        <f aca="false">IF(Matrice_OD!H2&lt;=Param!$B$2,EXP(-(Matrice_OD!H2^2)/Param!$B$5),0)</f>
        <v>0.992658806871031</v>
      </c>
      <c r="I2" s="0" t="n">
        <f aca="false">IF(Matrice_OD!I2&lt;=Param!$B$2,EXP(-(Matrice_OD!I2^2)/Param!$B$5),0)</f>
        <v>0.99673056858091</v>
      </c>
      <c r="J2" s="0" t="n">
        <f aca="false">IF(Matrice_OD!J2&lt;=Param!$B$2,EXP(-(Matrice_OD!J2^2)/Param!$B$5),0)</f>
        <v>0.994516120486726</v>
      </c>
      <c r="K2" s="0" t="n">
        <f aca="false">IF(Matrice_OD!K2&lt;=Param!$B$2,EXP(-(Matrice_OD!K2^2)/Param!$B$5),0)</f>
        <v>0.998563707672945</v>
      </c>
      <c r="L2" s="0" t="n">
        <f aca="false">IF(Matrice_OD!L2&lt;=Param!$B$2,EXP(-(Matrice_OD!L2^2)/Param!$B$5),0)</f>
        <v>0.998240441795382</v>
      </c>
      <c r="M2" s="0" t="n">
        <f aca="false">IF(Matrice_OD!M2&lt;=Param!$B$2,EXP(-(Matrice_OD!M2^2)/Param!$B$5),0)</f>
        <v>0.990763446681895</v>
      </c>
      <c r="N2" s="0" t="n">
        <f aca="false">IF(Matrice_OD!N2&lt;=Param!$B$2,EXP(-(Matrice_OD!N2^2)/Param!$B$5),0)</f>
        <v>0.990854252898135</v>
      </c>
      <c r="O2" s="0" t="n">
        <f aca="false">IF(Matrice_OD!O2&lt;=Param!$B$2,EXP(-(Matrice_OD!O2^2)/Param!$B$5),0)</f>
        <v>0.998180000705684</v>
      </c>
      <c r="P2" s="0" t="n">
        <f aca="false">IF(Matrice_OD!P2&lt;=Param!$B$2,EXP(-(Matrice_OD!P2^2)/Param!$B$5),0)</f>
        <v>0.996996944111128</v>
      </c>
      <c r="Q2" s="0" t="n">
        <f aca="false">IF(Matrice_OD!Q2&lt;=Param!$B$2,EXP(-(Matrice_OD!Q2^2)/Param!$B$5),0)</f>
        <v>0.997519643662572</v>
      </c>
      <c r="R2" s="0" t="n">
        <f aca="false">IF(Matrice_OD!R2&lt;=Param!$B$2,EXP(-(Matrice_OD!R2^2)/Param!$B$5),0)</f>
        <v>0.9961934433595</v>
      </c>
      <c r="S2" s="0" t="n">
        <f aca="false">IF(Matrice_OD!S2&lt;=Param!$B$2,EXP(-(Matrice_OD!S2^2)/Param!$B$5),0)</f>
        <v>0.996424551306136</v>
      </c>
      <c r="T2" s="0" t="n">
        <f aca="false">IF(Matrice_OD!T2&lt;=Param!$B$2,EXP(-(Matrice_OD!T2^2)/Param!$B$5),0)</f>
        <v>0.397000529879721</v>
      </c>
      <c r="U2" s="0" t="n">
        <f aca="false">IF(Matrice_OD!U2&lt;=Param!$B$2,EXP(-(Matrice_OD!U2^2)/Param!$B$5),0)</f>
        <v>0.215335596225887</v>
      </c>
      <c r="V2" s="0" t="n">
        <f aca="false">IF(Matrice_OD!V2&lt;=Param!$B$2,EXP(-(Matrice_OD!V2^2)/Param!$B$5),0)</f>
        <v>0.0430505952281497</v>
      </c>
      <c r="W2" s="0" t="n">
        <f aca="false">IF(Matrice_OD!W2&lt;=Param!$B$2,EXP(-(Matrice_OD!W2^2)/Param!$B$5),0)</f>
        <v>0.0372562200565102</v>
      </c>
      <c r="X2" s="0" t="n">
        <f aca="false">IF(Matrice_OD!X2&lt;=Param!$B$2,EXP(-(Matrice_OD!X2^2)/Param!$B$5),0)</f>
        <v>0.0418630712103475</v>
      </c>
      <c r="Y2" s="0" t="n">
        <f aca="false">IF(Matrice_OD!Y2&lt;=Param!$B$2,EXP(-(Matrice_OD!Y2^2)/Param!$B$5),0)</f>
        <v>0.0417919957516687</v>
      </c>
      <c r="Z2" s="0" t="n">
        <f aca="false">IF(Matrice_OD!Z2&lt;=Param!$B$2,EXP(-(Matrice_OD!Z2^2)/Param!$B$5),0)</f>
        <v>0.0407727750949984</v>
      </c>
      <c r="AA2" s="0" t="n">
        <f aca="false">IF(Matrice_OD!AA2&lt;=Param!$B$2,EXP(-(Matrice_OD!AA2^2)/Param!$B$5),0)</f>
        <v>0.0426155307062261</v>
      </c>
      <c r="AB2" s="0" t="n">
        <f aca="false">IF(Matrice_OD!AB2&lt;=Param!$B$2,EXP(-(Matrice_OD!AB2^2)/Param!$B$5),0)</f>
        <v>0.0472548291738671</v>
      </c>
      <c r="AC2" s="0" t="n">
        <f aca="false">IF(Matrice_OD!AC2&lt;=Param!$B$2,EXP(-(Matrice_OD!AC2^2)/Param!$B$5),0)</f>
        <v>0</v>
      </c>
      <c r="AD2" s="0" t="n">
        <f aca="false">IF(Matrice_OD!AD2&lt;=Param!$B$2,EXP(-(Matrice_OD!AD2^2)/Param!$B$5),0)</f>
        <v>0</v>
      </c>
      <c r="AE2" s="0" t="n">
        <f aca="false">IF(Matrice_OD!AE2&lt;=Param!$B$2,EXP(-(Matrice_OD!AE2^2)/Param!$B$5),0)</f>
        <v>0</v>
      </c>
      <c r="AF2" s="0" t="n">
        <f aca="false">IF(Matrice_OD!AF2&lt;=Param!$B$2,EXP(-(Matrice_OD!AF2^2)/Param!$B$5),0)</f>
        <v>0</v>
      </c>
      <c r="AG2" s="0" t="n">
        <f aca="false">IF(Matrice_OD!AG2&lt;=Param!$B$2,EXP(-(Matrice_OD!AG2^2)/Param!$B$5),0)</f>
        <v>0</v>
      </c>
      <c r="AH2" s="0" t="n">
        <f aca="false">IF(Matrice_OD!AH2&lt;=Param!$B$2,EXP(-(Matrice_OD!AH2^2)/Param!$B$5),0)</f>
        <v>0.99390209249758</v>
      </c>
      <c r="AI2" s="0" t="n">
        <f aca="false">IF(Matrice_OD!AI2&lt;=Param!$B$2,EXP(-(Matrice_OD!AI2^2)/Param!$B$5),0)</f>
        <v>0.380424448551758</v>
      </c>
      <c r="AJ2" s="0" t="n">
        <f aca="false">IF(Matrice_OD!AJ2&lt;=Param!$B$2,EXP(-(Matrice_OD!AJ2^2)/Param!$B$5),0)</f>
        <v>0.0389307650417954</v>
      </c>
      <c r="AK2" s="0" t="n">
        <f aca="false">IF(Matrice_OD!AK2&lt;=Param!$B$2,EXP(-(Matrice_OD!AK2^2)/Param!$B$5),0)</f>
        <v>0</v>
      </c>
      <c r="AL2" s="0" t="n">
        <f aca="false">IF(Matrice_OD!AL2&lt;=Param!$B$2,EXP(-(Matrice_OD!AL2^2)/Param!$B$5),0)</f>
        <v>0</v>
      </c>
      <c r="AM2" s="0" t="n">
        <f aca="false">IF(Matrice_OD!AM2&lt;=Param!$B$2,EXP(-(Matrice_OD!AM2^2)/Param!$B$5),0)</f>
        <v>0.44763440288918</v>
      </c>
      <c r="AN2" s="0" t="n">
        <f aca="false">IF(Matrice_OD!AN2&lt;=Param!$B$2,EXP(-(Matrice_OD!AN2^2)/Param!$B$5),0)</f>
        <v>0</v>
      </c>
    </row>
    <row r="3" customFormat="false" ht="15" hidden="false" customHeight="true" outlineLevel="0" collapsed="false">
      <c r="A3" s="0" t="s">
        <v>104</v>
      </c>
      <c r="B3" s="0" t="s">
        <v>105</v>
      </c>
      <c r="C3" s="0" t="n">
        <f aca="false">IF(Matrice_OD!C3&lt;=Param!$B$2,EXP(-(Matrice_OD!C3^2)/Param!$B$5),0)</f>
        <v>0.0598345459821479</v>
      </c>
      <c r="D3" s="0" t="n">
        <f aca="false">IF(Matrice_OD!D3&lt;=Param!$B$2,EXP(-(Matrice_OD!D3^2)/Param!$B$5),0)</f>
        <v>0.400830253913831</v>
      </c>
      <c r="E3" s="0" t="n">
        <f aca="false">IF(Matrice_OD!E3&lt;=Param!$B$2,EXP(-(Matrice_OD!E3^2)/Param!$B$5),0)</f>
        <v>0.406146246962305</v>
      </c>
      <c r="F3" s="0" t="n">
        <f aca="false">IF(Matrice_OD!F3&lt;=Param!$B$2,EXP(-(Matrice_OD!F3^2)/Param!$B$5),0)</f>
        <v>0.411123634888741</v>
      </c>
      <c r="G3" s="0" t="n">
        <f aca="false">IF(Matrice_OD!G3&lt;=Param!$B$2,EXP(-(Matrice_OD!G3^2)/Param!$B$5),0)</f>
        <v>0.405962414789353</v>
      </c>
      <c r="H3" s="0" t="n">
        <f aca="false">IF(Matrice_OD!H3&lt;=Param!$B$2,EXP(-(Matrice_OD!H3^2)/Param!$B$5),0)</f>
        <v>0.448400179501537</v>
      </c>
      <c r="I3" s="0" t="n">
        <f aca="false">IF(Matrice_OD!I3&lt;=Param!$B$2,EXP(-(Matrice_OD!I3^2)/Param!$B$5),0)</f>
        <v>0.44457626366932</v>
      </c>
      <c r="J3" s="0" t="n">
        <f aca="false">IF(Matrice_OD!J3&lt;=Param!$B$2,EXP(-(Matrice_OD!J3^2)/Param!$B$5),0)</f>
        <v>0.431104438109576</v>
      </c>
      <c r="K3" s="0" t="n">
        <f aca="false">IF(Matrice_OD!K3&lt;=Param!$B$2,EXP(-(Matrice_OD!K3^2)/Param!$B$5),0)</f>
        <v>0.417615175233996</v>
      </c>
      <c r="L3" s="0" t="n">
        <f aca="false">IF(Matrice_OD!L3&lt;=Param!$B$2,EXP(-(Matrice_OD!L3^2)/Param!$B$5),0)</f>
        <v>0.444958093906697</v>
      </c>
      <c r="M3" s="0" t="n">
        <f aca="false">IF(Matrice_OD!M3&lt;=Param!$B$2,EXP(-(Matrice_OD!M3^2)/Param!$B$5),0)</f>
        <v>0.468283029981391</v>
      </c>
      <c r="N3" s="0" t="n">
        <f aca="false">IF(Matrice_OD!N3&lt;=Param!$B$2,EXP(-(Matrice_OD!N3^2)/Param!$B$5),0)</f>
        <v>0.43431510936417</v>
      </c>
      <c r="O3" s="0" t="n">
        <f aca="false">IF(Matrice_OD!O3&lt;=Param!$B$2,EXP(-(Matrice_OD!O3^2)/Param!$B$5),0)</f>
        <v>0.437535313908912</v>
      </c>
      <c r="P3" s="0" t="n">
        <f aca="false">IF(Matrice_OD!P3&lt;=Param!$B$2,EXP(-(Matrice_OD!P3^2)/Param!$B$5),0)</f>
        <v>0.44457626366932</v>
      </c>
      <c r="Q3" s="0" t="n">
        <f aca="false">IF(Matrice_OD!Q3&lt;=Param!$B$2,EXP(-(Matrice_OD!Q3^2)/Param!$B$5),0)</f>
        <v>0.44648666630658</v>
      </c>
      <c r="R3" s="0" t="n">
        <f aca="false">IF(Matrice_OD!R3&lt;=Param!$B$2,EXP(-(Matrice_OD!R3^2)/Param!$B$5),0)</f>
        <v>0.442669001632858</v>
      </c>
      <c r="S3" s="0" t="n">
        <f aca="false">IF(Matrice_OD!S3&lt;=Param!$B$2,EXP(-(Matrice_OD!S3^2)/Param!$B$5),0)</f>
        <v>0.4314816647626</v>
      </c>
      <c r="T3" s="0" t="n">
        <f aca="false">IF(Matrice_OD!T3&lt;=Param!$B$2,EXP(-(Matrice_OD!T3^2)/Param!$B$5),0)</f>
        <v>0.337318298687159</v>
      </c>
      <c r="U3" s="0" t="n">
        <f aca="false">IF(Matrice_OD!U3&lt;=Param!$B$2,EXP(-(Matrice_OD!U3^2)/Param!$B$5),0)</f>
        <v>0.332973581744769</v>
      </c>
      <c r="V3" s="0" t="n">
        <f aca="false">IF(Matrice_OD!V3&lt;=Param!$B$2,EXP(-(Matrice_OD!V3^2)/Param!$B$5),0)</f>
        <v>0.0625658975239068</v>
      </c>
      <c r="W3" s="0" t="n">
        <f aca="false">IF(Matrice_OD!W3&lt;=Param!$B$2,EXP(-(Matrice_OD!W3^2)/Param!$B$5),0)</f>
        <v>0.0717106410644881</v>
      </c>
      <c r="X3" s="0" t="n">
        <f aca="false">IF(Matrice_OD!X3&lt;=Param!$B$2,EXP(-(Matrice_OD!X3^2)/Param!$B$5),0)</f>
        <v>0.0795884006959596</v>
      </c>
      <c r="Y3" s="0" t="n">
        <f aca="false">IF(Matrice_OD!Y3&lt;=Param!$B$2,EXP(-(Matrice_OD!Y3^2)/Param!$B$5),0)</f>
        <v>0.0795280386045453</v>
      </c>
      <c r="Z3" s="0" t="n">
        <f aca="false">IF(Matrice_OD!Z3&lt;=Param!$B$2,EXP(-(Matrice_OD!Z3^2)/Param!$B$5),0)</f>
        <v>0.077793464153387</v>
      </c>
      <c r="AA3" s="0" t="n">
        <f aca="false">IF(Matrice_OD!AA3&lt;=Param!$B$2,EXP(-(Matrice_OD!AA3^2)/Param!$B$5),0)</f>
        <v>0.0808645175825525</v>
      </c>
      <c r="AB3" s="0" t="n">
        <f aca="false">IF(Matrice_OD!AB3&lt;=Param!$B$2,EXP(-(Matrice_OD!AB3^2)/Param!$B$5),0)</f>
        <v>0.0886713072393559</v>
      </c>
      <c r="AC3" s="0" t="n">
        <f aca="false">IF(Matrice_OD!AC3&lt;=Param!$B$2,EXP(-(Matrice_OD!AC3^2)/Param!$B$5),0)</f>
        <v>0</v>
      </c>
      <c r="AD3" s="0" t="n">
        <f aca="false">IF(Matrice_OD!AD3&lt;=Param!$B$2,EXP(-(Matrice_OD!AD3^2)/Param!$B$5),0)</f>
        <v>0</v>
      </c>
      <c r="AE3" s="0" t="n">
        <f aca="false">IF(Matrice_OD!AE3&lt;=Param!$B$2,EXP(-(Matrice_OD!AE3^2)/Param!$B$5),0)</f>
        <v>0</v>
      </c>
      <c r="AF3" s="0" t="n">
        <f aca="false">IF(Matrice_OD!AF3&lt;=Param!$B$2,EXP(-(Matrice_OD!AF3^2)/Param!$B$5),0)</f>
        <v>0</v>
      </c>
      <c r="AG3" s="0" t="n">
        <f aca="false">IF(Matrice_OD!AG3&lt;=Param!$B$2,EXP(-(Matrice_OD!AG3^2)/Param!$B$5),0)</f>
        <v>0</v>
      </c>
      <c r="AH3" s="0" t="n">
        <f aca="false">IF(Matrice_OD!AH3&lt;=Param!$B$2,EXP(-(Matrice_OD!AH3^2)/Param!$B$5),0)</f>
        <v>0.460911721741547</v>
      </c>
      <c r="AI3" s="0" t="n">
        <f aca="false">IF(Matrice_OD!AI3&lt;=Param!$B$2,EXP(-(Matrice_OD!AI3^2)/Param!$B$5),0)</f>
        <v>0.322083146290761</v>
      </c>
      <c r="AJ3" s="0" t="n">
        <f aca="false">IF(Matrice_OD!AJ3&lt;=Param!$B$2,EXP(-(Matrice_OD!AJ3^2)/Param!$B$5),0)</f>
        <v>0.0746447230623378</v>
      </c>
      <c r="AK3" s="0" t="n">
        <f aca="false">IF(Matrice_OD!AK3&lt;=Param!$B$2,EXP(-(Matrice_OD!AK3^2)/Param!$B$5),0)</f>
        <v>0</v>
      </c>
      <c r="AL3" s="0" t="n">
        <f aca="false">IF(Matrice_OD!AL3&lt;=Param!$B$2,EXP(-(Matrice_OD!AL3^2)/Param!$B$5),0)</f>
        <v>0</v>
      </c>
      <c r="AM3" s="0" t="n">
        <f aca="false">IF(Matrice_OD!AM3&lt;=Param!$B$2,EXP(-(Matrice_OD!AM3^2)/Param!$B$5),0)</f>
        <v>0.0555607246310842</v>
      </c>
      <c r="AN3" s="0" t="n">
        <f aca="false">IF(Matrice_OD!AN3&lt;=Param!$B$2,EXP(-(Matrice_OD!AN3^2)/Param!$B$5),0)</f>
        <v>0</v>
      </c>
    </row>
    <row r="4" customFormat="false" ht="15" hidden="false" customHeight="true" outlineLevel="0" collapsed="false">
      <c r="A4" s="0" t="s">
        <v>106</v>
      </c>
      <c r="B4" s="0" t="s">
        <v>107</v>
      </c>
      <c r="C4" s="0" t="n">
        <f aca="false">IF(Matrice_OD!C4&lt;=Param!$B$2,EXP(-(Matrice_OD!C4^2)/Param!$B$5),0)</f>
        <v>0</v>
      </c>
      <c r="D4" s="0" t="n">
        <f aca="false">IF(Matrice_OD!D4&lt;=Param!$B$2,EXP(-(Matrice_OD!D4^2)/Param!$B$5),0)</f>
        <v>0.0970646540740884</v>
      </c>
      <c r="E4" s="0" t="n">
        <f aca="false">IF(Matrice_OD!E4&lt;=Param!$B$2,EXP(-(Matrice_OD!E4^2)/Param!$B$5),0)</f>
        <v>0.0990599374420888</v>
      </c>
      <c r="F4" s="0" t="n">
        <f aca="false">IF(Matrice_OD!F4&lt;=Param!$B$2,EXP(-(Matrice_OD!F4^2)/Param!$B$5),0)</f>
        <v>0.101087224289914</v>
      </c>
      <c r="G4" s="0" t="n">
        <f aca="false">IF(Matrice_OD!G4&lt;=Param!$B$2,EXP(-(Matrice_OD!G4^2)/Param!$B$5),0)</f>
        <v>0.0989881279726135</v>
      </c>
      <c r="H4" s="0" t="n">
        <f aca="false">IF(Matrice_OD!H4&lt;=Param!$B$2,EXP(-(Matrice_OD!H4^2)/Param!$B$5),0)</f>
        <v>0.116279620295914</v>
      </c>
      <c r="I4" s="0" t="n">
        <f aca="false">IF(Matrice_OD!I4&lt;=Param!$B$2,EXP(-(Matrice_OD!I4^2)/Param!$B$5),0)</f>
        <v>0.114661515868192</v>
      </c>
      <c r="J4" s="0" t="n">
        <f aca="false">IF(Matrice_OD!J4&lt;=Param!$B$2,EXP(-(Matrice_OD!J4^2)/Param!$B$5),0)</f>
        <v>0.109056890617159</v>
      </c>
      <c r="K4" s="0" t="n">
        <f aca="false">IF(Matrice_OD!K4&lt;=Param!$B$2,EXP(-(Matrice_OD!K4^2)/Param!$B$5),0)</f>
        <v>0.103592372086701</v>
      </c>
      <c r="L4" s="0" t="n">
        <f aca="false">IF(Matrice_OD!L4&lt;=Param!$B$2,EXP(-(Matrice_OD!L4^2)/Param!$B$5),0)</f>
        <v>0.114822542852137</v>
      </c>
      <c r="M4" s="0" t="n">
        <f aca="false">IF(Matrice_OD!M4&lt;=Param!$B$2,EXP(-(Matrice_OD!M4^2)/Param!$B$5),0)</f>
        <v>0.124891622777438</v>
      </c>
      <c r="N4" s="0" t="n">
        <f aca="false">IF(Matrice_OD!N4&lt;=Param!$B$2,EXP(-(Matrice_OD!N4^2)/Param!$B$5),0)</f>
        <v>0.110457305404576</v>
      </c>
      <c r="O4" s="0" t="n">
        <f aca="false">IF(Matrice_OD!O4&lt;=Param!$B$2,EXP(-(Matrice_OD!O4^2)/Param!$B$5),0)</f>
        <v>0.111713752970732</v>
      </c>
      <c r="P4" s="0" t="n">
        <f aca="false">IF(Matrice_OD!P4&lt;=Param!$B$2,EXP(-(Matrice_OD!P4^2)/Param!$B$5),0)</f>
        <v>0.114661515868192</v>
      </c>
      <c r="Q4" s="0" t="n">
        <f aca="false">IF(Matrice_OD!Q4&lt;=Param!$B$2,EXP(-(Matrice_OD!Q4^2)/Param!$B$5),0)</f>
        <v>0.115468390189773</v>
      </c>
      <c r="R4" s="0" t="n">
        <f aca="false">IF(Matrice_OD!R4&lt;=Param!$B$2,EXP(-(Matrice_OD!R4^2)/Param!$B$5),0)</f>
        <v>0.113939043132128</v>
      </c>
      <c r="S4" s="0" t="n">
        <f aca="false">IF(Matrice_OD!S4&lt;=Param!$B$2,EXP(-(Matrice_OD!S4^2)/Param!$B$5),0)</f>
        <v>0.109289333587837</v>
      </c>
      <c r="T4" s="0" t="n">
        <f aca="false">IF(Matrice_OD!T4&lt;=Param!$B$2,EXP(-(Matrice_OD!T4^2)/Param!$B$5),0)</f>
        <v>0.0530851364826023</v>
      </c>
      <c r="U4" s="0" t="n">
        <f aca="false">IF(Matrice_OD!U4&lt;=Param!$B$2,EXP(-(Matrice_OD!U4^2)/Param!$B$5),0)</f>
        <v>0.0519672550636971</v>
      </c>
      <c r="V4" s="0" t="n">
        <f aca="false">IF(Matrice_OD!V4&lt;=Param!$B$2,EXP(-(Matrice_OD!V4^2)/Param!$B$5),0)</f>
        <v>0</v>
      </c>
      <c r="W4" s="0" t="n">
        <f aca="false">IF(Matrice_OD!W4&lt;=Param!$B$2,EXP(-(Matrice_OD!W4^2)/Param!$B$5),0)</f>
        <v>0</v>
      </c>
      <c r="X4" s="0" t="n">
        <f aca="false">IF(Matrice_OD!X4&lt;=Param!$B$2,EXP(-(Matrice_OD!X4^2)/Param!$B$5),0)</f>
        <v>0</v>
      </c>
      <c r="Y4" s="0" t="n">
        <f aca="false">IF(Matrice_OD!Y4&lt;=Param!$B$2,EXP(-(Matrice_OD!Y4^2)/Param!$B$5),0)</f>
        <v>0</v>
      </c>
      <c r="Z4" s="0" t="n">
        <f aca="false">IF(Matrice_OD!Z4&lt;=Param!$B$2,EXP(-(Matrice_OD!Z4^2)/Param!$B$5),0)</f>
        <v>0</v>
      </c>
      <c r="AA4" s="0" t="n">
        <f aca="false">IF(Matrice_OD!AA4&lt;=Param!$B$2,EXP(-(Matrice_OD!AA4^2)/Param!$B$5),0)</f>
        <v>0</v>
      </c>
      <c r="AB4" s="0" t="n">
        <f aca="false">IF(Matrice_OD!AB4&lt;=Param!$B$2,EXP(-(Matrice_OD!AB4^2)/Param!$B$5),0)</f>
        <v>0</v>
      </c>
      <c r="AC4" s="0" t="n">
        <f aca="false">IF(Matrice_OD!AC4&lt;=Param!$B$2,EXP(-(Matrice_OD!AC4^2)/Param!$B$5),0)</f>
        <v>0.13875258612471</v>
      </c>
      <c r="AD4" s="0" t="n">
        <f aca="false">IF(Matrice_OD!AD4&lt;=Param!$B$2,EXP(-(Matrice_OD!AD4^2)/Param!$B$5),0)</f>
        <v>0.13479686063673</v>
      </c>
      <c r="AE4" s="0" t="n">
        <f aca="false">IF(Matrice_OD!AE4&lt;=Param!$B$2,EXP(-(Matrice_OD!AE4^2)/Param!$B$5),0)</f>
        <v>0.127488956933007</v>
      </c>
      <c r="AF4" s="0" t="n">
        <f aca="false">IF(Matrice_OD!AF4&lt;=Param!$B$2,EXP(-(Matrice_OD!AF4^2)/Param!$B$5),0)</f>
        <v>0.126705497010583</v>
      </c>
      <c r="AG4" s="0" t="n">
        <f aca="false">IF(Matrice_OD!AG4&lt;=Param!$B$2,EXP(-(Matrice_OD!AG4^2)/Param!$B$5),0)</f>
        <v>0</v>
      </c>
      <c r="AH4" s="0" t="n">
        <f aca="false">IF(Matrice_OD!AH4&lt;=Param!$B$2,EXP(-(Matrice_OD!AH4^2)/Param!$B$5),0)</f>
        <v>0.121659616868293</v>
      </c>
      <c r="AI4" s="0" t="n">
        <f aca="false">IF(Matrice_OD!AI4&lt;=Param!$B$2,EXP(-(Matrice_OD!AI4^2)/Param!$B$5),0)</f>
        <v>0.0491764316683601</v>
      </c>
      <c r="AJ4" s="0" t="n">
        <f aca="false">IF(Matrice_OD!AJ4&lt;=Param!$B$2,EXP(-(Matrice_OD!AJ4^2)/Param!$B$5),0)</f>
        <v>0</v>
      </c>
      <c r="AK4" s="0" t="n">
        <f aca="false">IF(Matrice_OD!AK4&lt;=Param!$B$2,EXP(-(Matrice_OD!AK4^2)/Param!$B$5),0)</f>
        <v>0.0922145354433119</v>
      </c>
      <c r="AL4" s="0" t="n">
        <f aca="false">IF(Matrice_OD!AL4&lt;=Param!$B$2,EXP(-(Matrice_OD!AL4^2)/Param!$B$5),0)</f>
        <v>0.127401725094323</v>
      </c>
      <c r="AM4" s="0" t="n">
        <f aca="false">IF(Matrice_OD!AM4&lt;=Param!$B$2,EXP(-(Matrice_OD!AM4^2)/Param!$B$5),0)</f>
        <v>0</v>
      </c>
      <c r="AN4" s="0" t="n">
        <f aca="false">IF(Matrice_OD!AN4&lt;=Param!$B$2,EXP(-(Matrice_OD!AN4^2)/Param!$B$5),0)</f>
        <v>0</v>
      </c>
    </row>
    <row r="5" customFormat="false" ht="15" hidden="false" customHeight="true" outlineLevel="0" collapsed="false">
      <c r="A5" s="0" t="s">
        <v>108</v>
      </c>
      <c r="B5" s="0" t="s">
        <v>109</v>
      </c>
      <c r="C5" s="0" t="n">
        <f aca="false">IF(Matrice_OD!C5&lt;=Param!$B$2,EXP(-(Matrice_OD!C5^2)/Param!$B$5),0)</f>
        <v>0.0103217669560703</v>
      </c>
      <c r="D5" s="0" t="n">
        <f aca="false">IF(Matrice_OD!D5&lt;=Param!$B$2,EXP(-(Matrice_OD!D5^2)/Param!$B$5),0)</f>
        <v>0.139871834713732</v>
      </c>
      <c r="E5" s="0" t="n">
        <f aca="false">IF(Matrice_OD!E5&lt;=Param!$B$2,EXP(-(Matrice_OD!E5^2)/Param!$B$5),0)</f>
        <v>0.142604460881423</v>
      </c>
      <c r="F5" s="0" t="n">
        <f aca="false">IF(Matrice_OD!F5&lt;=Param!$B$2,EXP(-(Matrice_OD!F5^2)/Param!$B$5),0)</f>
        <v>0.145184118182993</v>
      </c>
      <c r="G5" s="0" t="n">
        <f aca="false">IF(Matrice_OD!G5&lt;=Param!$B$2,EXP(-(Matrice_OD!G5^2)/Param!$B$5),0)</f>
        <v>0.142509576469097</v>
      </c>
      <c r="H5" s="0" t="n">
        <f aca="false">IF(Matrice_OD!H5&lt;=Param!$B$2,EXP(-(Matrice_OD!H5^2)/Param!$B$5),0)</f>
        <v>0.165164400163178</v>
      </c>
      <c r="I5" s="0" t="n">
        <f aca="false">IF(Matrice_OD!I5&lt;=Param!$B$2,EXP(-(Matrice_OD!I5^2)/Param!$B$5),0)</f>
        <v>0.162955533001458</v>
      </c>
      <c r="J5" s="0" t="n">
        <f aca="false">IF(Matrice_OD!J5&lt;=Param!$B$2,EXP(-(Matrice_OD!J5^2)/Param!$B$5),0)</f>
        <v>0.155747367953006</v>
      </c>
      <c r="K5" s="0" t="n">
        <f aca="false">IF(Matrice_OD!K5&lt;=Param!$B$2,EXP(-(Matrice_OD!K5^2)/Param!$B$5),0)</f>
        <v>0.148579363598241</v>
      </c>
      <c r="L5" s="0" t="n">
        <f aca="false">IF(Matrice_OD!L5&lt;=Param!$B$2,EXP(-(Matrice_OD!L5^2)/Param!$B$5),0)</f>
        <v>0.163269768805506</v>
      </c>
      <c r="M5" s="0" t="n">
        <f aca="false">IF(Matrice_OD!M5&lt;=Param!$B$2,EXP(-(Matrice_OD!M5^2)/Param!$B$5),0)</f>
        <v>0.176311590902794</v>
      </c>
      <c r="N5" s="0" t="n">
        <f aca="false">IF(Matrice_OD!N5&lt;=Param!$B$2,EXP(-(Matrice_OD!N5^2)/Param!$B$5),0)</f>
        <v>0.157476123710092</v>
      </c>
      <c r="O5" s="0" t="n">
        <f aca="false">IF(Matrice_OD!O5&lt;=Param!$B$2,EXP(-(Matrice_OD!O5^2)/Param!$B$5),0)</f>
        <v>0.159218835942544</v>
      </c>
      <c r="P5" s="0" t="n">
        <f aca="false">IF(Matrice_OD!P5&lt;=Param!$B$2,EXP(-(Matrice_OD!P5^2)/Param!$B$5),0)</f>
        <v>0.163060229554127</v>
      </c>
      <c r="Q5" s="0" t="n">
        <f aca="false">IF(Matrice_OD!Q5&lt;=Param!$B$2,EXP(-(Matrice_OD!Q5^2)/Param!$B$5),0)</f>
        <v>0.164109875515616</v>
      </c>
      <c r="R5" s="0" t="n">
        <f aca="false">IF(Matrice_OD!R5&lt;=Param!$B$2,EXP(-(Matrice_OD!R5^2)/Param!$B$5),0)</f>
        <v>0.162015454868794</v>
      </c>
      <c r="S5" s="0" t="n">
        <f aca="false">IF(Matrice_OD!S5&lt;=Param!$B$2,EXP(-(Matrice_OD!S5^2)/Param!$B$5),0)</f>
        <v>0.15595002790006</v>
      </c>
      <c r="T5" s="0" t="n">
        <f aca="false">IF(Matrice_OD!T5&lt;=Param!$B$2,EXP(-(Matrice_OD!T5^2)/Param!$B$5),0)</f>
        <v>0.0741871169352081</v>
      </c>
      <c r="U5" s="0" t="n">
        <f aca="false">IF(Matrice_OD!U5&lt;=Param!$B$2,EXP(-(Matrice_OD!U5^2)/Param!$B$5),0)</f>
        <v>0.0727155277554779</v>
      </c>
      <c r="V5" s="0" t="n">
        <f aca="false">IF(Matrice_OD!V5&lt;=Param!$B$2,EXP(-(Matrice_OD!V5^2)/Param!$B$5),0)</f>
        <v>0</v>
      </c>
      <c r="W5" s="0" t="n">
        <f aca="false">IF(Matrice_OD!W5&lt;=Param!$B$2,EXP(-(Matrice_OD!W5^2)/Param!$B$5),0)</f>
        <v>0</v>
      </c>
      <c r="X5" s="0" t="n">
        <f aca="false">IF(Matrice_OD!X5&lt;=Param!$B$2,EXP(-(Matrice_OD!X5^2)/Param!$B$5),0)</f>
        <v>0</v>
      </c>
      <c r="Y5" s="0" t="n">
        <f aca="false">IF(Matrice_OD!Y5&lt;=Param!$B$2,EXP(-(Matrice_OD!Y5^2)/Param!$B$5),0)</f>
        <v>0</v>
      </c>
      <c r="Z5" s="0" t="n">
        <f aca="false">IF(Matrice_OD!Z5&lt;=Param!$B$2,EXP(-(Matrice_OD!Z5^2)/Param!$B$5),0)</f>
        <v>0</v>
      </c>
      <c r="AA5" s="0" t="n">
        <f aca="false">IF(Matrice_OD!AA5&lt;=Param!$B$2,EXP(-(Matrice_OD!AA5^2)/Param!$B$5),0)</f>
        <v>0</v>
      </c>
      <c r="AB5" s="0" t="n">
        <f aca="false">IF(Matrice_OD!AB5&lt;=Param!$B$2,EXP(-(Matrice_OD!AB5^2)/Param!$B$5),0)</f>
        <v>0.0108491953927966</v>
      </c>
      <c r="AC5" s="0" t="n">
        <f aca="false">IF(Matrice_OD!AC5&lt;=Param!$B$2,EXP(-(Matrice_OD!AC5^2)/Param!$B$5),0)</f>
        <v>0.0276316481494593</v>
      </c>
      <c r="AD5" s="0" t="n">
        <f aca="false">IF(Matrice_OD!AD5&lt;=Param!$B$2,EXP(-(Matrice_OD!AD5^2)/Param!$B$5),0)</f>
        <v>0.0265760401734184</v>
      </c>
      <c r="AE5" s="0" t="n">
        <f aca="false">IF(Matrice_OD!AE5&lt;=Param!$B$2,EXP(-(Matrice_OD!AE5^2)/Param!$B$5),0)</f>
        <v>0.0246591315678668</v>
      </c>
      <c r="AF5" s="0" t="n">
        <f aca="false">IF(Matrice_OD!AF5&lt;=Param!$B$2,EXP(-(Matrice_OD!AF5^2)/Param!$B$5),0)</f>
        <v>0.0244562075328131</v>
      </c>
      <c r="AG5" s="0" t="n">
        <f aca="false">IF(Matrice_OD!AG5&lt;=Param!$B$2,EXP(-(Matrice_OD!AG5^2)/Param!$B$5),0)</f>
        <v>0</v>
      </c>
      <c r="AH5" s="0" t="n">
        <f aca="false">IF(Matrice_OD!AH5&lt;=Param!$B$2,EXP(-(Matrice_OD!AH5^2)/Param!$B$5),0)</f>
        <v>0.172029357727133</v>
      </c>
      <c r="AI5" s="0" t="n">
        <f aca="false">IF(Matrice_OD!AI5&lt;=Param!$B$2,EXP(-(Matrice_OD!AI5^2)/Param!$B$5),0)</f>
        <v>0.0690858705608478</v>
      </c>
      <c r="AJ5" s="0" t="n">
        <f aca="false">IF(Matrice_OD!AJ5&lt;=Param!$B$2,EXP(-(Matrice_OD!AJ5^2)/Param!$B$5),0)</f>
        <v>0</v>
      </c>
      <c r="AK5" s="0" t="n">
        <f aca="false">IF(Matrice_OD!AK5&lt;=Param!$B$2,EXP(-(Matrice_OD!AK5^2)/Param!$B$5),0)</f>
        <v>0.0160368516263625</v>
      </c>
      <c r="AL5" s="0" t="n">
        <f aca="false">IF(Matrice_OD!AL5&lt;=Param!$B$2,EXP(-(Matrice_OD!AL5^2)/Param!$B$5),0)</f>
        <v>0.0246591315678668</v>
      </c>
      <c r="AM5" s="0" t="n">
        <f aca="false">IF(Matrice_OD!AM5&lt;=Param!$B$2,EXP(-(Matrice_OD!AM5^2)/Param!$B$5),0)</f>
        <v>0</v>
      </c>
      <c r="AN5" s="0" t="n">
        <f aca="false">IF(Matrice_OD!AN5&lt;=Param!$B$2,EXP(-(Matrice_OD!AN5^2)/Param!$B$5),0)</f>
        <v>0</v>
      </c>
    </row>
    <row r="6" customFormat="false" ht="15" hidden="false" customHeight="true" outlineLevel="0" collapsed="false">
      <c r="A6" s="0" t="s">
        <v>110</v>
      </c>
      <c r="B6" s="0" t="s">
        <v>111</v>
      </c>
      <c r="C6" s="0" t="n">
        <f aca="false">IF(Matrice_OD!C6&lt;=Param!$B$2,EXP(-(Matrice_OD!C6^2)/Param!$B$5),0)</f>
        <v>0.64707679710623</v>
      </c>
      <c r="D6" s="0" t="n">
        <f aca="false">IF(Matrice_OD!D6&lt;=Param!$B$2,EXP(-(Matrice_OD!D6^2)/Param!$B$5),0)</f>
        <v>0.76247529698061</v>
      </c>
      <c r="E6" s="0" t="n">
        <f aca="false">IF(Matrice_OD!E6&lt;=Param!$B$2,EXP(-(Matrice_OD!E6^2)/Param!$B$5),0)</f>
        <v>0.735601435202157</v>
      </c>
      <c r="F6" s="0" t="n">
        <f aca="false">IF(Matrice_OD!F6&lt;=Param!$B$2,EXP(-(Matrice_OD!F6^2)/Param!$B$5),0)</f>
        <v>0.74083797260529</v>
      </c>
      <c r="G6" s="0" t="n">
        <f aca="false">IF(Matrice_OD!G6&lt;=Param!$B$2,EXP(-(Matrice_OD!G6^2)/Param!$B$5),0)</f>
        <v>0.723096808054518</v>
      </c>
      <c r="H6" s="0" t="n">
        <f aca="false">IF(Matrice_OD!H6&lt;=Param!$B$2,EXP(-(Matrice_OD!H6^2)/Param!$B$5),0)</f>
        <v>0.778421441720594</v>
      </c>
      <c r="I6" s="0" t="n">
        <f aca="false">IF(Matrice_OD!I6&lt;=Param!$B$2,EXP(-(Matrice_OD!I6^2)/Param!$B$5),0)</f>
        <v>0.742964392240327</v>
      </c>
      <c r="J6" s="0" t="n">
        <f aca="false">IF(Matrice_OD!J6&lt;=Param!$B$2,EXP(-(Matrice_OD!J6^2)/Param!$B$5),0)</f>
        <v>0.732682014552594</v>
      </c>
      <c r="K6" s="0" t="n">
        <f aca="false">IF(Matrice_OD!K6&lt;=Param!$B$2,EXP(-(Matrice_OD!K6^2)/Param!$B$5),0)</f>
        <v>0.728973934871613</v>
      </c>
      <c r="L6" s="0" t="n">
        <f aca="false">IF(Matrice_OD!L6&lt;=Param!$B$2,EXP(-(Matrice_OD!L6^2)/Param!$B$5),0)</f>
        <v>0.743543607922059</v>
      </c>
      <c r="M6" s="0" t="n">
        <f aca="false">IF(Matrice_OD!M6&lt;=Param!$B$2,EXP(-(Matrice_OD!M6^2)/Param!$B$5),0)</f>
        <v>0.764366820757969</v>
      </c>
      <c r="N6" s="0" t="n">
        <f aca="false">IF(Matrice_OD!N6&lt;=Param!$B$2,EXP(-(Matrice_OD!N6^2)/Param!$B$5),0)</f>
        <v>0.7414183125923</v>
      </c>
      <c r="O6" s="0" t="n">
        <f aca="false">IF(Matrice_OD!O6&lt;=Param!$B$2,EXP(-(Matrice_OD!O6^2)/Param!$B$5),0)</f>
        <v>0.735990146492918</v>
      </c>
      <c r="P6" s="0" t="n">
        <f aca="false">IF(Matrice_OD!P6&lt;=Param!$B$2,EXP(-(Matrice_OD!P6^2)/Param!$B$5),0)</f>
        <v>0.734239931781285</v>
      </c>
      <c r="Q6" s="0" t="n">
        <f aca="false">IF(Matrice_OD!Q6&lt;=Param!$B$2,EXP(-(Matrice_OD!Q6^2)/Param!$B$5),0)</f>
        <v>0.727605007035869</v>
      </c>
      <c r="R6" s="0" t="n">
        <f aca="false">IF(Matrice_OD!R6&lt;=Param!$B$2,EXP(-(Matrice_OD!R6^2)/Param!$B$5),0)</f>
        <v>0.7250588110941</v>
      </c>
      <c r="S6" s="0" t="n">
        <f aca="false">IF(Matrice_OD!S6&lt;=Param!$B$2,EXP(-(Matrice_OD!S6^2)/Param!$B$5),0)</f>
        <v>0.719557953228929</v>
      </c>
      <c r="T6" s="0" t="n">
        <f aca="false">IF(Matrice_OD!T6&lt;=Param!$B$2,EXP(-(Matrice_OD!T6^2)/Param!$B$5),0)</f>
        <v>0.379711372778733</v>
      </c>
      <c r="U6" s="0" t="n">
        <f aca="false">IF(Matrice_OD!U6&lt;=Param!$B$2,EXP(-(Matrice_OD!U6^2)/Param!$B$5),0)</f>
        <v>0.0653986063887814</v>
      </c>
      <c r="V6" s="0" t="n">
        <f aca="false">IF(Matrice_OD!V6&lt;=Param!$B$2,EXP(-(Matrice_OD!V6^2)/Param!$B$5),0)</f>
        <v>0.0396725371331298</v>
      </c>
      <c r="W6" s="0" t="n">
        <f aca="false">IF(Matrice_OD!W6&lt;=Param!$B$2,EXP(-(Matrice_OD!W6^2)/Param!$B$5),0)</f>
        <v>0.0328832934892321</v>
      </c>
      <c r="X6" s="0" t="n">
        <f aca="false">IF(Matrice_OD!X6&lt;=Param!$B$2,EXP(-(Matrice_OD!X6^2)/Param!$B$5),0)</f>
        <v>0.0325658519708339</v>
      </c>
      <c r="Y6" s="0" t="n">
        <f aca="false">IF(Matrice_OD!Y6&lt;=Param!$B$2,EXP(-(Matrice_OD!Y6^2)/Param!$B$5),0)</f>
        <v>0.0325084173858296</v>
      </c>
      <c r="Z6" s="0" t="n">
        <f aca="false">IF(Matrice_OD!Z6&lt;=Param!$B$2,EXP(-(Matrice_OD!Z6^2)/Param!$B$5),0)</f>
        <v>0.0316852894635683</v>
      </c>
      <c r="AA6" s="0" t="n">
        <f aca="false">IF(Matrice_OD!AA6&lt;=Param!$B$2,EXP(-(Matrice_OD!AA6^2)/Param!$B$5),0)</f>
        <v>0.0278319717747592</v>
      </c>
      <c r="AB6" s="0" t="n">
        <f aca="false">IF(Matrice_OD!AB6&lt;=Param!$B$2,EXP(-(Matrice_OD!AB6^2)/Param!$B$5),0)</f>
        <v>0.0260495364824484</v>
      </c>
      <c r="AC6" s="0" t="n">
        <f aca="false">IF(Matrice_OD!AC6&lt;=Param!$B$2,EXP(-(Matrice_OD!AC6^2)/Param!$B$5),0)</f>
        <v>0</v>
      </c>
      <c r="AD6" s="0" t="n">
        <f aca="false">IF(Matrice_OD!AD6&lt;=Param!$B$2,EXP(-(Matrice_OD!AD6^2)/Param!$B$5),0)</f>
        <v>0</v>
      </c>
      <c r="AE6" s="0" t="n">
        <f aca="false">IF(Matrice_OD!AE6&lt;=Param!$B$2,EXP(-(Matrice_OD!AE6^2)/Param!$B$5),0)</f>
        <v>0</v>
      </c>
      <c r="AF6" s="0" t="n">
        <f aca="false">IF(Matrice_OD!AF6&lt;=Param!$B$2,EXP(-(Matrice_OD!AF6^2)/Param!$B$5),0)</f>
        <v>0</v>
      </c>
      <c r="AG6" s="0" t="n">
        <f aca="false">IF(Matrice_OD!AG6&lt;=Param!$B$2,EXP(-(Matrice_OD!AG6^2)/Param!$B$5),0)</f>
        <v>0.0106743959598803</v>
      </c>
      <c r="AH6" s="0" t="n">
        <f aca="false">IF(Matrice_OD!AH6&lt;=Param!$B$2,EXP(-(Matrice_OD!AH6^2)/Param!$B$5),0)</f>
        <v>0.704122139624339</v>
      </c>
      <c r="AI6" s="0" t="n">
        <f aca="false">IF(Matrice_OD!AI6&lt;=Param!$B$2,EXP(-(Matrice_OD!AI6^2)/Param!$B$5),0)</f>
        <v>0.38669125058284</v>
      </c>
      <c r="AJ6" s="0" t="n">
        <f aca="false">IF(Matrice_OD!AJ6&lt;=Param!$B$2,EXP(-(Matrice_OD!AJ6^2)/Param!$B$5),0)</f>
        <v>0.0302000048251447</v>
      </c>
      <c r="AK6" s="0" t="n">
        <f aca="false">IF(Matrice_OD!AK6&lt;=Param!$B$2,EXP(-(Matrice_OD!AK6^2)/Param!$B$5),0)</f>
        <v>0</v>
      </c>
      <c r="AL6" s="0" t="n">
        <f aca="false">IF(Matrice_OD!AL6&lt;=Param!$B$2,EXP(-(Matrice_OD!AL6^2)/Param!$B$5),0)</f>
        <v>0</v>
      </c>
      <c r="AM6" s="0" t="n">
        <f aca="false">IF(Matrice_OD!AM6&lt;=Param!$B$2,EXP(-(Matrice_OD!AM6^2)/Param!$B$5),0)</f>
        <v>0.628108351443389</v>
      </c>
      <c r="AN6" s="0" t="n">
        <f aca="false">IF(Matrice_OD!AN6&lt;=Param!$B$2,EXP(-(Matrice_OD!AN6^2)/Param!$B$5),0)</f>
        <v>0</v>
      </c>
    </row>
    <row r="7" customFormat="false" ht="15" hidden="false" customHeight="true" outlineLevel="0" collapsed="false">
      <c r="A7" s="0" t="s">
        <v>112</v>
      </c>
      <c r="B7" s="0" t="s">
        <v>113</v>
      </c>
      <c r="C7" s="0" t="n">
        <f aca="false">IF(Matrice_OD!C7&lt;=Param!$B$2,EXP(-(Matrice_OD!C7^2)/Param!$B$5),0)</f>
        <v>0.744122513646933</v>
      </c>
      <c r="D7" s="0" t="n">
        <f aca="false">IF(Matrice_OD!D7&lt;=Param!$B$2,EXP(-(Matrice_OD!D7^2)/Param!$B$5),0)</f>
        <v>0.887039809745468</v>
      </c>
      <c r="E7" s="0" t="n">
        <f aca="false">IF(Matrice_OD!E7&lt;=Param!$B$2,EXP(-(Matrice_OD!E7^2)/Param!$B$5),0)</f>
        <v>0.863289471632677</v>
      </c>
      <c r="F7" s="0" t="n">
        <f aca="false">IF(Matrice_OD!F7&lt;=Param!$B$2,EXP(-(Matrice_OD!F7^2)/Param!$B$5),0)</f>
        <v>0.861548985370825</v>
      </c>
      <c r="G7" s="0" t="n">
        <f aca="false">IF(Matrice_OD!G7&lt;=Param!$B$2,EXP(-(Matrice_OD!G7^2)/Param!$B$5),0)</f>
        <v>0.853047539346422</v>
      </c>
      <c r="H7" s="0" t="n">
        <f aca="false">IF(Matrice_OD!H7&lt;=Param!$B$2,EXP(-(Matrice_OD!H7^2)/Param!$B$5),0)</f>
        <v>0.842368270678715</v>
      </c>
      <c r="I7" s="0" t="n">
        <f aca="false">IF(Matrice_OD!I7&lt;=Param!$B$2,EXP(-(Matrice_OD!I7^2)/Param!$B$5),0)</f>
        <v>0.840200075155445</v>
      </c>
      <c r="J7" s="0" t="n">
        <f aca="false">IF(Matrice_OD!J7&lt;=Param!$B$2,EXP(-(Matrice_OD!J7^2)/Param!$B$5),0)</f>
        <v>0.834987502476546</v>
      </c>
      <c r="K7" s="0" t="n">
        <f aca="false">IF(Matrice_OD!K7&lt;=Param!$B$2,EXP(-(Matrice_OD!K7^2)/Param!$B$5),0)</f>
        <v>0.831763771102671</v>
      </c>
      <c r="L7" s="0" t="n">
        <f aca="false">IF(Matrice_OD!L7&lt;=Param!$B$2,EXP(-(Matrice_OD!L7^2)/Param!$B$5),0)</f>
        <v>0.830399939076956</v>
      </c>
      <c r="M7" s="0" t="n">
        <f aca="false">IF(Matrice_OD!M7&lt;=Param!$B$2,EXP(-(Matrice_OD!M7^2)/Param!$B$5),0)</f>
        <v>0.829887521779269</v>
      </c>
      <c r="N7" s="0" t="n">
        <f aca="false">IF(Matrice_OD!N7&lt;=Param!$B$2,EXP(-(Matrice_OD!N7^2)/Param!$B$5),0)</f>
        <v>0.824906903725655</v>
      </c>
      <c r="O7" s="0" t="n">
        <f aca="false">IF(Matrice_OD!O7&lt;=Param!$B$2,EXP(-(Matrice_OD!O7^2)/Param!$B$5),0)</f>
        <v>0.823870332434186</v>
      </c>
      <c r="P7" s="0" t="n">
        <f aca="false">IF(Matrice_OD!P7&lt;=Param!$B$2,EXP(-(Matrice_OD!P7^2)/Param!$B$5),0)</f>
        <v>0.822138128633267</v>
      </c>
      <c r="Q7" s="0" t="n">
        <f aca="false">IF(Matrice_OD!Q7&lt;=Param!$B$2,EXP(-(Matrice_OD!Q7^2)/Param!$B$5),0)</f>
        <v>0.816381789529541</v>
      </c>
      <c r="R7" s="0" t="n">
        <f aca="false">IF(Matrice_OD!R7&lt;=Param!$B$2,EXP(-(Matrice_OD!R7^2)/Param!$B$5),0)</f>
        <v>0.814097543804378</v>
      </c>
      <c r="S7" s="0" t="n">
        <f aca="false">IF(Matrice_OD!S7&lt;=Param!$B$2,EXP(-(Matrice_OD!S7^2)/Param!$B$5),0)</f>
        <v>0.809146501090841</v>
      </c>
      <c r="T7" s="0" t="n">
        <f aca="false">IF(Matrice_OD!T7&lt;=Param!$B$2,EXP(-(Matrice_OD!T7^2)/Param!$B$5),0)</f>
        <v>0.330315150484314</v>
      </c>
      <c r="U7" s="0" t="n">
        <f aca="false">IF(Matrice_OD!U7&lt;=Param!$B$2,EXP(-(Matrice_OD!U7^2)/Param!$B$5),0)</f>
        <v>0.0792267790273952</v>
      </c>
      <c r="V7" s="0" t="n">
        <f aca="false">IF(Matrice_OD!V7&lt;=Param!$B$2,EXP(-(Matrice_OD!V7^2)/Param!$B$5),0)</f>
        <v>0.0308525988957048</v>
      </c>
      <c r="W7" s="0" t="n">
        <f aca="false">IF(Matrice_OD!W7&lt;=Param!$B$2,EXP(-(Matrice_OD!W7^2)/Param!$B$5),0)</f>
        <v>0.0253924780916529</v>
      </c>
      <c r="X7" s="0" t="n">
        <f aca="false">IF(Matrice_OD!X7&lt;=Param!$B$2,EXP(-(Matrice_OD!X7^2)/Param!$B$5),0)</f>
        <v>0.0251382926481107</v>
      </c>
      <c r="Y7" s="0" t="n">
        <f aca="false">IF(Matrice_OD!Y7&lt;=Param!$B$2,EXP(-(Matrice_OD!Y7^2)/Param!$B$5),0)</f>
        <v>0.0250923141432433</v>
      </c>
      <c r="Z7" s="0" t="n">
        <f aca="false">IF(Matrice_OD!Z7&lt;=Param!$B$2,EXP(-(Matrice_OD!Z7^2)/Param!$B$5),0)</f>
        <v>0.0244337498585158</v>
      </c>
      <c r="AA7" s="0" t="n">
        <f aca="false">IF(Matrice_OD!AA7&lt;=Param!$B$2,EXP(-(Matrice_OD!AA7^2)/Param!$B$5),0)</f>
        <v>0.0213606368915543</v>
      </c>
      <c r="AB7" s="0" t="n">
        <f aca="false">IF(Matrice_OD!AB7&lt;=Param!$B$2,EXP(-(Matrice_OD!AB7^2)/Param!$B$5),0)</f>
        <v>0.0199637330099946</v>
      </c>
      <c r="AC7" s="0" t="n">
        <f aca="false">IF(Matrice_OD!AC7&lt;=Param!$B$2,EXP(-(Matrice_OD!AC7^2)/Param!$B$5),0)</f>
        <v>0</v>
      </c>
      <c r="AD7" s="0" t="n">
        <f aca="false">IF(Matrice_OD!AD7&lt;=Param!$B$2,EXP(-(Matrice_OD!AD7^2)/Param!$B$5),0)</f>
        <v>0</v>
      </c>
      <c r="AE7" s="0" t="n">
        <f aca="false">IF(Matrice_OD!AE7&lt;=Param!$B$2,EXP(-(Matrice_OD!AE7^2)/Param!$B$5),0)</f>
        <v>0</v>
      </c>
      <c r="AF7" s="0" t="n">
        <f aca="false">IF(Matrice_OD!AF7&lt;=Param!$B$2,EXP(-(Matrice_OD!AF7^2)/Param!$B$5),0)</f>
        <v>0</v>
      </c>
      <c r="AG7" s="0" t="n">
        <f aca="false">IF(Matrice_OD!AG7&lt;=Param!$B$2,EXP(-(Matrice_OD!AG7^2)/Param!$B$5),0)</f>
        <v>0.0333497393863763</v>
      </c>
      <c r="AH7" s="0" t="n">
        <f aca="false">IF(Matrice_OD!AH7&lt;=Param!$B$2,EXP(-(Matrice_OD!AH7^2)/Param!$B$5),0)</f>
        <v>0.795138650173725</v>
      </c>
      <c r="AI7" s="0" t="n">
        <f aca="false">IF(Matrice_OD!AI7&lt;=Param!$B$2,EXP(-(Matrice_OD!AI7^2)/Param!$B$5),0)</f>
        <v>0.315096249968263</v>
      </c>
      <c r="AJ7" s="0" t="n">
        <f aca="false">IF(Matrice_OD!AJ7&lt;=Param!$B$2,EXP(-(Matrice_OD!AJ7^2)/Param!$B$5),0)</f>
        <v>0.0232472430823076</v>
      </c>
      <c r="AK7" s="0" t="n">
        <f aca="false">IF(Matrice_OD!AK7&lt;=Param!$B$2,EXP(-(Matrice_OD!AK7^2)/Param!$B$5),0)</f>
        <v>0</v>
      </c>
      <c r="AL7" s="0" t="n">
        <f aca="false">IF(Matrice_OD!AL7&lt;=Param!$B$2,EXP(-(Matrice_OD!AL7^2)/Param!$B$5),0)</f>
        <v>0</v>
      </c>
      <c r="AM7" s="0" t="n">
        <f aca="false">IF(Matrice_OD!AM7&lt;=Param!$B$2,EXP(-(Matrice_OD!AM7^2)/Param!$B$5),0)</f>
        <v>0.71284897728678</v>
      </c>
      <c r="AN7" s="0" t="n">
        <f aca="false">IF(Matrice_OD!AN7&lt;=Param!$B$2,EXP(-(Matrice_OD!AN7^2)/Param!$B$5),0)</f>
        <v>0</v>
      </c>
    </row>
    <row r="8" customFormat="false" ht="15" hidden="false" customHeight="true" outlineLevel="0" collapsed="false">
      <c r="A8" s="0" t="s">
        <v>114</v>
      </c>
      <c r="B8" s="0" t="s">
        <v>115</v>
      </c>
      <c r="C8" s="0" t="n">
        <f aca="false">IF(Matrice_OD!C8&lt;=Param!$B$2,EXP(-(Matrice_OD!C8^2)/Param!$B$5),0)</f>
        <v>0.546905133652319</v>
      </c>
      <c r="D8" s="0" t="n">
        <f aca="false">IF(Matrice_OD!D8&lt;=Param!$B$2,EXP(-(Matrice_OD!D8^2)/Param!$B$5),0)</f>
        <v>0.904049062167124</v>
      </c>
      <c r="E8" s="0" t="n">
        <f aca="false">IF(Matrice_OD!E8&lt;=Param!$B$2,EXP(-(Matrice_OD!E8^2)/Param!$B$5),0)</f>
        <v>0.881718143958816</v>
      </c>
      <c r="F8" s="0" t="n">
        <f aca="false">IF(Matrice_OD!F8&lt;=Param!$B$2,EXP(-(Matrice_OD!F8^2)/Param!$B$5),0)</f>
        <v>0.880072587557873</v>
      </c>
      <c r="G8" s="0" t="n">
        <f aca="false">IF(Matrice_OD!G8&lt;=Param!$B$2,EXP(-(Matrice_OD!G8^2)/Param!$B$5),0)</f>
        <v>0.872018758033344</v>
      </c>
      <c r="H8" s="0" t="n">
        <f aca="false">IF(Matrice_OD!H8&lt;=Param!$B$2,EXP(-(Matrice_OD!H8^2)/Param!$B$5),0)</f>
        <v>0.86186605821849</v>
      </c>
      <c r="I8" s="0" t="n">
        <f aca="false">IF(Matrice_OD!I8&lt;=Param!$B$2,EXP(-(Matrice_OD!I8^2)/Param!$B$5),0)</f>
        <v>0.859800178343393</v>
      </c>
      <c r="J8" s="0" t="n">
        <f aca="false">IF(Matrice_OD!J8&lt;=Param!$B$2,EXP(-(Matrice_OD!J8^2)/Param!$B$5),0)</f>
        <v>0.854827517233847</v>
      </c>
      <c r="K8" s="0" t="n">
        <f aca="false">IF(Matrice_OD!K8&lt;=Param!$B$2,EXP(-(Matrice_OD!K8^2)/Param!$B$5),0)</f>
        <v>0.851747977724902</v>
      </c>
      <c r="L8" s="0" t="n">
        <f aca="false">IF(Matrice_OD!L8&lt;=Param!$B$2,EXP(-(Matrice_OD!L8^2)/Param!$B$5),0)</f>
        <v>0.850444206934509</v>
      </c>
      <c r="M8" s="0" t="n">
        <f aca="false">IF(Matrice_OD!M8&lt;=Param!$B$2,EXP(-(Matrice_OD!M8^2)/Param!$B$5),0)</f>
        <v>0.849954212895136</v>
      </c>
      <c r="N8" s="0" t="n">
        <f aca="false">IF(Matrice_OD!N8&lt;=Param!$B$2,EXP(-(Matrice_OD!N8^2)/Param!$B$5),0)</f>
        <v>0.845187540948877</v>
      </c>
      <c r="O8" s="0" t="n">
        <f aca="false">IF(Matrice_OD!O8&lt;=Param!$B$2,EXP(-(Matrice_OD!O8^2)/Param!$B$5),0)</f>
        <v>0.844028883066505</v>
      </c>
      <c r="P8" s="0" t="n">
        <f aca="false">IF(Matrice_OD!P8&lt;=Param!$B$2,EXP(-(Matrice_OD!P8^2)/Param!$B$5),0)</f>
        <v>0.842534615898828</v>
      </c>
      <c r="Q8" s="0" t="n">
        <f aca="false">IF(Matrice_OD!Q8&lt;=Param!$B$2,EXP(-(Matrice_OD!Q8^2)/Param!$B$5),0)</f>
        <v>0.836843880088113</v>
      </c>
      <c r="R8" s="0" t="n">
        <f aca="false">IF(Matrice_OD!R8&lt;=Param!$B$2,EXP(-(Matrice_OD!R8^2)/Param!$B$5),0)</f>
        <v>0.834818375659236</v>
      </c>
      <c r="S8" s="0" t="n">
        <f aca="false">IF(Matrice_OD!S8&lt;=Param!$B$2,EXP(-(Matrice_OD!S8^2)/Param!$B$5),0)</f>
        <v>0.829887521779269</v>
      </c>
      <c r="T8" s="0" t="n">
        <f aca="false">IF(Matrice_OD!T8&lt;=Param!$B$2,EXP(-(Matrice_OD!T8^2)/Param!$B$5),0)</f>
        <v>0.303433968797941</v>
      </c>
      <c r="U8" s="0" t="n">
        <f aca="false">IF(Matrice_OD!U8&lt;=Param!$B$2,EXP(-(Matrice_OD!U8^2)/Param!$B$5),0)</f>
        <v>0.0867141113486009</v>
      </c>
      <c r="V8" s="0" t="n">
        <f aca="false">IF(Matrice_OD!V8&lt;=Param!$B$2,EXP(-(Matrice_OD!V8^2)/Param!$B$5),0)</f>
        <v>0.0265760401734184</v>
      </c>
      <c r="W8" s="0" t="n">
        <f aca="false">IF(Matrice_OD!W8&lt;=Param!$B$2,EXP(-(Matrice_OD!W8^2)/Param!$B$5),0)</f>
        <v>0.0217837647501264</v>
      </c>
      <c r="X8" s="0" t="n">
        <f aca="false">IF(Matrice_OD!X8&lt;=Param!$B$2,EXP(-(Matrice_OD!X8^2)/Param!$B$5),0)</f>
        <v>0.0215612262487885</v>
      </c>
      <c r="Y8" s="0" t="n">
        <f aca="false">IF(Matrice_OD!Y8&lt;=Param!$B$2,EXP(-(Matrice_OD!Y8^2)/Param!$B$5),0)</f>
        <v>0.0215410938612453</v>
      </c>
      <c r="Z8" s="0" t="n">
        <f aca="false">IF(Matrice_OD!Z8&lt;=Param!$B$2,EXP(-(Matrice_OD!Z8^2)/Param!$B$5),0)</f>
        <v>0.0209643240564319</v>
      </c>
      <c r="AA8" s="0" t="n">
        <f aca="false">IF(Matrice_OD!AA8&lt;=Param!$B$2,EXP(-(Matrice_OD!AA8^2)/Param!$B$5),0)</f>
        <v>0.0182603505726095</v>
      </c>
      <c r="AB8" s="0" t="n">
        <f aca="false">IF(Matrice_OD!AB8&lt;=Param!$B$2,EXP(-(Matrice_OD!AB8^2)/Param!$B$5),0)</f>
        <v>0.0170430157147525</v>
      </c>
      <c r="AC8" s="0" t="n">
        <f aca="false">IF(Matrice_OD!AC8&lt;=Param!$B$2,EXP(-(Matrice_OD!AC8^2)/Param!$B$5),0)</f>
        <v>0</v>
      </c>
      <c r="AD8" s="0" t="n">
        <f aca="false">IF(Matrice_OD!AD8&lt;=Param!$B$2,EXP(-(Matrice_OD!AD8^2)/Param!$B$5),0)</f>
        <v>0</v>
      </c>
      <c r="AE8" s="0" t="n">
        <f aca="false">IF(Matrice_OD!AE8&lt;=Param!$B$2,EXP(-(Matrice_OD!AE8^2)/Param!$B$5),0)</f>
        <v>0</v>
      </c>
      <c r="AF8" s="0" t="n">
        <f aca="false">IF(Matrice_OD!AF8&lt;=Param!$B$2,EXP(-(Matrice_OD!AF8^2)/Param!$B$5),0)</f>
        <v>0</v>
      </c>
      <c r="AG8" s="0" t="n">
        <f aca="false">IF(Matrice_OD!AG8&lt;=Param!$B$2,EXP(-(Matrice_OD!AG8^2)/Param!$B$5),0)</f>
        <v>0.0144189194619473</v>
      </c>
      <c r="AH8" s="0" t="n">
        <f aca="false">IF(Matrice_OD!AH8&lt;=Param!$B$2,EXP(-(Matrice_OD!AH8^2)/Param!$B$5),0)</f>
        <v>0.816557116040134</v>
      </c>
      <c r="AI8" s="0" t="n">
        <f aca="false">IF(Matrice_OD!AI8&lt;=Param!$B$2,EXP(-(Matrice_OD!AI8^2)/Param!$B$5),0)</f>
        <v>0.288945920944286</v>
      </c>
      <c r="AJ8" s="0" t="n">
        <f aca="false">IF(Matrice_OD!AJ8&lt;=Param!$B$2,EXP(-(Matrice_OD!AJ8^2)/Param!$B$5),0)</f>
        <v>0.0199260950456022</v>
      </c>
      <c r="AK8" s="0" t="n">
        <f aca="false">IF(Matrice_OD!AK8&lt;=Param!$B$2,EXP(-(Matrice_OD!AK8^2)/Param!$B$5),0)</f>
        <v>0</v>
      </c>
      <c r="AL8" s="0" t="n">
        <f aca="false">IF(Matrice_OD!AL8&lt;=Param!$B$2,EXP(-(Matrice_OD!AL8^2)/Param!$B$5),0)</f>
        <v>0</v>
      </c>
      <c r="AM8" s="0" t="n">
        <f aca="false">IF(Matrice_OD!AM8&lt;=Param!$B$2,EXP(-(Matrice_OD!AM8^2)/Param!$B$5),0)</f>
        <v>0.514280431948792</v>
      </c>
      <c r="AN8" s="0" t="n">
        <f aca="false">IF(Matrice_OD!AN8&lt;=Param!$B$2,EXP(-(Matrice_OD!AN8^2)/Param!$B$5),0)</f>
        <v>0</v>
      </c>
    </row>
    <row r="9" customFormat="false" ht="15" hidden="false" customHeight="true" outlineLevel="0" collapsed="false">
      <c r="A9" s="0" t="s">
        <v>116</v>
      </c>
      <c r="B9" s="0" t="s">
        <v>117</v>
      </c>
      <c r="C9" s="0" t="n">
        <f aca="false">IF(Matrice_OD!C9&lt;=Param!$B$2,EXP(-(Matrice_OD!C9^2)/Param!$B$5),0)</f>
        <v>0.226203609626012</v>
      </c>
      <c r="D9" s="0" t="n">
        <f aca="false">IF(Matrice_OD!D9&lt;=Param!$B$2,EXP(-(Matrice_OD!D9^2)/Param!$B$5),0)</f>
        <v>0.791862862136285</v>
      </c>
      <c r="E9" s="0" t="n">
        <f aca="false">IF(Matrice_OD!E9&lt;=Param!$B$2,EXP(-(Matrice_OD!E9^2)/Param!$B$5),0)</f>
        <v>0.79713273090835</v>
      </c>
      <c r="F9" s="0" t="n">
        <f aca="false">IF(Matrice_OD!F9&lt;=Param!$B$2,EXP(-(Matrice_OD!F9^2)/Param!$B$5),0)</f>
        <v>0.802001736535491</v>
      </c>
      <c r="G9" s="0" t="n">
        <f aca="false">IF(Matrice_OD!G9&lt;=Param!$B$2,EXP(-(Matrice_OD!G9^2)/Param!$B$5),0)</f>
        <v>0.796951697482067</v>
      </c>
      <c r="H9" s="0" t="n">
        <f aca="false">IF(Matrice_OD!H9&lt;=Param!$B$2,EXP(-(Matrice_OD!H9^2)/Param!$B$5),0)</f>
        <v>0.836506906231336</v>
      </c>
      <c r="I9" s="0" t="n">
        <f aca="false">IF(Matrice_OD!I9&lt;=Param!$B$2,EXP(-(Matrice_OD!I9^2)/Param!$B$5),0)</f>
        <v>0.832953988970963</v>
      </c>
      <c r="J9" s="0" t="n">
        <f aca="false">IF(Matrice_OD!J9&lt;=Param!$B$2,EXP(-(Matrice_OD!J9^2)/Param!$B$5),0)</f>
        <v>0.820922199347636</v>
      </c>
      <c r="K9" s="0" t="n">
        <f aca="false">IF(Matrice_OD!K9&lt;=Param!$B$2,EXP(-(Matrice_OD!K9^2)/Param!$B$5),0)</f>
        <v>0.808257977894676</v>
      </c>
      <c r="L9" s="0" t="n">
        <f aca="false">IF(Matrice_OD!L9&lt;=Param!$B$2,EXP(-(Matrice_OD!L9^2)/Param!$B$5),0)</f>
        <v>0.833463182002041</v>
      </c>
      <c r="M9" s="0" t="n">
        <f aca="false">IF(Matrice_OD!M9&lt;=Param!$B$2,EXP(-(Matrice_OD!M9^2)/Param!$B$5),0)</f>
        <v>0.853533784602221</v>
      </c>
      <c r="N9" s="0" t="n">
        <f aca="false">IF(Matrice_OD!N9&lt;=Param!$B$2,EXP(-(Matrice_OD!N9^2)/Param!$B$5),0)</f>
        <v>0.823870332434186</v>
      </c>
      <c r="O9" s="0" t="n">
        <f aca="false">IF(Matrice_OD!O9&lt;=Param!$B$2,EXP(-(Matrice_OD!O9^2)/Param!$B$5),0)</f>
        <v>0.826801882523582</v>
      </c>
      <c r="P9" s="0" t="n">
        <f aca="false">IF(Matrice_OD!P9&lt;=Param!$B$2,EXP(-(Matrice_OD!P9^2)/Param!$B$5),0)</f>
        <v>0.833123780139735</v>
      </c>
      <c r="Q9" s="0" t="n">
        <f aca="false">IF(Matrice_OD!Q9&lt;=Param!$B$2,EXP(-(Matrice_OD!Q9^2)/Param!$B$5),0)</f>
        <v>0.834818375659236</v>
      </c>
      <c r="R9" s="0" t="n">
        <f aca="false">IF(Matrice_OD!R9&lt;=Param!$B$2,EXP(-(Matrice_OD!R9^2)/Param!$B$5),0)</f>
        <v>0.831423170482501</v>
      </c>
      <c r="S9" s="0" t="n">
        <f aca="false">IF(Matrice_OD!S9&lt;=Param!$B$2,EXP(-(Matrice_OD!S9^2)/Param!$B$5),0)</f>
        <v>0.821269891018711</v>
      </c>
      <c r="T9" s="0" t="n">
        <f aca="false">IF(Matrice_OD!T9&lt;=Param!$B$2,EXP(-(Matrice_OD!T9^2)/Param!$B$5),0)</f>
        <v>0.294815287571194</v>
      </c>
      <c r="U9" s="0" t="n">
        <f aca="false">IF(Matrice_OD!U9&lt;=Param!$B$2,EXP(-(Matrice_OD!U9^2)/Param!$B$5),0)</f>
        <v>0.327173446824047</v>
      </c>
      <c r="V9" s="0" t="n">
        <f aca="false">IF(Matrice_OD!V9&lt;=Param!$B$2,EXP(-(Matrice_OD!V9^2)/Param!$B$5),0)</f>
        <v>0.0608470850630192</v>
      </c>
      <c r="W9" s="0" t="n">
        <f aca="false">IF(Matrice_OD!W9&lt;=Param!$B$2,EXP(-(Matrice_OD!W9^2)/Param!$B$5),0)</f>
        <v>0.0697889146771552</v>
      </c>
      <c r="X9" s="0" t="n">
        <f aca="false">IF(Matrice_OD!X9&lt;=Param!$B$2,EXP(-(Matrice_OD!X9^2)/Param!$B$5),0)</f>
        <v>0.0774974975430708</v>
      </c>
      <c r="Y9" s="0" t="n">
        <f aca="false">IF(Matrice_OD!Y9&lt;=Param!$B$2,EXP(-(Matrice_OD!Y9^2)/Param!$B$5),0)</f>
        <v>0.077438413063469</v>
      </c>
      <c r="Z9" s="0" t="n">
        <f aca="false">IF(Matrice_OD!Z9&lt;=Param!$B$2,EXP(-(Matrice_OD!Z9^2)/Param!$B$5),0)</f>
        <v>0.0757406731277333</v>
      </c>
      <c r="AA9" s="0" t="n">
        <f aca="false">IF(Matrice_OD!AA9&lt;=Param!$B$2,EXP(-(Matrice_OD!AA9^2)/Param!$B$5),0)</f>
        <v>0.0787466699836615</v>
      </c>
      <c r="AB9" s="0" t="n">
        <f aca="false">IF(Matrice_OD!AB9&lt;=Param!$B$2,EXP(-(Matrice_OD!AB9^2)/Param!$B$5),0)</f>
        <v>0.086391278516113</v>
      </c>
      <c r="AC9" s="0" t="n">
        <f aca="false">IF(Matrice_OD!AC9&lt;=Param!$B$2,EXP(-(Matrice_OD!AC9^2)/Param!$B$5),0)</f>
        <v>0</v>
      </c>
      <c r="AD9" s="0" t="n">
        <f aca="false">IF(Matrice_OD!AD9&lt;=Param!$B$2,EXP(-(Matrice_OD!AD9^2)/Param!$B$5),0)</f>
        <v>0</v>
      </c>
      <c r="AE9" s="0" t="n">
        <f aca="false">IF(Matrice_OD!AE9&lt;=Param!$B$2,EXP(-(Matrice_OD!AE9^2)/Param!$B$5),0)</f>
        <v>0</v>
      </c>
      <c r="AF9" s="0" t="n">
        <f aca="false">IF(Matrice_OD!AF9&lt;=Param!$B$2,EXP(-(Matrice_OD!AF9^2)/Param!$B$5),0)</f>
        <v>0</v>
      </c>
      <c r="AG9" s="0" t="n">
        <f aca="false">IF(Matrice_OD!AG9&lt;=Param!$B$2,EXP(-(Matrice_OD!AG9^2)/Param!$B$5),0)</f>
        <v>0</v>
      </c>
      <c r="AH9" s="0" t="n">
        <f aca="false">IF(Matrice_OD!AH9&lt;=Param!$B$2,EXP(-(Matrice_OD!AH9^2)/Param!$B$5),0)</f>
        <v>0.847166531688659</v>
      </c>
      <c r="AI9" s="0" t="n">
        <f aca="false">IF(Matrice_OD!AI9&lt;=Param!$B$2,EXP(-(Matrice_OD!AI9^2)/Param!$B$5),0)</f>
        <v>0.280726385910376</v>
      </c>
      <c r="AJ9" s="0" t="n">
        <f aca="false">IF(Matrice_OD!AJ9&lt;=Param!$B$2,EXP(-(Matrice_OD!AJ9^2)/Param!$B$5),0)</f>
        <v>0.0726594033285822</v>
      </c>
      <c r="AK9" s="0" t="n">
        <f aca="false">IF(Matrice_OD!AK9&lt;=Param!$B$2,EXP(-(Matrice_OD!AK9^2)/Param!$B$5),0)</f>
        <v>0</v>
      </c>
      <c r="AL9" s="0" t="n">
        <f aca="false">IF(Matrice_OD!AL9&lt;=Param!$B$2,EXP(-(Matrice_OD!AL9^2)/Param!$B$5),0)</f>
        <v>0</v>
      </c>
      <c r="AM9" s="0" t="n">
        <f aca="false">IF(Matrice_OD!AM9&lt;=Param!$B$2,EXP(-(Matrice_OD!AM9^2)/Param!$B$5),0)</f>
        <v>0.204948358588653</v>
      </c>
      <c r="AN9" s="0" t="n">
        <f aca="false">IF(Matrice_OD!AN9&lt;=Param!$B$2,EXP(-(Matrice_OD!AN9^2)/Param!$B$5),0)</f>
        <v>0</v>
      </c>
    </row>
    <row r="10" customFormat="false" ht="15" hidden="false" customHeight="true" outlineLevel="0" collapsed="false">
      <c r="A10" s="0" t="s">
        <v>118</v>
      </c>
      <c r="B10" s="0" t="s">
        <v>119</v>
      </c>
      <c r="C10" s="0" t="n">
        <f aca="false">IF(Matrice_OD!C10&lt;=Param!$B$2,EXP(-(Matrice_OD!C10^2)/Param!$B$5),0)</f>
        <v>0.436776768524269</v>
      </c>
      <c r="D10" s="0" t="n">
        <f aca="false">IF(Matrice_OD!D10&lt;=Param!$B$2,EXP(-(Matrice_OD!D10^2)/Param!$B$5),0)</f>
        <v>0.91796567982156</v>
      </c>
      <c r="E10" s="0" t="n">
        <f aca="false">IF(Matrice_OD!E10&lt;=Param!$B$2,EXP(-(Matrice_OD!E10^2)/Param!$B$5),0)</f>
        <v>0.899346424412405</v>
      </c>
      <c r="F10" s="0" t="n">
        <f aca="false">IF(Matrice_OD!F10&lt;=Param!$B$2,EXP(-(Matrice_OD!F10^2)/Param!$B$5),0)</f>
        <v>0.903088570090024</v>
      </c>
      <c r="G10" s="0" t="n">
        <f aca="false">IF(Matrice_OD!G10&lt;=Param!$B$2,EXP(-(Matrice_OD!G10^2)/Param!$B$5),0)</f>
        <v>0.890243152678759</v>
      </c>
      <c r="H10" s="0" t="n">
        <f aca="false">IF(Matrice_OD!H10&lt;=Param!$B$2,EXP(-(Matrice_OD!H10^2)/Param!$B$5),0)</f>
        <v>0.928535301815805</v>
      </c>
      <c r="I10" s="0" t="n">
        <f aca="false">IF(Matrice_OD!I10&lt;=Param!$B$2,EXP(-(Matrice_OD!I10^2)/Param!$B$5),0)</f>
        <v>0.904596110448641</v>
      </c>
      <c r="J10" s="0" t="n">
        <f aca="false">IF(Matrice_OD!J10&lt;=Param!$B$2,EXP(-(Matrice_OD!J10^2)/Param!$B$5),0)</f>
        <v>0.897242021026383</v>
      </c>
      <c r="K10" s="0" t="n">
        <f aca="false">IF(Matrice_OD!K10&lt;=Param!$B$2,EXP(-(Matrice_OD!K10^2)/Param!$B$5),0)</f>
        <v>0.894550655469208</v>
      </c>
      <c r="L10" s="0" t="n">
        <f aca="false">IF(Matrice_OD!L10&lt;=Param!$B$2,EXP(-(Matrice_OD!L10^2)/Param!$B$5),0)</f>
        <v>0.904869141365975</v>
      </c>
      <c r="M10" s="0" t="n">
        <f aca="false">IF(Matrice_OD!M10&lt;=Param!$B$2,EXP(-(Matrice_OD!M10^2)/Param!$B$5),0)</f>
        <v>0.919369253029908</v>
      </c>
      <c r="N10" s="0" t="n">
        <f aca="false">IF(Matrice_OD!N10&lt;=Param!$B$2,EXP(-(Matrice_OD!N10^2)/Param!$B$5),0)</f>
        <v>0.903500700945039</v>
      </c>
      <c r="O10" s="0" t="n">
        <f aca="false">IF(Matrice_OD!O10&lt;=Param!$B$2,EXP(-(Matrice_OD!O10^2)/Param!$B$5),0)</f>
        <v>0.899625645188375</v>
      </c>
      <c r="P10" s="0" t="n">
        <f aca="false">IF(Matrice_OD!P10&lt;=Param!$B$2,EXP(-(Matrice_OD!P10^2)/Param!$B$5),0)</f>
        <v>0.898226322242763</v>
      </c>
      <c r="Q10" s="0" t="n">
        <f aca="false">IF(Matrice_OD!Q10&lt;=Param!$B$2,EXP(-(Matrice_OD!Q10^2)/Param!$B$5),0)</f>
        <v>0.893551890046291</v>
      </c>
      <c r="R10" s="0" t="n">
        <f aca="false">IF(Matrice_OD!R10&lt;=Param!$B$2,EXP(-(Matrice_OD!R10^2)/Param!$B$5),0)</f>
        <v>0.8916868164794</v>
      </c>
      <c r="S10" s="0" t="n">
        <f aca="false">IF(Matrice_OD!S10&lt;=Param!$B$2,EXP(-(Matrice_OD!S10^2)/Param!$B$5),0)</f>
        <v>0.887625010643043</v>
      </c>
      <c r="T10" s="0" t="n">
        <f aca="false">IF(Matrice_OD!T10&lt;=Param!$B$2,EXP(-(Matrice_OD!T10^2)/Param!$B$5),0)</f>
        <v>0.592736948490589</v>
      </c>
      <c r="U10" s="0" t="n">
        <f aca="false">IF(Matrice_OD!U10&lt;=Param!$B$2,EXP(-(Matrice_OD!U10^2)/Param!$B$5),0)</f>
        <v>0.131908435038641</v>
      </c>
      <c r="V10" s="0" t="n">
        <f aca="false">IF(Matrice_OD!V10&lt;=Param!$B$2,EXP(-(Matrice_OD!V10^2)/Param!$B$5),0)</f>
        <v>0.0946151089563842</v>
      </c>
      <c r="W10" s="0" t="n">
        <f aca="false">IF(Matrice_OD!W10&lt;=Param!$B$2,EXP(-(Matrice_OD!W10^2)/Param!$B$5),0)</f>
        <v>0.0805592029169386</v>
      </c>
      <c r="X10" s="0" t="n">
        <f aca="false">IF(Matrice_OD!X10&lt;=Param!$B$2,EXP(-(Matrice_OD!X10^2)/Param!$B$5),0)</f>
        <v>0.079890762811558</v>
      </c>
      <c r="Y10" s="0" t="n">
        <f aca="false">IF(Matrice_OD!Y10&lt;=Param!$B$2,EXP(-(Matrice_OD!Y10^2)/Param!$B$5),0)</f>
        <v>0.0797697075770034</v>
      </c>
      <c r="Z10" s="0" t="n">
        <f aca="false">IF(Matrice_OD!Z10&lt;=Param!$B$2,EXP(-(Matrice_OD!Z10^2)/Param!$B$5),0)</f>
        <v>0.0780308913489377</v>
      </c>
      <c r="AA10" s="0" t="n">
        <f aca="false">IF(Matrice_OD!AA10&lt;=Param!$B$2,EXP(-(Matrice_OD!AA10^2)/Param!$B$5),0)</f>
        <v>0.0697889146771552</v>
      </c>
      <c r="AB10" s="0" t="n">
        <f aca="false">IF(Matrice_OD!AB10&lt;=Param!$B$2,EXP(-(Matrice_OD!AB10^2)/Param!$B$5),0)</f>
        <v>0.0659153058560925</v>
      </c>
      <c r="AC10" s="0" t="n">
        <f aca="false">IF(Matrice_OD!AC10&lt;=Param!$B$2,EXP(-(Matrice_OD!AC10^2)/Param!$B$5),0)</f>
        <v>0</v>
      </c>
      <c r="AD10" s="0" t="n">
        <f aca="false">IF(Matrice_OD!AD10&lt;=Param!$B$2,EXP(-(Matrice_OD!AD10^2)/Param!$B$5),0)</f>
        <v>0</v>
      </c>
      <c r="AE10" s="0" t="n">
        <f aca="false">IF(Matrice_OD!AE10&lt;=Param!$B$2,EXP(-(Matrice_OD!AE10^2)/Param!$B$5),0)</f>
        <v>0</v>
      </c>
      <c r="AF10" s="0" t="n">
        <f aca="false">IF(Matrice_OD!AF10&lt;=Param!$B$2,EXP(-(Matrice_OD!AF10^2)/Param!$B$5),0)</f>
        <v>0</v>
      </c>
      <c r="AG10" s="0" t="n">
        <f aca="false">IF(Matrice_OD!AG10&lt;=Param!$B$2,EXP(-(Matrice_OD!AG10^2)/Param!$B$5),0)</f>
        <v>0</v>
      </c>
      <c r="AH10" s="0" t="n">
        <f aca="false">IF(Matrice_OD!AH10&lt;=Param!$B$2,EXP(-(Matrice_OD!AH10^2)/Param!$B$5),0)</f>
        <v>0.875995403106668</v>
      </c>
      <c r="AI10" s="0" t="n">
        <f aca="false">IF(Matrice_OD!AI10&lt;=Param!$B$2,EXP(-(Matrice_OD!AI10^2)/Param!$B$5),0)</f>
        <v>0.573949202525948</v>
      </c>
      <c r="AJ10" s="0" t="n">
        <f aca="false">IF(Matrice_OD!AJ10&lt;=Param!$B$2,EXP(-(Matrice_OD!AJ10^2)/Param!$B$5),0)</f>
        <v>0.0748743791977568</v>
      </c>
      <c r="AK10" s="0" t="n">
        <f aca="false">IF(Matrice_OD!AK10&lt;=Param!$B$2,EXP(-(Matrice_OD!AK10^2)/Param!$B$5),0)</f>
        <v>0</v>
      </c>
      <c r="AL10" s="0" t="n">
        <f aca="false">IF(Matrice_OD!AL10&lt;=Param!$B$2,EXP(-(Matrice_OD!AL10^2)/Param!$B$5),0)</f>
        <v>0</v>
      </c>
      <c r="AM10" s="0" t="n">
        <f aca="false">IF(Matrice_OD!AM10&lt;=Param!$B$2,EXP(-(Matrice_OD!AM10^2)/Param!$B$5),0)</f>
        <v>0.406330116177128</v>
      </c>
      <c r="AN10" s="0" t="n">
        <f aca="false">IF(Matrice_OD!AN10&lt;=Param!$B$2,EXP(-(Matrice_OD!AN10^2)/Param!$B$5),0)</f>
        <v>0</v>
      </c>
    </row>
    <row r="11" customFormat="false" ht="15" hidden="false" customHeight="true" outlineLevel="0" collapsed="false">
      <c r="A11" s="0" t="s">
        <v>120</v>
      </c>
      <c r="B11" s="0" t="s">
        <v>121</v>
      </c>
      <c r="C11" s="0" t="n">
        <f aca="false">IF(Matrice_OD!C11&lt;=Param!$B$2,EXP(-(Matrice_OD!C11^2)/Param!$B$5),0)</f>
        <v>0.10471285480509</v>
      </c>
      <c r="D11" s="0" t="n">
        <f aca="false">IF(Matrice_OD!D11&lt;=Param!$B$2,EXP(-(Matrice_OD!D11^2)/Param!$B$5),0)</f>
        <v>0.660693448007596</v>
      </c>
      <c r="E11" s="0" t="n">
        <f aca="false">IF(Matrice_OD!E11&lt;=Param!$B$2,EXP(-(Matrice_OD!E11^2)/Param!$B$5),0)</f>
        <v>0.660693448007596</v>
      </c>
      <c r="F11" s="0" t="n">
        <f aca="false">IF(Matrice_OD!F11&lt;=Param!$B$2,EXP(-(Matrice_OD!F11^2)/Param!$B$5),0)</f>
        <v>0.680904837674421</v>
      </c>
      <c r="G11" s="0" t="n">
        <f aca="false">IF(Matrice_OD!G11&lt;=Param!$B$2,EXP(-(Matrice_OD!G11^2)/Param!$B$5),0)</f>
        <v>0.720738593271745</v>
      </c>
      <c r="H11" s="0" t="n">
        <f aca="false">IF(Matrice_OD!H11&lt;=Param!$B$2,EXP(-(Matrice_OD!H11^2)/Param!$B$5),0)</f>
        <v>0.680904837674421</v>
      </c>
      <c r="I11" s="0" t="n">
        <f aca="false">IF(Matrice_OD!I11&lt;=Param!$B$2,EXP(-(Matrice_OD!I11^2)/Param!$B$5),0)</f>
        <v>0.740257329316953</v>
      </c>
      <c r="J11" s="0" t="n">
        <f aca="false">IF(Matrice_OD!J11&lt;=Param!$B$2,EXP(-(Matrice_OD!J11^2)/Param!$B$5),0)</f>
        <v>0.720738593271745</v>
      </c>
      <c r="K11" s="0" t="n">
        <f aca="false">IF(Matrice_OD!K11&lt;=Param!$B$2,EXP(-(Matrice_OD!K11^2)/Param!$B$5),0)</f>
        <v>0.720738593271745</v>
      </c>
      <c r="L11" s="0" t="n">
        <f aca="false">IF(Matrice_OD!L11&lt;=Param!$B$2,EXP(-(Matrice_OD!L11^2)/Param!$B$5),0)</f>
        <v>0.759440628290726</v>
      </c>
      <c r="M11" s="0" t="n">
        <f aca="false">IF(Matrice_OD!M11&lt;=Param!$B$2,EXP(-(Matrice_OD!M11^2)/Param!$B$5),0)</f>
        <v>0.660693448007596</v>
      </c>
      <c r="N11" s="0" t="n">
        <f aca="false">IF(Matrice_OD!N11&lt;=Param!$B$2,EXP(-(Matrice_OD!N11^2)/Param!$B$5),0)</f>
        <v>0.720738593271745</v>
      </c>
      <c r="O11" s="0" t="n">
        <f aca="false">IF(Matrice_OD!O11&lt;=Param!$B$2,EXP(-(Matrice_OD!O11^2)/Param!$B$5),0)</f>
        <v>0.740257329316953</v>
      </c>
      <c r="P11" s="0" t="n">
        <f aca="false">IF(Matrice_OD!P11&lt;=Param!$B$2,EXP(-(Matrice_OD!P11^2)/Param!$B$5),0)</f>
        <v>0.759440628290726</v>
      </c>
      <c r="Q11" s="0" t="n">
        <f aca="false">IF(Matrice_OD!Q11&lt;=Param!$B$2,EXP(-(Matrice_OD!Q11^2)/Param!$B$5),0)</f>
        <v>0.778235631545844</v>
      </c>
      <c r="R11" s="0" t="n">
        <f aca="false">IF(Matrice_OD!R11&lt;=Param!$B$2,EXP(-(Matrice_OD!R11^2)/Param!$B$5),0)</f>
        <v>0.759440628290726</v>
      </c>
      <c r="S11" s="0" t="n">
        <f aca="false">IF(Matrice_OD!S11&lt;=Param!$B$2,EXP(-(Matrice_OD!S11^2)/Param!$B$5),0)</f>
        <v>0.759440628290726</v>
      </c>
      <c r="T11" s="0" t="n">
        <f aca="false">IF(Matrice_OD!T11&lt;=Param!$B$2,EXP(-(Matrice_OD!T11^2)/Param!$B$5),0)</f>
        <v>0.0840319505381621</v>
      </c>
      <c r="U11" s="0" t="n">
        <f aca="false">IF(Matrice_OD!U11&lt;=Param!$B$2,EXP(-(Matrice_OD!U11^2)/Param!$B$5),0)</f>
        <v>0.0239883291901949</v>
      </c>
      <c r="V11" s="0" t="n">
        <f aca="false">IF(Matrice_OD!V11&lt;=Param!$B$2,EXP(-(Matrice_OD!V11^2)/Param!$B$5),0)</f>
        <v>0</v>
      </c>
      <c r="W11" s="0" t="n">
        <f aca="false">IF(Matrice_OD!W11&lt;=Param!$B$2,EXP(-(Matrice_OD!W11^2)/Param!$B$5),0)</f>
        <v>0</v>
      </c>
      <c r="X11" s="0" t="n">
        <f aca="false">IF(Matrice_OD!X11&lt;=Param!$B$2,EXP(-(Matrice_OD!X11^2)/Param!$B$5),0)</f>
        <v>0</v>
      </c>
      <c r="Y11" s="0" t="n">
        <f aca="false">IF(Matrice_OD!Y11&lt;=Param!$B$2,EXP(-(Matrice_OD!Y11^2)/Param!$B$5),0)</f>
        <v>0</v>
      </c>
      <c r="Z11" s="0" t="n">
        <f aca="false">IF(Matrice_OD!Z11&lt;=Param!$B$2,EXP(-(Matrice_OD!Z11^2)/Param!$B$5),0)</f>
        <v>0</v>
      </c>
      <c r="AA11" s="0" t="n">
        <f aca="false">IF(Matrice_OD!AA11&lt;=Param!$B$2,EXP(-(Matrice_OD!AA11^2)/Param!$B$5),0)</f>
        <v>0</v>
      </c>
      <c r="AB11" s="0" t="n">
        <f aca="false">IF(Matrice_OD!AB11&lt;=Param!$B$2,EXP(-(Matrice_OD!AB11^2)/Param!$B$5),0)</f>
        <v>0</v>
      </c>
      <c r="AC11" s="0" t="n">
        <f aca="false">IF(Matrice_OD!AC11&lt;=Param!$B$2,EXP(-(Matrice_OD!AC11^2)/Param!$B$5),0)</f>
        <v>0</v>
      </c>
      <c r="AD11" s="0" t="n">
        <f aca="false">IF(Matrice_OD!AD11&lt;=Param!$B$2,EXP(-(Matrice_OD!AD11^2)/Param!$B$5),0)</f>
        <v>0</v>
      </c>
      <c r="AE11" s="0" t="n">
        <f aca="false">IF(Matrice_OD!AE11&lt;=Param!$B$2,EXP(-(Matrice_OD!AE11^2)/Param!$B$5),0)</f>
        <v>0</v>
      </c>
      <c r="AF11" s="0" t="n">
        <f aca="false">IF(Matrice_OD!AF11&lt;=Param!$B$2,EXP(-(Matrice_OD!AF11^2)/Param!$B$5),0)</f>
        <v>0</v>
      </c>
      <c r="AG11" s="0" t="n">
        <f aca="false">IF(Matrice_OD!AG11&lt;=Param!$B$2,EXP(-(Matrice_OD!AG11^2)/Param!$B$5),0)</f>
        <v>0</v>
      </c>
      <c r="AH11" s="0" t="n">
        <f aca="false">IF(Matrice_OD!AH11&lt;=Param!$B$2,EXP(-(Matrice_OD!AH11^2)/Param!$B$5),0)</f>
        <v>0.778235631545844</v>
      </c>
      <c r="AI11" s="0" t="n">
        <f aca="false">IF(Matrice_OD!AI11&lt;=Param!$B$2,EXP(-(Matrice_OD!AI11^2)/Param!$B$5),0)</f>
        <v>0.0840319505381621</v>
      </c>
      <c r="AJ11" s="0" t="n">
        <f aca="false">IF(Matrice_OD!AJ11&lt;=Param!$B$2,EXP(-(Matrice_OD!AJ11^2)/Param!$B$5),0)</f>
        <v>0</v>
      </c>
      <c r="AK11" s="0" t="n">
        <f aca="false">IF(Matrice_OD!AK11&lt;=Param!$B$2,EXP(-(Matrice_OD!AK11^2)/Param!$B$5),0)</f>
        <v>0</v>
      </c>
      <c r="AL11" s="0" t="n">
        <f aca="false">IF(Matrice_OD!AL11&lt;=Param!$B$2,EXP(-(Matrice_OD!AL11^2)/Param!$B$5),0)</f>
        <v>0</v>
      </c>
      <c r="AM11" s="0" t="n">
        <f aca="false">IF(Matrice_OD!AM11&lt;=Param!$B$2,EXP(-(Matrice_OD!AM11^2)/Param!$B$5),0)</f>
        <v>0.112425336863241</v>
      </c>
      <c r="AN11" s="0" t="n">
        <f aca="false">IF(Matrice_OD!AN11&lt;=Param!$B$2,EXP(-(Matrice_OD!AN11^2)/Param!$B$5),0)</f>
        <v>0</v>
      </c>
    </row>
    <row r="12" customFormat="false" ht="15" hidden="false" customHeight="true" outlineLevel="0" collapsed="false">
      <c r="A12" s="0" t="s">
        <v>122</v>
      </c>
      <c r="B12" s="0" t="s">
        <v>123</v>
      </c>
      <c r="C12" s="0" t="n">
        <f aca="false">IF(Matrice_OD!C12&lt;=Param!$B$2,EXP(-(Matrice_OD!C12^2)/Param!$B$5),0)</f>
        <v>0</v>
      </c>
      <c r="D12" s="0" t="n">
        <f aca="false">IF(Matrice_OD!D12&lt;=Param!$B$2,EXP(-(Matrice_OD!D12^2)/Param!$B$5),0)</f>
        <v>0</v>
      </c>
      <c r="E12" s="0" t="n">
        <f aca="false">IF(Matrice_OD!E12&lt;=Param!$B$2,EXP(-(Matrice_OD!E12^2)/Param!$B$5),0)</f>
        <v>0</v>
      </c>
      <c r="F12" s="0" t="n">
        <f aca="false">IF(Matrice_OD!F12&lt;=Param!$B$2,EXP(-(Matrice_OD!F12^2)/Param!$B$5),0)</f>
        <v>0</v>
      </c>
      <c r="G12" s="0" t="n">
        <f aca="false">IF(Matrice_OD!G12&lt;=Param!$B$2,EXP(-(Matrice_OD!G12^2)/Param!$B$5),0)</f>
        <v>0</v>
      </c>
      <c r="H12" s="0" t="n">
        <f aca="false">IF(Matrice_OD!H12&lt;=Param!$B$2,EXP(-(Matrice_OD!H12^2)/Param!$B$5),0)</f>
        <v>0</v>
      </c>
      <c r="I12" s="0" t="n">
        <f aca="false">IF(Matrice_OD!I12&lt;=Param!$B$2,EXP(-(Matrice_OD!I12^2)/Param!$B$5),0)</f>
        <v>0</v>
      </c>
      <c r="J12" s="0" t="n">
        <f aca="false">IF(Matrice_OD!J12&lt;=Param!$B$2,EXP(-(Matrice_OD!J12^2)/Param!$B$5),0)</f>
        <v>0</v>
      </c>
      <c r="K12" s="0" t="n">
        <f aca="false">IF(Matrice_OD!K12&lt;=Param!$B$2,EXP(-(Matrice_OD!K12^2)/Param!$B$5),0)</f>
        <v>0</v>
      </c>
      <c r="L12" s="0" t="n">
        <f aca="false">IF(Matrice_OD!L12&lt;=Param!$B$2,EXP(-(Matrice_OD!L12^2)/Param!$B$5),0)</f>
        <v>0</v>
      </c>
      <c r="M12" s="0" t="n">
        <f aca="false">IF(Matrice_OD!M12&lt;=Param!$B$2,EXP(-(Matrice_OD!M12^2)/Param!$B$5),0)</f>
        <v>0</v>
      </c>
      <c r="N12" s="0" t="n">
        <f aca="false">IF(Matrice_OD!N12&lt;=Param!$B$2,EXP(-(Matrice_OD!N12^2)/Param!$B$5),0)</f>
        <v>0</v>
      </c>
      <c r="O12" s="0" t="n">
        <f aca="false">IF(Matrice_OD!O12&lt;=Param!$B$2,EXP(-(Matrice_OD!O12^2)/Param!$B$5),0)</f>
        <v>0</v>
      </c>
      <c r="P12" s="0" t="n">
        <f aca="false">IF(Matrice_OD!P12&lt;=Param!$B$2,EXP(-(Matrice_OD!P12^2)/Param!$B$5),0)</f>
        <v>0</v>
      </c>
      <c r="Q12" s="0" t="n">
        <f aca="false">IF(Matrice_OD!Q12&lt;=Param!$B$2,EXP(-(Matrice_OD!Q12^2)/Param!$B$5),0)</f>
        <v>0</v>
      </c>
      <c r="R12" s="0" t="n">
        <f aca="false">IF(Matrice_OD!R12&lt;=Param!$B$2,EXP(-(Matrice_OD!R12^2)/Param!$B$5),0)</f>
        <v>0</v>
      </c>
      <c r="S12" s="0" t="n">
        <f aca="false">IF(Matrice_OD!S12&lt;=Param!$B$2,EXP(-(Matrice_OD!S12^2)/Param!$B$5),0)</f>
        <v>0</v>
      </c>
      <c r="T12" s="0" t="n">
        <f aca="false">IF(Matrice_OD!T12&lt;=Param!$B$2,EXP(-(Matrice_OD!T12^2)/Param!$B$5),0)</f>
        <v>0</v>
      </c>
      <c r="U12" s="0" t="n">
        <f aca="false">IF(Matrice_OD!U12&lt;=Param!$B$2,EXP(-(Matrice_OD!U12^2)/Param!$B$5),0)</f>
        <v>0</v>
      </c>
      <c r="V12" s="0" t="n">
        <f aca="false">IF(Matrice_OD!V12&lt;=Param!$B$2,EXP(-(Matrice_OD!V12^2)/Param!$B$5),0)</f>
        <v>0</v>
      </c>
      <c r="W12" s="0" t="n">
        <f aca="false">IF(Matrice_OD!W12&lt;=Param!$B$2,EXP(-(Matrice_OD!W12^2)/Param!$B$5),0)</f>
        <v>0</v>
      </c>
      <c r="X12" s="0" t="n">
        <f aca="false">IF(Matrice_OD!X12&lt;=Param!$B$2,EXP(-(Matrice_OD!X12^2)/Param!$B$5),0)</f>
        <v>0</v>
      </c>
      <c r="Y12" s="0" t="n">
        <f aca="false">IF(Matrice_OD!Y12&lt;=Param!$B$2,EXP(-(Matrice_OD!Y12^2)/Param!$B$5),0)</f>
        <v>0</v>
      </c>
      <c r="Z12" s="0" t="n">
        <f aca="false">IF(Matrice_OD!Z12&lt;=Param!$B$2,EXP(-(Matrice_OD!Z12^2)/Param!$B$5),0)</f>
        <v>0</v>
      </c>
      <c r="AA12" s="0" t="n">
        <f aca="false">IF(Matrice_OD!AA12&lt;=Param!$B$2,EXP(-(Matrice_OD!AA12^2)/Param!$B$5),0)</f>
        <v>0</v>
      </c>
      <c r="AB12" s="0" t="n">
        <f aca="false">IF(Matrice_OD!AB12&lt;=Param!$B$2,EXP(-(Matrice_OD!AB12^2)/Param!$B$5),0)</f>
        <v>0</v>
      </c>
      <c r="AC12" s="0" t="n">
        <f aca="false">IF(Matrice_OD!AC12&lt;=Param!$B$2,EXP(-(Matrice_OD!AC12^2)/Param!$B$5),0)</f>
        <v>0</v>
      </c>
      <c r="AD12" s="0" t="n">
        <f aca="false">IF(Matrice_OD!AD12&lt;=Param!$B$2,EXP(-(Matrice_OD!AD12^2)/Param!$B$5),0)</f>
        <v>0</v>
      </c>
      <c r="AE12" s="0" t="n">
        <f aca="false">IF(Matrice_OD!AE12&lt;=Param!$B$2,EXP(-(Matrice_OD!AE12^2)/Param!$B$5),0)</f>
        <v>0</v>
      </c>
      <c r="AF12" s="0" t="n">
        <f aca="false">IF(Matrice_OD!AF12&lt;=Param!$B$2,EXP(-(Matrice_OD!AF12^2)/Param!$B$5),0)</f>
        <v>0</v>
      </c>
      <c r="AG12" s="0" t="n">
        <f aca="false">IF(Matrice_OD!AG12&lt;=Param!$B$2,EXP(-(Matrice_OD!AG12^2)/Param!$B$5),0)</f>
        <v>0</v>
      </c>
      <c r="AH12" s="0" t="n">
        <f aca="false">IF(Matrice_OD!AH12&lt;=Param!$B$2,EXP(-(Matrice_OD!AH12^2)/Param!$B$5),0)</f>
        <v>0</v>
      </c>
      <c r="AI12" s="0" t="n">
        <f aca="false">IF(Matrice_OD!AI12&lt;=Param!$B$2,EXP(-(Matrice_OD!AI12^2)/Param!$B$5),0)</f>
        <v>0</v>
      </c>
      <c r="AJ12" s="0" t="n">
        <f aca="false">IF(Matrice_OD!AJ12&lt;=Param!$B$2,EXP(-(Matrice_OD!AJ12^2)/Param!$B$5),0)</f>
        <v>0</v>
      </c>
      <c r="AK12" s="0" t="n">
        <f aca="false">IF(Matrice_OD!AK12&lt;=Param!$B$2,EXP(-(Matrice_OD!AK12^2)/Param!$B$5),0)</f>
        <v>0</v>
      </c>
      <c r="AL12" s="0" t="n">
        <f aca="false">IF(Matrice_OD!AL12&lt;=Param!$B$2,EXP(-(Matrice_OD!AL12^2)/Param!$B$5),0)</f>
        <v>0</v>
      </c>
      <c r="AM12" s="0" t="n">
        <f aca="false">IF(Matrice_OD!AM12&lt;=Param!$B$2,EXP(-(Matrice_OD!AM12^2)/Param!$B$5),0)</f>
        <v>0</v>
      </c>
      <c r="AN12" s="0" t="n">
        <f aca="false">IF(Matrice_OD!AN12&lt;=Param!$B$2,EXP(-(Matrice_OD!AN12^2)/Param!$B$5),0)</f>
        <v>0</v>
      </c>
    </row>
    <row r="13" customFormat="false" ht="15" hidden="false" customHeight="true" outlineLevel="0" collapsed="false">
      <c r="A13" s="0" t="s">
        <v>124</v>
      </c>
      <c r="B13" s="0" t="s">
        <v>125</v>
      </c>
      <c r="C13" s="0" t="n">
        <f aca="false">IF(Matrice_OD!C13&lt;=Param!$B$2,EXP(-(Matrice_OD!C13^2)/Param!$B$5),0)</f>
        <v>0.0105556795529798</v>
      </c>
      <c r="D13" s="0" t="n">
        <f aca="false">IF(Matrice_OD!D13&lt;=Param!$B$2,EXP(-(Matrice_OD!D13^2)/Param!$B$5),0)</f>
        <v>0.141941255382408</v>
      </c>
      <c r="E13" s="0" t="n">
        <f aca="false">IF(Matrice_OD!E13&lt;=Param!$B$2,EXP(-(Matrice_OD!E13^2)/Param!$B$5),0)</f>
        <v>0.144703813071829</v>
      </c>
      <c r="F13" s="0" t="n">
        <f aca="false">IF(Matrice_OD!F13&lt;=Param!$B$2,EXP(-(Matrice_OD!F13^2)/Param!$B$5),0)</f>
        <v>0.147311496687363</v>
      </c>
      <c r="G13" s="0" t="n">
        <f aca="false">IF(Matrice_OD!G13&lt;=Param!$B$2,EXP(-(Matrice_OD!G13^2)/Param!$B$5),0)</f>
        <v>0.144512021208166</v>
      </c>
      <c r="H13" s="0" t="n">
        <f aca="false">IF(Matrice_OD!H13&lt;=Param!$B$2,EXP(-(Matrice_OD!H13^2)/Param!$B$5),0)</f>
        <v>0.167394814331214</v>
      </c>
      <c r="I13" s="0" t="n">
        <f aca="false">IF(Matrice_OD!I13&lt;=Param!$B$2,EXP(-(Matrice_OD!I13^2)/Param!$B$5),0)</f>
        <v>0.165270121237396</v>
      </c>
      <c r="J13" s="0" t="n">
        <f aca="false">IF(Matrice_OD!J13&lt;=Param!$B$2,EXP(-(Matrice_OD!J13^2)/Param!$B$5),0)</f>
        <v>0.157884916576688</v>
      </c>
      <c r="K13" s="0" t="n">
        <f aca="false">IF(Matrice_OD!K13&lt;=Param!$B$2,EXP(-(Matrice_OD!K13^2)/Param!$B$5),0)</f>
        <v>0.150743293611197</v>
      </c>
      <c r="L13" s="0" t="n">
        <f aca="false">IF(Matrice_OD!L13&lt;=Param!$B$2,EXP(-(Matrice_OD!L13^2)/Param!$B$5),0)</f>
        <v>0.165481709994318</v>
      </c>
      <c r="M13" s="0" t="n">
        <f aca="false">IF(Matrice_OD!M13&lt;=Param!$B$2,EXP(-(Matrice_OD!M13^2)/Param!$B$5),0)</f>
        <v>0.17864859497507</v>
      </c>
      <c r="N13" s="0" t="n">
        <f aca="false">IF(Matrice_OD!N13&lt;=Param!$B$2,EXP(-(Matrice_OD!N13^2)/Param!$B$5),0)</f>
        <v>0.159734060181499</v>
      </c>
      <c r="O13" s="0" t="n">
        <f aca="false">IF(Matrice_OD!O13&lt;=Param!$B$2,EXP(-(Matrice_OD!O13^2)/Param!$B$5),0)</f>
        <v>0.161390925143335</v>
      </c>
      <c r="P13" s="0" t="n">
        <f aca="false">IF(Matrice_OD!P13&lt;=Param!$B$2,EXP(-(Matrice_OD!P13^2)/Param!$B$5),0)</f>
        <v>0.165270121237396</v>
      </c>
      <c r="Q13" s="0" t="n">
        <f aca="false">IF(Matrice_OD!Q13&lt;=Param!$B$2,EXP(-(Matrice_OD!Q13^2)/Param!$B$5),0)</f>
        <v>0.166436279862592</v>
      </c>
      <c r="R13" s="0" t="n">
        <f aca="false">IF(Matrice_OD!R13&lt;=Param!$B$2,EXP(-(Matrice_OD!R13^2)/Param!$B$5),0)</f>
        <v>0.164320389915218</v>
      </c>
      <c r="S13" s="0" t="n">
        <f aca="false">IF(Matrice_OD!S13&lt;=Param!$B$2,EXP(-(Matrice_OD!S13^2)/Param!$B$5),0)</f>
        <v>0.158192018609258</v>
      </c>
      <c r="T13" s="0" t="n">
        <f aca="false">IF(Matrice_OD!T13&lt;=Param!$B$2,EXP(-(Matrice_OD!T13^2)/Param!$B$5),0)</f>
        <v>0.0663310601065694</v>
      </c>
      <c r="U13" s="0" t="n">
        <f aca="false">IF(Matrice_OD!U13&lt;=Param!$B$2,EXP(-(Matrice_OD!U13^2)/Param!$B$5),0)</f>
        <v>0.064987632521813</v>
      </c>
      <c r="V13" s="0" t="n">
        <f aca="false">IF(Matrice_OD!V13&lt;=Param!$B$2,EXP(-(Matrice_OD!V13^2)/Param!$B$5),0)</f>
        <v>0</v>
      </c>
      <c r="W13" s="0" t="n">
        <f aca="false">IF(Matrice_OD!W13&lt;=Param!$B$2,EXP(-(Matrice_OD!W13^2)/Param!$B$5),0)</f>
        <v>0</v>
      </c>
      <c r="X13" s="0" t="n">
        <f aca="false">IF(Matrice_OD!X13&lt;=Param!$B$2,EXP(-(Matrice_OD!X13^2)/Param!$B$5),0)</f>
        <v>0</v>
      </c>
      <c r="Y13" s="0" t="n">
        <f aca="false">IF(Matrice_OD!Y13&lt;=Param!$B$2,EXP(-(Matrice_OD!Y13^2)/Param!$B$5),0)</f>
        <v>0</v>
      </c>
      <c r="Z13" s="0" t="n">
        <f aca="false">IF(Matrice_OD!Z13&lt;=Param!$B$2,EXP(-(Matrice_OD!Z13^2)/Param!$B$5),0)</f>
        <v>0</v>
      </c>
      <c r="AA13" s="0" t="n">
        <f aca="false">IF(Matrice_OD!AA13&lt;=Param!$B$2,EXP(-(Matrice_OD!AA13^2)/Param!$B$5),0)</f>
        <v>0</v>
      </c>
      <c r="AB13" s="0" t="n">
        <f aca="false">IF(Matrice_OD!AB13&lt;=Param!$B$2,EXP(-(Matrice_OD!AB13^2)/Param!$B$5),0)</f>
        <v>0</v>
      </c>
      <c r="AC13" s="0" t="n">
        <f aca="false">IF(Matrice_OD!AC13&lt;=Param!$B$2,EXP(-(Matrice_OD!AC13^2)/Param!$B$5),0)</f>
        <v>0.0242324325374931</v>
      </c>
      <c r="AD13" s="0" t="n">
        <f aca="false">IF(Matrice_OD!AD13&lt;=Param!$B$2,EXP(-(Matrice_OD!AD13^2)/Param!$B$5),0)</f>
        <v>0.0232687530833574</v>
      </c>
      <c r="AE13" s="0" t="n">
        <f aca="false">IF(Matrice_OD!AE13&lt;=Param!$B$2,EXP(-(Matrice_OD!AE13^2)/Param!$B$5),0)</f>
        <v>0.0215813749981641</v>
      </c>
      <c r="AF13" s="0" t="n">
        <f aca="false">IF(Matrice_OD!AF13&lt;=Param!$B$2,EXP(-(Matrice_OD!AF13^2)/Param!$B$5),0)</f>
        <v>0.0213806225036344</v>
      </c>
      <c r="AG13" s="0" t="n">
        <f aca="false">IF(Matrice_OD!AG13&lt;=Param!$B$2,EXP(-(Matrice_OD!AG13^2)/Param!$B$5),0)</f>
        <v>0</v>
      </c>
      <c r="AH13" s="0" t="n">
        <f aca="false">IF(Matrice_OD!AH13&lt;=Param!$B$2,EXP(-(Matrice_OD!AH13^2)/Param!$B$5),0)</f>
        <v>0.174435733905185</v>
      </c>
      <c r="AI13" s="0" t="n">
        <f aca="false">IF(Matrice_OD!AI13&lt;=Param!$B$2,EXP(-(Matrice_OD!AI13^2)/Param!$B$5),0)</f>
        <v>0.0616279544760073</v>
      </c>
      <c r="AJ13" s="0" t="n">
        <f aca="false">IF(Matrice_OD!AJ13&lt;=Param!$B$2,EXP(-(Matrice_OD!AJ13^2)/Param!$B$5),0)</f>
        <v>0</v>
      </c>
      <c r="AK13" s="0" t="n">
        <f aca="false">IF(Matrice_OD!AK13&lt;=Param!$B$2,EXP(-(Matrice_OD!AK13^2)/Param!$B$5),0)</f>
        <v>0.0139171274662807</v>
      </c>
      <c r="AL13" s="0" t="n">
        <f aca="false">IF(Matrice_OD!AL13&lt;=Param!$B$2,EXP(-(Matrice_OD!AL13^2)/Param!$B$5),0)</f>
        <v>0.0214607277154351</v>
      </c>
      <c r="AM13" s="0" t="n">
        <f aca="false">IF(Matrice_OD!AM13&lt;=Param!$B$2,EXP(-(Matrice_OD!AM13^2)/Param!$B$5),0)</f>
        <v>0</v>
      </c>
      <c r="AN13" s="0" t="n">
        <f aca="false">IF(Matrice_OD!AN13&lt;=Param!$B$2,EXP(-(Matrice_OD!AN13^2)/Param!$B$5),0)</f>
        <v>0</v>
      </c>
    </row>
    <row r="14" customFormat="false" ht="15" hidden="false" customHeight="true" outlineLevel="0" collapsed="false">
      <c r="A14" s="0" t="s">
        <v>126</v>
      </c>
      <c r="B14" s="0" t="s">
        <v>127</v>
      </c>
      <c r="C14" s="0" t="n">
        <f aca="false">IF(Matrice_OD!C14&lt;=Param!$B$2,EXP(-(Matrice_OD!C14^2)/Param!$B$5),0)</f>
        <v>0</v>
      </c>
      <c r="D14" s="0" t="n">
        <f aca="false">IF(Matrice_OD!D14&lt;=Param!$B$2,EXP(-(Matrice_OD!D14^2)/Param!$B$5),0)</f>
        <v>0.117833000926805</v>
      </c>
      <c r="E14" s="0" t="n">
        <f aca="false">IF(Matrice_OD!E14&lt;=Param!$B$2,EXP(-(Matrice_OD!E14^2)/Param!$B$5),0)</f>
        <v>0.120234536786829</v>
      </c>
      <c r="F14" s="0" t="n">
        <f aca="false">IF(Matrice_OD!F14&lt;=Param!$B$2,EXP(-(Matrice_OD!F14^2)/Param!$B$5),0)</f>
        <v>0.122503896117485</v>
      </c>
      <c r="G14" s="0" t="n">
        <f aca="false">IF(Matrice_OD!G14&lt;=Param!$B$2,EXP(-(Matrice_OD!G14^2)/Param!$B$5),0)</f>
        <v>0.120151107357277</v>
      </c>
      <c r="H14" s="0" t="n">
        <f aca="false">IF(Matrice_OD!H14&lt;=Param!$B$2,EXP(-(Matrice_OD!H14^2)/Param!$B$5),0)</f>
        <v>0.140152696146624</v>
      </c>
      <c r="I14" s="0" t="n">
        <f aca="false">IF(Matrice_OD!I14&lt;=Param!$B$2,EXP(-(Matrice_OD!I14^2)/Param!$B$5),0)</f>
        <v>0.138195476336394</v>
      </c>
      <c r="J14" s="0" t="n">
        <f aca="false">IF(Matrice_OD!J14&lt;=Param!$B$2,EXP(-(Matrice_OD!J14^2)/Param!$B$5),0)</f>
        <v>0.131818928698623</v>
      </c>
      <c r="K14" s="0" t="n">
        <f aca="false">IF(Matrice_OD!K14&lt;=Param!$B$2,EXP(-(Matrice_OD!K14^2)/Param!$B$5),0)</f>
        <v>0.125494043018498</v>
      </c>
      <c r="L14" s="0" t="n">
        <f aca="false">IF(Matrice_OD!L14&lt;=Param!$B$2,EXP(-(Matrice_OD!L14^2)/Param!$B$5),0)</f>
        <v>0.138473821914259</v>
      </c>
      <c r="M14" s="0" t="n">
        <f aca="false">IF(Matrice_OD!M14&lt;=Param!$B$2,EXP(-(Matrice_OD!M14^2)/Param!$B$5),0)</f>
        <v>0.150052269328659</v>
      </c>
      <c r="N14" s="0" t="n">
        <f aca="false">IF(Matrice_OD!N14&lt;=Param!$B$2,EXP(-(Matrice_OD!N14^2)/Param!$B$5),0)</f>
        <v>0.133346767972772</v>
      </c>
      <c r="O14" s="0" t="n">
        <f aca="false">IF(Matrice_OD!O14&lt;=Param!$B$2,EXP(-(Matrice_OD!O14^2)/Param!$B$5),0)</f>
        <v>0.134887882872652</v>
      </c>
      <c r="P14" s="0" t="n">
        <f aca="false">IF(Matrice_OD!P14&lt;=Param!$B$2,EXP(-(Matrice_OD!P14^2)/Param!$B$5),0)</f>
        <v>0.138288211697748</v>
      </c>
      <c r="Q14" s="0" t="n">
        <f aca="false">IF(Matrice_OD!Q14&lt;=Param!$B$2,EXP(-(Matrice_OD!Q14^2)/Param!$B$5),0)</f>
        <v>0.139218124174173</v>
      </c>
      <c r="R14" s="0" t="n">
        <f aca="false">IF(Matrice_OD!R14&lt;=Param!$B$2,EXP(-(Matrice_OD!R14^2)/Param!$B$5),0)</f>
        <v>0.137362948671011</v>
      </c>
      <c r="S14" s="0" t="n">
        <f aca="false">IF(Matrice_OD!S14&lt;=Param!$B$2,EXP(-(Matrice_OD!S14^2)/Param!$B$5),0)</f>
        <v>0.131997987145122</v>
      </c>
      <c r="T14" s="0" t="n">
        <f aca="false">IF(Matrice_OD!T14&lt;=Param!$B$2,EXP(-(Matrice_OD!T14^2)/Param!$B$5),0)</f>
        <v>0</v>
      </c>
      <c r="U14" s="0" t="n">
        <f aca="false">IF(Matrice_OD!U14&lt;=Param!$B$2,EXP(-(Matrice_OD!U14^2)/Param!$B$5),0)</f>
        <v>0</v>
      </c>
      <c r="V14" s="0" t="n">
        <f aca="false">IF(Matrice_OD!V14&lt;=Param!$B$2,EXP(-(Matrice_OD!V14^2)/Param!$B$5),0)</f>
        <v>0</v>
      </c>
      <c r="W14" s="0" t="n">
        <f aca="false">IF(Matrice_OD!W14&lt;=Param!$B$2,EXP(-(Matrice_OD!W14^2)/Param!$B$5),0)</f>
        <v>0</v>
      </c>
      <c r="X14" s="0" t="n">
        <f aca="false">IF(Matrice_OD!X14&lt;=Param!$B$2,EXP(-(Matrice_OD!X14^2)/Param!$B$5),0)</f>
        <v>0</v>
      </c>
      <c r="Y14" s="0" t="n">
        <f aca="false">IF(Matrice_OD!Y14&lt;=Param!$B$2,EXP(-(Matrice_OD!Y14^2)/Param!$B$5),0)</f>
        <v>0</v>
      </c>
      <c r="Z14" s="0" t="n">
        <f aca="false">IF(Matrice_OD!Z14&lt;=Param!$B$2,EXP(-(Matrice_OD!Z14^2)/Param!$B$5),0)</f>
        <v>0</v>
      </c>
      <c r="AA14" s="0" t="n">
        <f aca="false">IF(Matrice_OD!AA14&lt;=Param!$B$2,EXP(-(Matrice_OD!AA14^2)/Param!$B$5),0)</f>
        <v>0</v>
      </c>
      <c r="AB14" s="0" t="n">
        <f aca="false">IF(Matrice_OD!AB14&lt;=Param!$B$2,EXP(-(Matrice_OD!AB14^2)/Param!$B$5),0)</f>
        <v>0</v>
      </c>
      <c r="AC14" s="0" t="n">
        <f aca="false">IF(Matrice_OD!AC14&lt;=Param!$B$2,EXP(-(Matrice_OD!AC14^2)/Param!$B$5),0)</f>
        <v>0</v>
      </c>
      <c r="AD14" s="0" t="n">
        <f aca="false">IF(Matrice_OD!AD14&lt;=Param!$B$2,EXP(-(Matrice_OD!AD14^2)/Param!$B$5),0)</f>
        <v>0</v>
      </c>
      <c r="AE14" s="0" t="n">
        <f aca="false">IF(Matrice_OD!AE14&lt;=Param!$B$2,EXP(-(Matrice_OD!AE14^2)/Param!$B$5),0)</f>
        <v>0</v>
      </c>
      <c r="AF14" s="0" t="n">
        <f aca="false">IF(Matrice_OD!AF14&lt;=Param!$B$2,EXP(-(Matrice_OD!AF14^2)/Param!$B$5),0)</f>
        <v>0</v>
      </c>
      <c r="AG14" s="0" t="n">
        <f aca="false">IF(Matrice_OD!AG14&lt;=Param!$B$2,EXP(-(Matrice_OD!AG14^2)/Param!$B$5),0)</f>
        <v>0</v>
      </c>
      <c r="AH14" s="0" t="n">
        <f aca="false">IF(Matrice_OD!AH14&lt;=Param!$B$2,EXP(-(Matrice_OD!AH14^2)/Param!$B$5),0)</f>
        <v>0.14624494523631</v>
      </c>
      <c r="AI14" s="0" t="n">
        <f aca="false">IF(Matrice_OD!AI14&lt;=Param!$B$2,EXP(-(Matrice_OD!AI14^2)/Param!$B$5),0)</f>
        <v>0</v>
      </c>
      <c r="AJ14" s="0" t="n">
        <f aca="false">IF(Matrice_OD!AJ14&lt;=Param!$B$2,EXP(-(Matrice_OD!AJ14^2)/Param!$B$5),0)</f>
        <v>0</v>
      </c>
      <c r="AK14" s="0" t="n">
        <f aca="false">IF(Matrice_OD!AK14&lt;=Param!$B$2,EXP(-(Matrice_OD!AK14^2)/Param!$B$5),0)</f>
        <v>0</v>
      </c>
      <c r="AL14" s="0" t="n">
        <f aca="false">IF(Matrice_OD!AL14&lt;=Param!$B$2,EXP(-(Matrice_OD!AL14^2)/Param!$B$5),0)</f>
        <v>0</v>
      </c>
      <c r="AM14" s="0" t="n">
        <f aca="false">IF(Matrice_OD!AM14&lt;=Param!$B$2,EXP(-(Matrice_OD!AM14^2)/Param!$B$5),0)</f>
        <v>0</v>
      </c>
      <c r="AN14" s="0" t="n">
        <f aca="false">IF(Matrice_OD!AN14&lt;=Param!$B$2,EXP(-(Matrice_OD!AN14^2)/Param!$B$5),0)</f>
        <v>0</v>
      </c>
    </row>
    <row r="15" customFormat="false" ht="15" hidden="false" customHeight="true" outlineLevel="0" collapsed="false">
      <c r="A15" s="0" t="s">
        <v>128</v>
      </c>
      <c r="B15" s="0" t="s">
        <v>129</v>
      </c>
      <c r="C15" s="0" t="n">
        <f aca="false">IF(Matrice_OD!C15&lt;=Param!$B$2,EXP(-(Matrice_OD!C15^2)/Param!$B$5),0)</f>
        <v>0.0618244514386813</v>
      </c>
      <c r="D15" s="0" t="n">
        <f aca="false">IF(Matrice_OD!D15&lt;=Param!$B$2,EXP(-(Matrice_OD!D15^2)/Param!$B$5),0)</f>
        <v>0.419291491344459</v>
      </c>
      <c r="E15" s="0" t="n">
        <f aca="false">IF(Matrice_OD!E15&lt;=Param!$B$2,EXP(-(Matrice_OD!E15^2)/Param!$B$5),0)</f>
        <v>0.424712252514523</v>
      </c>
      <c r="F15" s="0" t="n">
        <f aca="false">IF(Matrice_OD!F15&lt;=Param!$B$2,EXP(-(Matrice_OD!F15^2)/Param!$B$5),0)</f>
        <v>0.429785200651134</v>
      </c>
      <c r="G15" s="0" t="n">
        <f aca="false">IF(Matrice_OD!G15&lt;=Param!$B$2,EXP(-(Matrice_OD!G15^2)/Param!$B$5),0)</f>
        <v>0.424337470027868</v>
      </c>
      <c r="H15" s="0" t="n">
        <f aca="false">IF(Matrice_OD!H15&lt;=Param!$B$2,EXP(-(Matrice_OD!H15^2)/Param!$B$5),0)</f>
        <v>0.467699614933941</v>
      </c>
      <c r="I15" s="0" t="n">
        <f aca="false">IF(Matrice_OD!I15&lt;=Param!$B$2,EXP(-(Matrice_OD!I15^2)/Param!$B$5),0)</f>
        <v>0.463622725847182</v>
      </c>
      <c r="J15" s="0" t="n">
        <f aca="false">IF(Matrice_OD!J15&lt;=Param!$B$2,EXP(-(Matrice_OD!J15^2)/Param!$B$5),0)</f>
        <v>0.450124975883617</v>
      </c>
      <c r="K15" s="0" t="n">
        <f aca="false">IF(Matrice_OD!K15&lt;=Param!$B$2,EXP(-(Matrice_OD!K15^2)/Param!$B$5),0)</f>
        <v>0.436397691395794</v>
      </c>
      <c r="L15" s="0" t="n">
        <f aca="false">IF(Matrice_OD!L15&lt;=Param!$B$2,EXP(-(Matrice_OD!L15^2)/Param!$B$5),0)</f>
        <v>0.464010467465946</v>
      </c>
      <c r="M15" s="0" t="n">
        <f aca="false">IF(Matrice_OD!M15&lt;=Param!$B$2,EXP(-(Matrice_OD!M15^2)/Param!$B$5),0)</f>
        <v>0.48786651641889</v>
      </c>
      <c r="N15" s="0" t="n">
        <f aca="false">IF(Matrice_OD!N15&lt;=Param!$B$2,EXP(-(Matrice_OD!N15^2)/Param!$B$5),0)</f>
        <v>0.453389653266817</v>
      </c>
      <c r="O15" s="0" t="n">
        <f aca="false">IF(Matrice_OD!O15&lt;=Param!$B$2,EXP(-(Matrice_OD!O15^2)/Param!$B$5),0)</f>
        <v>0.456663001865092</v>
      </c>
      <c r="P15" s="0" t="n">
        <f aca="false">IF(Matrice_OD!P15&lt;=Param!$B$2,EXP(-(Matrice_OD!P15^2)/Param!$B$5),0)</f>
        <v>0.463622725847182</v>
      </c>
      <c r="Q15" s="0" t="n">
        <f aca="false">IF(Matrice_OD!Q15&lt;=Param!$B$2,EXP(-(Matrice_OD!Q15^2)/Param!$B$5),0)</f>
        <v>0.465756700094347</v>
      </c>
      <c r="R15" s="0" t="n">
        <f aca="false">IF(Matrice_OD!R15&lt;=Param!$B$2,EXP(-(Matrice_OD!R15^2)/Param!$B$5),0)</f>
        <v>0.461879294553036</v>
      </c>
      <c r="S15" s="0" t="n">
        <f aca="false">IF(Matrice_OD!S15&lt;=Param!$B$2,EXP(-(Matrice_OD!S15^2)/Param!$B$5),0)</f>
        <v>0.450508600565893</v>
      </c>
      <c r="T15" s="0" t="n">
        <f aca="false">IF(Matrice_OD!T15&lt;=Param!$B$2,EXP(-(Matrice_OD!T15^2)/Param!$B$5),0)</f>
        <v>0.0713229031208778</v>
      </c>
      <c r="U15" s="0" t="n">
        <f aca="false">IF(Matrice_OD!U15&lt;=Param!$B$2,EXP(-(Matrice_OD!U15^2)/Param!$B$5),0)</f>
        <v>0.0696803773379458</v>
      </c>
      <c r="V15" s="0" t="n">
        <f aca="false">IF(Matrice_OD!V15&lt;=Param!$B$2,EXP(-(Matrice_OD!V15^2)/Param!$B$5),0)</f>
        <v>0</v>
      </c>
      <c r="W15" s="0" t="n">
        <f aca="false">IF(Matrice_OD!W15&lt;=Param!$B$2,EXP(-(Matrice_OD!W15^2)/Param!$B$5),0)</f>
        <v>0</v>
      </c>
      <c r="X15" s="0" t="n">
        <f aca="false">IF(Matrice_OD!X15&lt;=Param!$B$2,EXP(-(Matrice_OD!X15^2)/Param!$B$5),0)</f>
        <v>0</v>
      </c>
      <c r="Y15" s="0" t="n">
        <f aca="false">IF(Matrice_OD!Y15&lt;=Param!$B$2,EXP(-(Matrice_OD!Y15^2)/Param!$B$5),0)</f>
        <v>0</v>
      </c>
      <c r="Z15" s="0" t="n">
        <f aca="false">IF(Matrice_OD!Z15&lt;=Param!$B$2,EXP(-(Matrice_OD!Z15^2)/Param!$B$5),0)</f>
        <v>0</v>
      </c>
      <c r="AA15" s="0" t="n">
        <f aca="false">IF(Matrice_OD!AA15&lt;=Param!$B$2,EXP(-(Matrice_OD!AA15^2)/Param!$B$5),0)</f>
        <v>0</v>
      </c>
      <c r="AB15" s="0" t="n">
        <f aca="false">IF(Matrice_OD!AB15&lt;=Param!$B$2,EXP(-(Matrice_OD!AB15^2)/Param!$B$5),0)</f>
        <v>0.0102587791156329</v>
      </c>
      <c r="AC15" s="0" t="n">
        <f aca="false">IF(Matrice_OD!AC15&lt;=Param!$B$2,EXP(-(Matrice_OD!AC15^2)/Param!$B$5),0)</f>
        <v>0</v>
      </c>
      <c r="AD15" s="0" t="n">
        <f aca="false">IF(Matrice_OD!AD15&lt;=Param!$B$2,EXP(-(Matrice_OD!AD15^2)/Param!$B$5),0)</f>
        <v>0</v>
      </c>
      <c r="AE15" s="0" t="n">
        <f aca="false">IF(Matrice_OD!AE15&lt;=Param!$B$2,EXP(-(Matrice_OD!AE15^2)/Param!$B$5),0)</f>
        <v>0</v>
      </c>
      <c r="AF15" s="0" t="n">
        <f aca="false">IF(Matrice_OD!AF15&lt;=Param!$B$2,EXP(-(Matrice_OD!AF15^2)/Param!$B$5),0)</f>
        <v>0</v>
      </c>
      <c r="AG15" s="0" t="n">
        <f aca="false">IF(Matrice_OD!AG15&lt;=Param!$B$2,EXP(-(Matrice_OD!AG15^2)/Param!$B$5),0)</f>
        <v>0</v>
      </c>
      <c r="AH15" s="0" t="n">
        <f aca="false">IF(Matrice_OD!AH15&lt;=Param!$B$2,EXP(-(Matrice_OD!AH15^2)/Param!$B$5),0)</f>
        <v>0.480198326252235</v>
      </c>
      <c r="AI15" s="0" t="n">
        <f aca="false">IF(Matrice_OD!AI15&lt;=Param!$B$2,EXP(-(Matrice_OD!AI15^2)/Param!$B$5),0)</f>
        <v>0.0663310601065694</v>
      </c>
      <c r="AJ15" s="0" t="n">
        <f aca="false">IF(Matrice_OD!AJ15&lt;=Param!$B$2,EXP(-(Matrice_OD!AJ15^2)/Param!$B$5),0)</f>
        <v>0</v>
      </c>
      <c r="AK15" s="0" t="n">
        <f aca="false">IF(Matrice_OD!AK15&lt;=Param!$B$2,EXP(-(Matrice_OD!AK15^2)/Param!$B$5),0)</f>
        <v>0</v>
      </c>
      <c r="AL15" s="0" t="n">
        <f aca="false">IF(Matrice_OD!AL15&lt;=Param!$B$2,EXP(-(Matrice_OD!AL15^2)/Param!$B$5),0)</f>
        <v>0</v>
      </c>
      <c r="AM15" s="0" t="n">
        <f aca="false">IF(Matrice_OD!AM15&lt;=Param!$B$2,EXP(-(Matrice_OD!AM15^2)/Param!$B$5),0)</f>
        <v>0.0542228968585656</v>
      </c>
      <c r="AN15" s="0" t="n">
        <f aca="false">IF(Matrice_OD!AN15&lt;=Param!$B$2,EXP(-(Matrice_OD!AN15^2)/Param!$B$5),0)</f>
        <v>0</v>
      </c>
    </row>
    <row r="16" customFormat="false" ht="15" hidden="false" customHeight="true" outlineLevel="0" collapsed="false">
      <c r="A16" s="0" t="s">
        <v>130</v>
      </c>
      <c r="B16" s="0" t="s">
        <v>131</v>
      </c>
      <c r="C16" s="0" t="n">
        <f aca="false">IF(Matrice_OD!C16&lt;=Param!$B$2,EXP(-(Matrice_OD!C16^2)/Param!$B$5),0)</f>
        <v>0</v>
      </c>
      <c r="D16" s="0" t="n">
        <f aca="false">IF(Matrice_OD!D16&lt;=Param!$B$2,EXP(-(Matrice_OD!D16^2)/Param!$B$5),0)</f>
        <v>0.0709919105560372</v>
      </c>
      <c r="E16" s="0" t="n">
        <f aca="false">IF(Matrice_OD!E16&lt;=Param!$B$2,EXP(-(Matrice_OD!E16^2)/Param!$B$5),0)</f>
        <v>0.0726033139649413</v>
      </c>
      <c r="F16" s="0" t="n">
        <f aca="false">IF(Matrice_OD!F16&lt;=Param!$B$2,EXP(-(Matrice_OD!F16^2)/Param!$B$5),0)</f>
        <v>0.0741300758417621</v>
      </c>
      <c r="G16" s="0" t="n">
        <f aca="false">IF(Matrice_OD!G16&lt;=Param!$B$2,EXP(-(Matrice_OD!G16^2)/Param!$B$5),0)</f>
        <v>0.0725472596502387</v>
      </c>
      <c r="H16" s="0" t="n">
        <f aca="false">IF(Matrice_OD!H16&lt;=Param!$B$2,EXP(-(Matrice_OD!H16^2)/Param!$B$5),0)</f>
        <v>0.0861337015340528</v>
      </c>
      <c r="I16" s="0" t="n">
        <f aca="false">IF(Matrice_OD!I16&lt;=Param!$B$2,EXP(-(Matrice_OD!I16^2)/Param!$B$5),0)</f>
        <v>0.0847914378750207</v>
      </c>
      <c r="J16" s="0" t="n">
        <f aca="false">IF(Matrice_OD!J16&lt;=Param!$B$2,EXP(-(Matrice_OD!J16^2)/Param!$B$5),0)</f>
        <v>0.0804373360418783</v>
      </c>
      <c r="K16" s="0" t="n">
        <f aca="false">IF(Matrice_OD!K16&lt;=Param!$B$2,EXP(-(Matrice_OD!K16^2)/Param!$B$5),0)</f>
        <v>0.0761476999794322</v>
      </c>
      <c r="L16" s="0" t="n">
        <f aca="false">IF(Matrice_OD!L16&lt;=Param!$B$2,EXP(-(Matrice_OD!L16^2)/Param!$B$5),0)</f>
        <v>0.0849821624221147</v>
      </c>
      <c r="M16" s="0" t="n">
        <f aca="false">IF(Matrice_OD!M16&lt;=Param!$B$2,EXP(-(Matrice_OD!M16^2)/Param!$B$5),0)</f>
        <v>0.0929637596132864</v>
      </c>
      <c r="N16" s="0" t="n">
        <f aca="false">IF(Matrice_OD!N16&lt;=Param!$B$2,EXP(-(Matrice_OD!N16^2)/Param!$B$5),0)</f>
        <v>0.0814779278190689</v>
      </c>
      <c r="O16" s="0" t="n">
        <f aca="false">IF(Matrice_OD!O16&lt;=Param!$B$2,EXP(-(Matrice_OD!O16^2)/Param!$B$5),0)</f>
        <v>0.0825292693080784</v>
      </c>
      <c r="P16" s="0" t="n">
        <f aca="false">IF(Matrice_OD!P16&lt;=Param!$B$2,EXP(-(Matrice_OD!P16^2)/Param!$B$5),0)</f>
        <v>0.0848549747651161</v>
      </c>
      <c r="Q16" s="0" t="n">
        <f aca="false">IF(Matrice_OD!Q16&lt;=Param!$B$2,EXP(-(Matrice_OD!Q16^2)/Param!$B$5),0)</f>
        <v>0.0854924334560415</v>
      </c>
      <c r="R16" s="0" t="n">
        <f aca="false">IF(Matrice_OD!R16&lt;=Param!$B$2,EXP(-(Matrice_OD!R16^2)/Param!$B$5),0)</f>
        <v>0.084221311499969</v>
      </c>
      <c r="S16" s="0" t="n">
        <f aca="false">IF(Matrice_OD!S16&lt;=Param!$B$2,EXP(-(Matrice_OD!S16^2)/Param!$B$5),0)</f>
        <v>0.0805592029169386</v>
      </c>
      <c r="T16" s="0" t="n">
        <f aca="false">IF(Matrice_OD!T16&lt;=Param!$B$2,EXP(-(Matrice_OD!T16^2)/Param!$B$5),0)</f>
        <v>0.0374176444953149</v>
      </c>
      <c r="U16" s="0" t="n">
        <f aca="false">IF(Matrice_OD!U16&lt;=Param!$B$2,EXP(-(Matrice_OD!U16^2)/Param!$B$5),0)</f>
        <v>0.0366164154673956</v>
      </c>
      <c r="V16" s="0" t="n">
        <f aca="false">IF(Matrice_OD!V16&lt;=Param!$B$2,EXP(-(Matrice_OD!V16^2)/Param!$B$5),0)</f>
        <v>0</v>
      </c>
      <c r="W16" s="0" t="n">
        <f aca="false">IF(Matrice_OD!W16&lt;=Param!$B$2,EXP(-(Matrice_OD!W16^2)/Param!$B$5),0)</f>
        <v>0</v>
      </c>
      <c r="X16" s="0" t="n">
        <f aca="false">IF(Matrice_OD!X16&lt;=Param!$B$2,EXP(-(Matrice_OD!X16^2)/Param!$B$5),0)</f>
        <v>0</v>
      </c>
      <c r="Y16" s="0" t="n">
        <f aca="false">IF(Matrice_OD!Y16&lt;=Param!$B$2,EXP(-(Matrice_OD!Y16^2)/Param!$B$5),0)</f>
        <v>0</v>
      </c>
      <c r="Z16" s="0" t="n">
        <f aca="false">IF(Matrice_OD!Z16&lt;=Param!$B$2,EXP(-(Matrice_OD!Z16^2)/Param!$B$5),0)</f>
        <v>0</v>
      </c>
      <c r="AA16" s="0" t="n">
        <f aca="false">IF(Matrice_OD!AA16&lt;=Param!$B$2,EXP(-(Matrice_OD!AA16^2)/Param!$B$5),0)</f>
        <v>0</v>
      </c>
      <c r="AB16" s="0" t="n">
        <f aca="false">IF(Matrice_OD!AB16&lt;=Param!$B$2,EXP(-(Matrice_OD!AB16^2)/Param!$B$5),0)</f>
        <v>0</v>
      </c>
      <c r="AC16" s="0" t="n">
        <f aca="false">IF(Matrice_OD!AC16&lt;=Param!$B$2,EXP(-(Matrice_OD!AC16^2)/Param!$B$5),0)</f>
        <v>0.117422683166728</v>
      </c>
      <c r="AD16" s="0" t="n">
        <f aca="false">IF(Matrice_OD!AD16&lt;=Param!$B$2,EXP(-(Matrice_OD!AD16^2)/Param!$B$5),0)</f>
        <v>0.113939043132128</v>
      </c>
      <c r="AE16" s="0" t="n">
        <f aca="false">IF(Matrice_OD!AE16&lt;=Param!$B$2,EXP(-(Matrice_OD!AE16^2)/Param!$B$5),0)</f>
        <v>0.107517042257932</v>
      </c>
      <c r="AF16" s="0" t="n">
        <f aca="false">IF(Matrice_OD!AF16&lt;=Param!$B$2,EXP(-(Matrice_OD!AF16^2)/Param!$B$5),0)</f>
        <v>0.106829637096858</v>
      </c>
      <c r="AG16" s="0" t="n">
        <f aca="false">IF(Matrice_OD!AG16&lt;=Param!$B$2,EXP(-(Matrice_OD!AG16^2)/Param!$B$5),0)</f>
        <v>0</v>
      </c>
      <c r="AH16" s="0" t="n">
        <f aca="false">IF(Matrice_OD!AH16&lt;=Param!$B$2,EXP(-(Matrice_OD!AH16^2)/Param!$B$5),0)</f>
        <v>0.0903289450762917</v>
      </c>
      <c r="AI16" s="0" t="n">
        <f aca="false">IF(Matrice_OD!AI16&lt;=Param!$B$2,EXP(-(Matrice_OD!AI16^2)/Param!$B$5),0)</f>
        <v>0.0345406077895989</v>
      </c>
      <c r="AJ16" s="0" t="n">
        <f aca="false">IF(Matrice_OD!AJ16&lt;=Param!$B$2,EXP(-(Matrice_OD!AJ16^2)/Param!$B$5),0)</f>
        <v>0</v>
      </c>
      <c r="AK16" s="0" t="n">
        <f aca="false">IF(Matrice_OD!AK16&lt;=Param!$B$2,EXP(-(Matrice_OD!AK16^2)/Param!$B$5),0)</f>
        <v>0.0767908730048941</v>
      </c>
      <c r="AL16" s="0" t="n">
        <f aca="false">IF(Matrice_OD!AL16&lt;=Param!$B$2,EXP(-(Matrice_OD!AL16^2)/Param!$B$5),0)</f>
        <v>0.106982098153899</v>
      </c>
      <c r="AM16" s="0" t="n">
        <f aca="false">IF(Matrice_OD!AM16&lt;=Param!$B$2,EXP(-(Matrice_OD!AM16^2)/Param!$B$5),0)</f>
        <v>0</v>
      </c>
      <c r="AN16" s="0" t="n">
        <f aca="false">IF(Matrice_OD!AN16&lt;=Param!$B$2,EXP(-(Matrice_OD!AN16^2)/Param!$B$5),0)</f>
        <v>0</v>
      </c>
    </row>
    <row r="17" customFormat="false" ht="15" hidden="false" customHeight="true" outlineLevel="0" collapsed="false">
      <c r="A17" s="0" t="s">
        <v>132</v>
      </c>
      <c r="B17" s="0" t="s">
        <v>133</v>
      </c>
      <c r="C17" s="0" t="n">
        <f aca="false">IF(Matrice_OD!C17&lt;=Param!$B$2,EXP(-(Matrice_OD!C17^2)/Param!$B$5),0)</f>
        <v>0</v>
      </c>
      <c r="D17" s="0" t="n">
        <f aca="false">IF(Matrice_OD!D17&lt;=Param!$B$2,EXP(-(Matrice_OD!D17^2)/Param!$B$5),0)</f>
        <v>0</v>
      </c>
      <c r="E17" s="0" t="n">
        <f aca="false">IF(Matrice_OD!E17&lt;=Param!$B$2,EXP(-(Matrice_OD!E17^2)/Param!$B$5),0)</f>
        <v>0</v>
      </c>
      <c r="F17" s="0" t="n">
        <f aca="false">IF(Matrice_OD!F17&lt;=Param!$B$2,EXP(-(Matrice_OD!F17^2)/Param!$B$5),0)</f>
        <v>0</v>
      </c>
      <c r="G17" s="0" t="n">
        <f aca="false">IF(Matrice_OD!G17&lt;=Param!$B$2,EXP(-(Matrice_OD!G17^2)/Param!$B$5),0)</f>
        <v>0</v>
      </c>
      <c r="H17" s="0" t="n">
        <f aca="false">IF(Matrice_OD!H17&lt;=Param!$B$2,EXP(-(Matrice_OD!H17^2)/Param!$B$5),0)</f>
        <v>0</v>
      </c>
      <c r="I17" s="0" t="n">
        <f aca="false">IF(Matrice_OD!I17&lt;=Param!$B$2,EXP(-(Matrice_OD!I17^2)/Param!$B$5),0)</f>
        <v>0</v>
      </c>
      <c r="J17" s="0" t="n">
        <f aca="false">IF(Matrice_OD!J17&lt;=Param!$B$2,EXP(-(Matrice_OD!J17^2)/Param!$B$5),0)</f>
        <v>0</v>
      </c>
      <c r="K17" s="0" t="n">
        <f aca="false">IF(Matrice_OD!K17&lt;=Param!$B$2,EXP(-(Matrice_OD!K17^2)/Param!$B$5),0)</f>
        <v>0</v>
      </c>
      <c r="L17" s="0" t="n">
        <f aca="false">IF(Matrice_OD!L17&lt;=Param!$B$2,EXP(-(Matrice_OD!L17^2)/Param!$B$5),0)</f>
        <v>0</v>
      </c>
      <c r="M17" s="0" t="n">
        <f aca="false">IF(Matrice_OD!M17&lt;=Param!$B$2,EXP(-(Matrice_OD!M17^2)/Param!$B$5),0)</f>
        <v>0</v>
      </c>
      <c r="N17" s="0" t="n">
        <f aca="false">IF(Matrice_OD!N17&lt;=Param!$B$2,EXP(-(Matrice_OD!N17^2)/Param!$B$5),0)</f>
        <v>0</v>
      </c>
      <c r="O17" s="0" t="n">
        <f aca="false">IF(Matrice_OD!O17&lt;=Param!$B$2,EXP(-(Matrice_OD!O17^2)/Param!$B$5),0)</f>
        <v>0</v>
      </c>
      <c r="P17" s="0" t="n">
        <f aca="false">IF(Matrice_OD!P17&lt;=Param!$B$2,EXP(-(Matrice_OD!P17^2)/Param!$B$5),0)</f>
        <v>0</v>
      </c>
      <c r="Q17" s="0" t="n">
        <f aca="false">IF(Matrice_OD!Q17&lt;=Param!$B$2,EXP(-(Matrice_OD!Q17^2)/Param!$B$5),0)</f>
        <v>0</v>
      </c>
      <c r="R17" s="0" t="n">
        <f aca="false">IF(Matrice_OD!R17&lt;=Param!$B$2,EXP(-(Matrice_OD!R17^2)/Param!$B$5),0)</f>
        <v>0</v>
      </c>
      <c r="S17" s="0" t="n">
        <f aca="false">IF(Matrice_OD!S17&lt;=Param!$B$2,EXP(-(Matrice_OD!S17^2)/Param!$B$5),0)</f>
        <v>0</v>
      </c>
      <c r="T17" s="0" t="n">
        <f aca="false">IF(Matrice_OD!T17&lt;=Param!$B$2,EXP(-(Matrice_OD!T17^2)/Param!$B$5),0)</f>
        <v>0</v>
      </c>
      <c r="U17" s="0" t="n">
        <f aca="false">IF(Matrice_OD!U17&lt;=Param!$B$2,EXP(-(Matrice_OD!U17^2)/Param!$B$5),0)</f>
        <v>0</v>
      </c>
      <c r="V17" s="0" t="n">
        <f aca="false">IF(Matrice_OD!V17&lt;=Param!$B$2,EXP(-(Matrice_OD!V17^2)/Param!$B$5),0)</f>
        <v>0</v>
      </c>
      <c r="W17" s="0" t="n">
        <f aca="false">IF(Matrice_OD!W17&lt;=Param!$B$2,EXP(-(Matrice_OD!W17^2)/Param!$B$5),0)</f>
        <v>0</v>
      </c>
      <c r="X17" s="0" t="n">
        <f aca="false">IF(Matrice_OD!X17&lt;=Param!$B$2,EXP(-(Matrice_OD!X17^2)/Param!$B$5),0)</f>
        <v>0</v>
      </c>
      <c r="Y17" s="0" t="n">
        <f aca="false">IF(Matrice_OD!Y17&lt;=Param!$B$2,EXP(-(Matrice_OD!Y17^2)/Param!$B$5),0)</f>
        <v>0</v>
      </c>
      <c r="Z17" s="0" t="n">
        <f aca="false">IF(Matrice_OD!Z17&lt;=Param!$B$2,EXP(-(Matrice_OD!Z17^2)/Param!$B$5),0)</f>
        <v>0</v>
      </c>
      <c r="AA17" s="0" t="n">
        <f aca="false">IF(Matrice_OD!AA17&lt;=Param!$B$2,EXP(-(Matrice_OD!AA17^2)/Param!$B$5),0)</f>
        <v>0</v>
      </c>
      <c r="AB17" s="0" t="n">
        <f aca="false">IF(Matrice_OD!AB17&lt;=Param!$B$2,EXP(-(Matrice_OD!AB17^2)/Param!$B$5),0)</f>
        <v>0</v>
      </c>
      <c r="AC17" s="0" t="n">
        <f aca="false">IF(Matrice_OD!AC17&lt;=Param!$B$2,EXP(-(Matrice_OD!AC17^2)/Param!$B$5),0)</f>
        <v>0</v>
      </c>
      <c r="AD17" s="0" t="n">
        <f aca="false">IF(Matrice_OD!AD17&lt;=Param!$B$2,EXP(-(Matrice_OD!AD17^2)/Param!$B$5),0)</f>
        <v>0</v>
      </c>
      <c r="AE17" s="0" t="n">
        <f aca="false">IF(Matrice_OD!AE17&lt;=Param!$B$2,EXP(-(Matrice_OD!AE17^2)/Param!$B$5),0)</f>
        <v>0</v>
      </c>
      <c r="AF17" s="0" t="n">
        <f aca="false">IF(Matrice_OD!AF17&lt;=Param!$B$2,EXP(-(Matrice_OD!AF17^2)/Param!$B$5),0)</f>
        <v>0</v>
      </c>
      <c r="AG17" s="0" t="n">
        <f aca="false">IF(Matrice_OD!AG17&lt;=Param!$B$2,EXP(-(Matrice_OD!AG17^2)/Param!$B$5),0)</f>
        <v>0</v>
      </c>
      <c r="AH17" s="0" t="n">
        <f aca="false">IF(Matrice_OD!AH17&lt;=Param!$B$2,EXP(-(Matrice_OD!AH17^2)/Param!$B$5),0)</f>
        <v>0</v>
      </c>
      <c r="AI17" s="0" t="n">
        <f aca="false">IF(Matrice_OD!AI17&lt;=Param!$B$2,EXP(-(Matrice_OD!AI17^2)/Param!$B$5),0)</f>
        <v>0</v>
      </c>
      <c r="AJ17" s="0" t="n">
        <f aca="false">IF(Matrice_OD!AJ17&lt;=Param!$B$2,EXP(-(Matrice_OD!AJ17^2)/Param!$B$5),0)</f>
        <v>0</v>
      </c>
      <c r="AK17" s="0" t="n">
        <f aca="false">IF(Matrice_OD!AK17&lt;=Param!$B$2,EXP(-(Matrice_OD!AK17^2)/Param!$B$5),0)</f>
        <v>0</v>
      </c>
      <c r="AL17" s="0" t="n">
        <f aca="false">IF(Matrice_OD!AL17&lt;=Param!$B$2,EXP(-(Matrice_OD!AL17^2)/Param!$B$5),0)</f>
        <v>0</v>
      </c>
      <c r="AM17" s="0" t="n">
        <f aca="false">IF(Matrice_OD!AM17&lt;=Param!$B$2,EXP(-(Matrice_OD!AM17^2)/Param!$B$5),0)</f>
        <v>0</v>
      </c>
      <c r="AN17" s="0" t="n">
        <f aca="false">IF(Matrice_OD!AN17&lt;=Param!$B$2,EXP(-(Matrice_OD!AN17^2)/Param!$B$5),0)</f>
        <v>0</v>
      </c>
    </row>
    <row r="18" customFormat="false" ht="15" hidden="false" customHeight="true" outlineLevel="0" collapsed="false">
      <c r="A18" s="0" t="s">
        <v>134</v>
      </c>
      <c r="B18" s="0" t="s">
        <v>135</v>
      </c>
      <c r="C18" s="0" t="n">
        <f aca="false">IF(Matrice_OD!C18&lt;=Param!$B$2,EXP(-(Matrice_OD!C18^2)/Param!$B$5),0)</f>
        <v>0</v>
      </c>
      <c r="D18" s="0" t="n">
        <f aca="false">IF(Matrice_OD!D18&lt;=Param!$B$2,EXP(-(Matrice_OD!D18^2)/Param!$B$5),0)</f>
        <v>0</v>
      </c>
      <c r="E18" s="0" t="n">
        <f aca="false">IF(Matrice_OD!E18&lt;=Param!$B$2,EXP(-(Matrice_OD!E18^2)/Param!$B$5),0)</f>
        <v>0</v>
      </c>
      <c r="F18" s="0" t="n">
        <f aca="false">IF(Matrice_OD!F18&lt;=Param!$B$2,EXP(-(Matrice_OD!F18^2)/Param!$B$5),0)</f>
        <v>0</v>
      </c>
      <c r="G18" s="0" t="n">
        <f aca="false">IF(Matrice_OD!G18&lt;=Param!$B$2,EXP(-(Matrice_OD!G18^2)/Param!$B$5),0)</f>
        <v>0</v>
      </c>
      <c r="H18" s="0" t="n">
        <f aca="false">IF(Matrice_OD!H18&lt;=Param!$B$2,EXP(-(Matrice_OD!H18^2)/Param!$B$5),0)</f>
        <v>0</v>
      </c>
      <c r="I18" s="0" t="n">
        <f aca="false">IF(Matrice_OD!I18&lt;=Param!$B$2,EXP(-(Matrice_OD!I18^2)/Param!$B$5),0)</f>
        <v>0</v>
      </c>
      <c r="J18" s="0" t="n">
        <f aca="false">IF(Matrice_OD!J18&lt;=Param!$B$2,EXP(-(Matrice_OD!J18^2)/Param!$B$5),0)</f>
        <v>0</v>
      </c>
      <c r="K18" s="0" t="n">
        <f aca="false">IF(Matrice_OD!K18&lt;=Param!$B$2,EXP(-(Matrice_OD!K18^2)/Param!$B$5),0)</f>
        <v>0</v>
      </c>
      <c r="L18" s="0" t="n">
        <f aca="false">IF(Matrice_OD!L18&lt;=Param!$B$2,EXP(-(Matrice_OD!L18^2)/Param!$B$5),0)</f>
        <v>0</v>
      </c>
      <c r="M18" s="0" t="n">
        <f aca="false">IF(Matrice_OD!M18&lt;=Param!$B$2,EXP(-(Matrice_OD!M18^2)/Param!$B$5),0)</f>
        <v>0</v>
      </c>
      <c r="N18" s="0" t="n">
        <f aca="false">IF(Matrice_OD!N18&lt;=Param!$B$2,EXP(-(Matrice_OD!N18^2)/Param!$B$5),0)</f>
        <v>0</v>
      </c>
      <c r="O18" s="0" t="n">
        <f aca="false">IF(Matrice_OD!O18&lt;=Param!$B$2,EXP(-(Matrice_OD!O18^2)/Param!$B$5),0)</f>
        <v>0</v>
      </c>
      <c r="P18" s="0" t="n">
        <f aca="false">IF(Matrice_OD!P18&lt;=Param!$B$2,EXP(-(Matrice_OD!P18^2)/Param!$B$5),0)</f>
        <v>0</v>
      </c>
      <c r="Q18" s="0" t="n">
        <f aca="false">IF(Matrice_OD!Q18&lt;=Param!$B$2,EXP(-(Matrice_OD!Q18^2)/Param!$B$5),0)</f>
        <v>0</v>
      </c>
      <c r="R18" s="0" t="n">
        <f aca="false">IF(Matrice_OD!R18&lt;=Param!$B$2,EXP(-(Matrice_OD!R18^2)/Param!$B$5),0)</f>
        <v>0</v>
      </c>
      <c r="S18" s="0" t="n">
        <f aca="false">IF(Matrice_OD!S18&lt;=Param!$B$2,EXP(-(Matrice_OD!S18^2)/Param!$B$5),0)</f>
        <v>0</v>
      </c>
      <c r="T18" s="0" t="n">
        <f aca="false">IF(Matrice_OD!T18&lt;=Param!$B$2,EXP(-(Matrice_OD!T18^2)/Param!$B$5),0)</f>
        <v>0</v>
      </c>
      <c r="U18" s="0" t="n">
        <f aca="false">IF(Matrice_OD!U18&lt;=Param!$B$2,EXP(-(Matrice_OD!U18^2)/Param!$B$5),0)</f>
        <v>0</v>
      </c>
      <c r="V18" s="0" t="n">
        <f aca="false">IF(Matrice_OD!V18&lt;=Param!$B$2,EXP(-(Matrice_OD!V18^2)/Param!$B$5),0)</f>
        <v>0</v>
      </c>
      <c r="W18" s="0" t="n">
        <f aca="false">IF(Matrice_OD!W18&lt;=Param!$B$2,EXP(-(Matrice_OD!W18^2)/Param!$B$5),0)</f>
        <v>0</v>
      </c>
      <c r="X18" s="0" t="n">
        <f aca="false">IF(Matrice_OD!X18&lt;=Param!$B$2,EXP(-(Matrice_OD!X18^2)/Param!$B$5),0)</f>
        <v>0</v>
      </c>
      <c r="Y18" s="0" t="n">
        <f aca="false">IF(Matrice_OD!Y18&lt;=Param!$B$2,EXP(-(Matrice_OD!Y18^2)/Param!$B$5),0)</f>
        <v>0</v>
      </c>
      <c r="Z18" s="0" t="n">
        <f aca="false">IF(Matrice_OD!Z18&lt;=Param!$B$2,EXP(-(Matrice_OD!Z18^2)/Param!$B$5),0)</f>
        <v>0</v>
      </c>
      <c r="AA18" s="0" t="n">
        <f aca="false">IF(Matrice_OD!AA18&lt;=Param!$B$2,EXP(-(Matrice_OD!AA18^2)/Param!$B$5),0)</f>
        <v>0</v>
      </c>
      <c r="AB18" s="0" t="n">
        <f aca="false">IF(Matrice_OD!AB18&lt;=Param!$B$2,EXP(-(Matrice_OD!AB18^2)/Param!$B$5),0)</f>
        <v>0</v>
      </c>
      <c r="AC18" s="0" t="n">
        <f aca="false">IF(Matrice_OD!AC18&lt;=Param!$B$2,EXP(-(Matrice_OD!AC18^2)/Param!$B$5),0)</f>
        <v>0</v>
      </c>
      <c r="AD18" s="0" t="n">
        <f aca="false">IF(Matrice_OD!AD18&lt;=Param!$B$2,EXP(-(Matrice_OD!AD18^2)/Param!$B$5),0)</f>
        <v>0</v>
      </c>
      <c r="AE18" s="0" t="n">
        <f aca="false">IF(Matrice_OD!AE18&lt;=Param!$B$2,EXP(-(Matrice_OD!AE18^2)/Param!$B$5),0)</f>
        <v>0</v>
      </c>
      <c r="AF18" s="0" t="n">
        <f aca="false">IF(Matrice_OD!AF18&lt;=Param!$B$2,EXP(-(Matrice_OD!AF18^2)/Param!$B$5),0)</f>
        <v>0</v>
      </c>
      <c r="AG18" s="0" t="n">
        <f aca="false">IF(Matrice_OD!AG18&lt;=Param!$B$2,EXP(-(Matrice_OD!AG18^2)/Param!$B$5),0)</f>
        <v>0</v>
      </c>
      <c r="AH18" s="0" t="n">
        <f aca="false">IF(Matrice_OD!AH18&lt;=Param!$B$2,EXP(-(Matrice_OD!AH18^2)/Param!$B$5),0)</f>
        <v>0</v>
      </c>
      <c r="AI18" s="0" t="n">
        <f aca="false">IF(Matrice_OD!AI18&lt;=Param!$B$2,EXP(-(Matrice_OD!AI18^2)/Param!$B$5),0)</f>
        <v>0</v>
      </c>
      <c r="AJ18" s="0" t="n">
        <f aca="false">IF(Matrice_OD!AJ18&lt;=Param!$B$2,EXP(-(Matrice_OD!AJ18^2)/Param!$B$5),0)</f>
        <v>0</v>
      </c>
      <c r="AK18" s="0" t="n">
        <f aca="false">IF(Matrice_OD!AK18&lt;=Param!$B$2,EXP(-(Matrice_OD!AK18^2)/Param!$B$5),0)</f>
        <v>0</v>
      </c>
      <c r="AL18" s="0" t="n">
        <f aca="false">IF(Matrice_OD!AL18&lt;=Param!$B$2,EXP(-(Matrice_OD!AL18^2)/Param!$B$5),0)</f>
        <v>0</v>
      </c>
      <c r="AM18" s="0" t="n">
        <f aca="false">IF(Matrice_OD!AM18&lt;=Param!$B$2,EXP(-(Matrice_OD!AM18^2)/Param!$B$5),0)</f>
        <v>0</v>
      </c>
      <c r="AN18" s="0" t="n">
        <f aca="false">IF(Matrice_OD!AN18&lt;=Param!$B$2,EXP(-(Matrice_OD!AN18^2)/Param!$B$5),0)</f>
        <v>0</v>
      </c>
    </row>
    <row r="19" customFormat="false" ht="15" hidden="false" customHeight="true" outlineLevel="0" collapsed="false">
      <c r="A19" s="0" t="s">
        <v>136</v>
      </c>
      <c r="B19" s="0" t="s">
        <v>137</v>
      </c>
      <c r="C19" s="0" t="n">
        <f aca="false">IF(Matrice_OD!C19&lt;=Param!$B$2,EXP(-(Matrice_OD!C19^2)/Param!$B$5),0)</f>
        <v>0</v>
      </c>
      <c r="D19" s="0" t="n">
        <f aca="false">IF(Matrice_OD!D19&lt;=Param!$B$2,EXP(-(Matrice_OD!D19^2)/Param!$B$5),0)</f>
        <v>0</v>
      </c>
      <c r="E19" s="0" t="n">
        <f aca="false">IF(Matrice_OD!E19&lt;=Param!$B$2,EXP(-(Matrice_OD!E19^2)/Param!$B$5),0)</f>
        <v>0</v>
      </c>
      <c r="F19" s="0" t="n">
        <f aca="false">IF(Matrice_OD!F19&lt;=Param!$B$2,EXP(-(Matrice_OD!F19^2)/Param!$B$5),0)</f>
        <v>0</v>
      </c>
      <c r="G19" s="0" t="n">
        <f aca="false">IF(Matrice_OD!G19&lt;=Param!$B$2,EXP(-(Matrice_OD!G19^2)/Param!$B$5),0)</f>
        <v>0</v>
      </c>
      <c r="H19" s="0" t="n">
        <f aca="false">IF(Matrice_OD!H19&lt;=Param!$B$2,EXP(-(Matrice_OD!H19^2)/Param!$B$5),0)</f>
        <v>0</v>
      </c>
      <c r="I19" s="0" t="n">
        <f aca="false">IF(Matrice_OD!I19&lt;=Param!$B$2,EXP(-(Matrice_OD!I19^2)/Param!$B$5),0)</f>
        <v>0</v>
      </c>
      <c r="J19" s="0" t="n">
        <f aca="false">IF(Matrice_OD!J19&lt;=Param!$B$2,EXP(-(Matrice_OD!J19^2)/Param!$B$5),0)</f>
        <v>0</v>
      </c>
      <c r="K19" s="0" t="n">
        <f aca="false">IF(Matrice_OD!K19&lt;=Param!$B$2,EXP(-(Matrice_OD!K19^2)/Param!$B$5),0)</f>
        <v>0</v>
      </c>
      <c r="L19" s="0" t="n">
        <f aca="false">IF(Matrice_OD!L19&lt;=Param!$B$2,EXP(-(Matrice_OD!L19^2)/Param!$B$5),0)</f>
        <v>0</v>
      </c>
      <c r="M19" s="0" t="n">
        <f aca="false">IF(Matrice_OD!M19&lt;=Param!$B$2,EXP(-(Matrice_OD!M19^2)/Param!$B$5),0)</f>
        <v>0</v>
      </c>
      <c r="N19" s="0" t="n">
        <f aca="false">IF(Matrice_OD!N19&lt;=Param!$B$2,EXP(-(Matrice_OD!N19^2)/Param!$B$5),0)</f>
        <v>0</v>
      </c>
      <c r="O19" s="0" t="n">
        <f aca="false">IF(Matrice_OD!O19&lt;=Param!$B$2,EXP(-(Matrice_OD!O19^2)/Param!$B$5),0)</f>
        <v>0</v>
      </c>
      <c r="P19" s="0" t="n">
        <f aca="false">IF(Matrice_OD!P19&lt;=Param!$B$2,EXP(-(Matrice_OD!P19^2)/Param!$B$5),0)</f>
        <v>0</v>
      </c>
      <c r="Q19" s="0" t="n">
        <f aca="false">IF(Matrice_OD!Q19&lt;=Param!$B$2,EXP(-(Matrice_OD!Q19^2)/Param!$B$5),0)</f>
        <v>0</v>
      </c>
      <c r="R19" s="0" t="n">
        <f aca="false">IF(Matrice_OD!R19&lt;=Param!$B$2,EXP(-(Matrice_OD!R19^2)/Param!$B$5),0)</f>
        <v>0</v>
      </c>
      <c r="S19" s="0" t="n">
        <f aca="false">IF(Matrice_OD!S19&lt;=Param!$B$2,EXP(-(Matrice_OD!S19^2)/Param!$B$5),0)</f>
        <v>0</v>
      </c>
      <c r="T19" s="0" t="n">
        <f aca="false">IF(Matrice_OD!T19&lt;=Param!$B$2,EXP(-(Matrice_OD!T19^2)/Param!$B$5),0)</f>
        <v>0</v>
      </c>
      <c r="U19" s="0" t="n">
        <f aca="false">IF(Matrice_OD!U19&lt;=Param!$B$2,EXP(-(Matrice_OD!U19^2)/Param!$B$5),0)</f>
        <v>0</v>
      </c>
      <c r="V19" s="0" t="n">
        <f aca="false">IF(Matrice_OD!V19&lt;=Param!$B$2,EXP(-(Matrice_OD!V19^2)/Param!$B$5),0)</f>
        <v>0</v>
      </c>
      <c r="W19" s="0" t="n">
        <f aca="false">IF(Matrice_OD!W19&lt;=Param!$B$2,EXP(-(Matrice_OD!W19^2)/Param!$B$5),0)</f>
        <v>0</v>
      </c>
      <c r="X19" s="0" t="n">
        <f aca="false">IF(Matrice_OD!X19&lt;=Param!$B$2,EXP(-(Matrice_OD!X19^2)/Param!$B$5),0)</f>
        <v>0</v>
      </c>
      <c r="Y19" s="0" t="n">
        <f aca="false">IF(Matrice_OD!Y19&lt;=Param!$B$2,EXP(-(Matrice_OD!Y19^2)/Param!$B$5),0)</f>
        <v>0</v>
      </c>
      <c r="Z19" s="0" t="n">
        <f aca="false">IF(Matrice_OD!Z19&lt;=Param!$B$2,EXP(-(Matrice_OD!Z19^2)/Param!$B$5),0)</f>
        <v>0</v>
      </c>
      <c r="AA19" s="0" t="n">
        <f aca="false">IF(Matrice_OD!AA19&lt;=Param!$B$2,EXP(-(Matrice_OD!AA19^2)/Param!$B$5),0)</f>
        <v>0</v>
      </c>
      <c r="AB19" s="0" t="n">
        <f aca="false">IF(Matrice_OD!AB19&lt;=Param!$B$2,EXP(-(Matrice_OD!AB19^2)/Param!$B$5),0)</f>
        <v>0</v>
      </c>
      <c r="AC19" s="0" t="n">
        <f aca="false">IF(Matrice_OD!AC19&lt;=Param!$B$2,EXP(-(Matrice_OD!AC19^2)/Param!$B$5),0)</f>
        <v>0</v>
      </c>
      <c r="AD19" s="0" t="n">
        <f aca="false">IF(Matrice_OD!AD19&lt;=Param!$B$2,EXP(-(Matrice_OD!AD19^2)/Param!$B$5),0)</f>
        <v>0</v>
      </c>
      <c r="AE19" s="0" t="n">
        <f aca="false">IF(Matrice_OD!AE19&lt;=Param!$B$2,EXP(-(Matrice_OD!AE19^2)/Param!$B$5),0)</f>
        <v>0</v>
      </c>
      <c r="AF19" s="0" t="n">
        <f aca="false">IF(Matrice_OD!AF19&lt;=Param!$B$2,EXP(-(Matrice_OD!AF19^2)/Param!$B$5),0)</f>
        <v>0</v>
      </c>
      <c r="AG19" s="0" t="n">
        <f aca="false">IF(Matrice_OD!AG19&lt;=Param!$B$2,EXP(-(Matrice_OD!AG19^2)/Param!$B$5),0)</f>
        <v>0</v>
      </c>
      <c r="AH19" s="0" t="n">
        <f aca="false">IF(Matrice_OD!AH19&lt;=Param!$B$2,EXP(-(Matrice_OD!AH19^2)/Param!$B$5),0)</f>
        <v>0</v>
      </c>
      <c r="AI19" s="0" t="n">
        <f aca="false">IF(Matrice_OD!AI19&lt;=Param!$B$2,EXP(-(Matrice_OD!AI19^2)/Param!$B$5),0)</f>
        <v>0</v>
      </c>
      <c r="AJ19" s="0" t="n">
        <f aca="false">IF(Matrice_OD!AJ19&lt;=Param!$B$2,EXP(-(Matrice_OD!AJ19^2)/Param!$B$5),0)</f>
        <v>0</v>
      </c>
      <c r="AK19" s="0" t="n">
        <f aca="false">IF(Matrice_OD!AK19&lt;=Param!$B$2,EXP(-(Matrice_OD!AK19^2)/Param!$B$5),0)</f>
        <v>0</v>
      </c>
      <c r="AL19" s="0" t="n">
        <f aca="false">IF(Matrice_OD!AL19&lt;=Param!$B$2,EXP(-(Matrice_OD!AL19^2)/Param!$B$5),0)</f>
        <v>0</v>
      </c>
      <c r="AM19" s="0" t="n">
        <f aca="false">IF(Matrice_OD!AM19&lt;=Param!$B$2,EXP(-(Matrice_OD!AM19^2)/Param!$B$5),0)</f>
        <v>0</v>
      </c>
      <c r="AN19" s="0" t="n">
        <f aca="false">IF(Matrice_OD!AN19&lt;=Param!$B$2,EXP(-(Matrice_OD!AN19^2)/Param!$B$5),0)</f>
        <v>0</v>
      </c>
    </row>
    <row r="20" customFormat="false" ht="15" hidden="false" customHeight="true" outlineLevel="0" collapsed="false">
      <c r="A20" s="0" t="s">
        <v>138</v>
      </c>
      <c r="B20" s="0" t="s">
        <v>139</v>
      </c>
      <c r="C20" s="0" t="n">
        <f aca="false">IF(Matrice_OD!C20&lt;=Param!$B$2,EXP(-(Matrice_OD!C20^2)/Param!$B$5),0)</f>
        <v>0.0727716872599438</v>
      </c>
      <c r="D20" s="0" t="n">
        <f aca="false">IF(Matrice_OD!D20&lt;=Param!$B$2,EXP(-(Matrice_OD!D20^2)/Param!$B$5),0)</f>
        <v>0.458785599605712</v>
      </c>
      <c r="E20" s="0" t="n">
        <f aca="false">IF(Matrice_OD!E20&lt;=Param!$B$2,EXP(-(Matrice_OD!E20^2)/Param!$B$5),0)</f>
        <v>0.464398322141588</v>
      </c>
      <c r="F20" s="0" t="n">
        <f aca="false">IF(Matrice_OD!F20&lt;=Param!$B$2,EXP(-(Matrice_OD!F20^2)/Param!$B$5),0)</f>
        <v>0.469645294419044</v>
      </c>
      <c r="G20" s="0" t="n">
        <f aca="false">IF(Matrice_OD!G20&lt;=Param!$B$2,EXP(-(Matrice_OD!G20^2)/Param!$B$5),0)</f>
        <v>0.464010467465946</v>
      </c>
      <c r="H20" s="0" t="n">
        <f aca="false">IF(Matrice_OD!H20&lt;=Param!$B$2,EXP(-(Matrice_OD!H20^2)/Param!$B$5),0)</f>
        <v>0.508488876360017</v>
      </c>
      <c r="I20" s="0" t="n">
        <f aca="false">IF(Matrice_OD!I20&lt;=Param!$B$2,EXP(-(Matrice_OD!I20^2)/Param!$B$5),0)</f>
        <v>0.504504634929577</v>
      </c>
      <c r="J20" s="0" t="n">
        <f aca="false">IF(Matrice_OD!J20&lt;=Param!$B$2,EXP(-(Matrice_OD!J20^2)/Param!$B$5),0)</f>
        <v>0.49043084616406</v>
      </c>
      <c r="K20" s="0" t="n">
        <f aca="false">IF(Matrice_OD!K20&lt;=Param!$B$2,EXP(-(Matrice_OD!K20^2)/Param!$B$5),0)</f>
        <v>0.47647646802378</v>
      </c>
      <c r="L20" s="0" t="n">
        <f aca="false">IF(Matrice_OD!L20&lt;=Param!$B$2,EXP(-(Matrice_OD!L20^2)/Param!$B$5),0)</f>
        <v>0.504902683599097</v>
      </c>
      <c r="M20" s="0" t="n">
        <f aca="false">IF(Matrice_OD!M20&lt;=Param!$B$2,EXP(-(Matrice_OD!M20^2)/Param!$B$5),0)</f>
        <v>0.529130222407443</v>
      </c>
      <c r="N20" s="0" t="n">
        <f aca="false">IF(Matrice_OD!N20&lt;=Param!$B$2,EXP(-(Matrice_OD!N20^2)/Param!$B$5),0)</f>
        <v>0.493988051540635</v>
      </c>
      <c r="O20" s="0" t="n">
        <f aca="false">IF(Matrice_OD!O20&lt;=Param!$B$2,EXP(-(Matrice_OD!O20^2)/Param!$B$5),0)</f>
        <v>0.497156289783637</v>
      </c>
      <c r="P20" s="0" t="n">
        <f aca="false">IF(Matrice_OD!P20&lt;=Param!$B$2,EXP(-(Matrice_OD!P20^2)/Param!$B$5),0)</f>
        <v>0.504504634929577</v>
      </c>
      <c r="Q20" s="0" t="n">
        <f aca="false">IF(Matrice_OD!Q20&lt;=Param!$B$2,EXP(-(Matrice_OD!Q20^2)/Param!$B$5),0)</f>
        <v>0.506694940673554</v>
      </c>
      <c r="R20" s="0" t="n">
        <f aca="false">IF(Matrice_OD!R20&lt;=Param!$B$2,EXP(-(Matrice_OD!R20^2)/Param!$B$5),0)</f>
        <v>0.502714466169526</v>
      </c>
      <c r="S20" s="0" t="n">
        <f aca="false">IF(Matrice_OD!S20&lt;=Param!$B$2,EXP(-(Matrice_OD!S20^2)/Param!$B$5),0)</f>
        <v>0.491023186123217</v>
      </c>
      <c r="T20" s="0" t="n">
        <f aca="false">IF(Matrice_OD!T20&lt;=Param!$B$2,EXP(-(Matrice_OD!T20^2)/Param!$B$5),0)</f>
        <v>0.289253085284344</v>
      </c>
      <c r="U20" s="0" t="n">
        <f aca="false">IF(Matrice_OD!U20&lt;=Param!$B$2,EXP(-(Matrice_OD!U20^2)/Param!$B$5),0)</f>
        <v>0.28542755757025</v>
      </c>
      <c r="V20" s="0" t="n">
        <f aca="false">IF(Matrice_OD!V20&lt;=Param!$B$2,EXP(-(Matrice_OD!V20^2)/Param!$B$5),0)</f>
        <v>0.0491357433729911</v>
      </c>
      <c r="W20" s="0" t="n">
        <f aca="false">IF(Matrice_OD!W20&lt;=Param!$B$2,EXP(-(Matrice_OD!W20^2)/Param!$B$5),0)</f>
        <v>0.0566047805611016</v>
      </c>
      <c r="X20" s="0" t="n">
        <f aca="false">IF(Matrice_OD!X20&lt;=Param!$B$2,EXP(-(Matrice_OD!X20^2)/Param!$B$5),0)</f>
        <v>0.0631642879833679</v>
      </c>
      <c r="Y20" s="0" t="n">
        <f aca="false">IF(Matrice_OD!Y20&lt;=Param!$B$2,EXP(-(Matrice_OD!Y20^2)/Param!$B$5),0)</f>
        <v>0.0630642319819361</v>
      </c>
      <c r="Z20" s="0" t="n">
        <f aca="false">IF(Matrice_OD!Z20&lt;=Param!$B$2,EXP(-(Matrice_OD!Z20^2)/Param!$B$5),0)</f>
        <v>0.0616279544760073</v>
      </c>
      <c r="AA20" s="0" t="n">
        <f aca="false">IF(Matrice_OD!AA20&lt;=Param!$B$2,EXP(-(Matrice_OD!AA20^2)/Param!$B$5),0)</f>
        <v>0.0642227450019997</v>
      </c>
      <c r="AB20" s="0" t="n">
        <f aca="false">IF(Matrice_OD!AB20&lt;=Param!$B$2,EXP(-(Matrice_OD!AB20^2)/Param!$B$5),0)</f>
        <v>0.0706621647935885</v>
      </c>
      <c r="AC20" s="0" t="n">
        <f aca="false">IF(Matrice_OD!AC20&lt;=Param!$B$2,EXP(-(Matrice_OD!AC20^2)/Param!$B$5),0)</f>
        <v>0</v>
      </c>
      <c r="AD20" s="0" t="n">
        <f aca="false">IF(Matrice_OD!AD20&lt;=Param!$B$2,EXP(-(Matrice_OD!AD20^2)/Param!$B$5),0)</f>
        <v>0</v>
      </c>
      <c r="AE20" s="0" t="n">
        <f aca="false">IF(Matrice_OD!AE20&lt;=Param!$B$2,EXP(-(Matrice_OD!AE20^2)/Param!$B$5),0)</f>
        <v>0</v>
      </c>
      <c r="AF20" s="0" t="n">
        <f aca="false">IF(Matrice_OD!AF20&lt;=Param!$B$2,EXP(-(Matrice_OD!AF20^2)/Param!$B$5),0)</f>
        <v>0</v>
      </c>
      <c r="AG20" s="0" t="n">
        <f aca="false">IF(Matrice_OD!AG20&lt;=Param!$B$2,EXP(-(Matrice_OD!AG20^2)/Param!$B$5),0)</f>
        <v>0</v>
      </c>
      <c r="AH20" s="0" t="n">
        <f aca="false">IF(Matrice_OD!AH20&lt;=Param!$B$2,EXP(-(Matrice_OD!AH20^2)/Param!$B$5),0)</f>
        <v>0.521492419701653</v>
      </c>
      <c r="AI20" s="0" t="n">
        <f aca="false">IF(Matrice_OD!AI20&lt;=Param!$B$2,EXP(-(Matrice_OD!AI20^2)/Param!$B$5),0)</f>
        <v>0.275326287648186</v>
      </c>
      <c r="AJ20" s="0" t="n">
        <f aca="false">IF(Matrice_OD!AJ20&lt;=Param!$B$2,EXP(-(Matrice_OD!AJ20^2)/Param!$B$5),0)</f>
        <v>0.0590250576262198</v>
      </c>
      <c r="AK20" s="0" t="n">
        <f aca="false">IF(Matrice_OD!AK20&lt;=Param!$B$2,EXP(-(Matrice_OD!AK20^2)/Param!$B$5),0)</f>
        <v>0</v>
      </c>
      <c r="AL20" s="0" t="n">
        <f aca="false">IF(Matrice_OD!AL20&lt;=Param!$B$2,EXP(-(Matrice_OD!AL20^2)/Param!$B$5),0)</f>
        <v>0</v>
      </c>
      <c r="AM20" s="0" t="n">
        <f aca="false">IF(Matrice_OD!AM20&lt;=Param!$B$2,EXP(-(Matrice_OD!AM20^2)/Param!$B$5),0)</f>
        <v>0.0641720153943641</v>
      </c>
      <c r="AN20" s="0" t="n">
        <f aca="false">IF(Matrice_OD!AN20&lt;=Param!$B$2,EXP(-(Matrice_OD!AN20^2)/Param!$B$5),0)</f>
        <v>0</v>
      </c>
    </row>
    <row r="21" customFormat="false" ht="15" hidden="false" customHeight="true" outlineLevel="0" collapsed="false">
      <c r="A21" s="0" t="s">
        <v>140</v>
      </c>
      <c r="B21" s="0" t="s">
        <v>141</v>
      </c>
      <c r="C21" s="0" t="n">
        <f aca="false">IF(Matrice_OD!C21&lt;=Param!$B$2,EXP(-(Matrice_OD!C21^2)/Param!$B$5),0)</f>
        <v>0.0246817683310264</v>
      </c>
      <c r="D21" s="0" t="n">
        <f aca="false">IF(Matrice_OD!D21&lt;=Param!$B$2,EXP(-(Matrice_OD!D21^2)/Param!$B$5),0)</f>
        <v>0.24386669572128</v>
      </c>
      <c r="E21" s="0" t="n">
        <f aca="false">IF(Matrice_OD!E21&lt;=Param!$B$2,EXP(-(Matrice_OD!E21^2)/Param!$B$5),0)</f>
        <v>0.247894244967281</v>
      </c>
      <c r="F21" s="0" t="n">
        <f aca="false">IF(Matrice_OD!F21&lt;=Param!$B$2,EXP(-(Matrice_OD!F21^2)/Param!$B$5),0)</f>
        <v>0.251682166910233</v>
      </c>
      <c r="G21" s="0" t="n">
        <f aca="false">IF(Matrice_OD!G21&lt;=Param!$B$2,EXP(-(Matrice_OD!G21^2)/Param!$B$5),0)</f>
        <v>0.247754657325579</v>
      </c>
      <c r="H21" s="0" t="n">
        <f aca="false">IF(Matrice_OD!H21&lt;=Param!$B$2,EXP(-(Matrice_OD!H21^2)/Param!$B$5),0)</f>
        <v>0.280575520836395</v>
      </c>
      <c r="I21" s="0" t="n">
        <f aca="false">IF(Matrice_OD!I21&lt;=Param!$B$2,EXP(-(Matrice_OD!I21^2)/Param!$B$5),0)</f>
        <v>0.277418729068758</v>
      </c>
      <c r="J21" s="0" t="n">
        <f aca="false">IF(Matrice_OD!J21&lt;=Param!$B$2,EXP(-(Matrice_OD!J21^2)/Param!$B$5),0)</f>
        <v>0.267053635051242</v>
      </c>
      <c r="K21" s="0" t="n">
        <f aca="false">IF(Matrice_OD!K21&lt;=Param!$B$2,EXP(-(Matrice_OD!K21^2)/Param!$B$5),0)</f>
        <v>0.256647047002364</v>
      </c>
      <c r="L21" s="0" t="n">
        <f aca="false">IF(Matrice_OD!L21&lt;=Param!$B$2,EXP(-(Matrice_OD!L21^2)/Param!$B$5),0)</f>
        <v>0.277718439345787</v>
      </c>
      <c r="M21" s="0" t="n">
        <f aca="false">IF(Matrice_OD!M21&lt;=Param!$B$2,EXP(-(Matrice_OD!M21^2)/Param!$B$5),0)</f>
        <v>0.296371487401405</v>
      </c>
      <c r="N21" s="0" t="n">
        <f aca="false">IF(Matrice_OD!N21&lt;=Param!$B$2,EXP(-(Matrice_OD!N21^2)/Param!$B$5),0)</f>
        <v>0.269548511723464</v>
      </c>
      <c r="O21" s="0" t="n">
        <f aca="false">IF(Matrice_OD!O21&lt;=Param!$B$2,EXP(-(Matrice_OD!O21^2)/Param!$B$5),0)</f>
        <v>0.272057755713263</v>
      </c>
      <c r="P21" s="0" t="n">
        <f aca="false">IF(Matrice_OD!P21&lt;=Param!$B$2,EXP(-(Matrice_OD!P21^2)/Param!$B$5),0)</f>
        <v>0.277568559535862</v>
      </c>
      <c r="Q21" s="0" t="n">
        <f aca="false">IF(Matrice_OD!Q21&lt;=Param!$B$2,EXP(-(Matrice_OD!Q21^2)/Param!$B$5),0)</f>
        <v>0.279069576825871</v>
      </c>
      <c r="R21" s="0" t="n">
        <f aca="false">IF(Matrice_OD!R21&lt;=Param!$B$2,EXP(-(Matrice_OD!R21^2)/Param!$B$5),0)</f>
        <v>0.27607247651078</v>
      </c>
      <c r="S21" s="0" t="n">
        <f aca="false">IF(Matrice_OD!S21&lt;=Param!$B$2,EXP(-(Matrice_OD!S21^2)/Param!$B$5),0)</f>
        <v>0.267346403245415</v>
      </c>
      <c r="T21" s="0" t="n">
        <f aca="false">IF(Matrice_OD!T21&lt;=Param!$B$2,EXP(-(Matrice_OD!T21^2)/Param!$B$5),0)</f>
        <v>0.15564611021372</v>
      </c>
      <c r="U21" s="0" t="n">
        <f aca="false">IF(Matrice_OD!U21&lt;=Param!$B$2,EXP(-(Matrice_OD!U21^2)/Param!$B$5),0)</f>
        <v>0.153030283465318</v>
      </c>
      <c r="V21" s="0" t="n">
        <f aca="false">IF(Matrice_OD!V21&lt;=Param!$B$2,EXP(-(Matrice_OD!V21^2)/Param!$B$5),0)</f>
        <v>0.0193505728882845</v>
      </c>
      <c r="W21" s="0" t="n">
        <f aca="false">IF(Matrice_OD!W21&lt;=Param!$B$2,EXP(-(Matrice_OD!W21^2)/Param!$B$5),0)</f>
        <v>0.0227783660545175</v>
      </c>
      <c r="X21" s="0" t="n">
        <f aca="false">IF(Matrice_OD!X21&lt;=Param!$B$2,EXP(-(Matrice_OD!X21^2)/Param!$B$5),0)</f>
        <v>0.025813207666814</v>
      </c>
      <c r="Y21" s="0" t="n">
        <f aca="false">IF(Matrice_OD!Y21&lt;=Param!$B$2,EXP(-(Matrice_OD!Y21^2)/Param!$B$5),0)</f>
        <v>0.025766164655942</v>
      </c>
      <c r="Z21" s="0" t="n">
        <f aca="false">IF(Matrice_OD!Z21&lt;=Param!$B$2,EXP(-(Matrice_OD!Z21^2)/Param!$B$5),0)</f>
        <v>0.0250923141432433</v>
      </c>
      <c r="AA21" s="0" t="n">
        <f aca="false">IF(Matrice_OD!AA21&lt;=Param!$B$2,EXP(-(Matrice_OD!AA21^2)/Param!$B$5),0)</f>
        <v>0.0263116524215209</v>
      </c>
      <c r="AB21" s="0" t="n">
        <f aca="false">IF(Matrice_OD!AB21&lt;=Param!$B$2,EXP(-(Matrice_OD!AB21^2)/Param!$B$5),0)</f>
        <v>0.0294009312414622</v>
      </c>
      <c r="AC21" s="0" t="n">
        <f aca="false">IF(Matrice_OD!AC21&lt;=Param!$B$2,EXP(-(Matrice_OD!AC21^2)/Param!$B$5),0)</f>
        <v>0</v>
      </c>
      <c r="AD21" s="0" t="n">
        <f aca="false">IF(Matrice_OD!AD21&lt;=Param!$B$2,EXP(-(Matrice_OD!AD21^2)/Param!$B$5),0)</f>
        <v>0</v>
      </c>
      <c r="AE21" s="0" t="n">
        <f aca="false">IF(Matrice_OD!AE21&lt;=Param!$B$2,EXP(-(Matrice_OD!AE21^2)/Param!$B$5),0)</f>
        <v>0</v>
      </c>
      <c r="AF21" s="0" t="n">
        <f aca="false">IF(Matrice_OD!AF21&lt;=Param!$B$2,EXP(-(Matrice_OD!AF21^2)/Param!$B$5),0)</f>
        <v>0</v>
      </c>
      <c r="AG21" s="0" t="n">
        <f aca="false">IF(Matrice_OD!AG21&lt;=Param!$B$2,EXP(-(Matrice_OD!AG21^2)/Param!$B$5),0)</f>
        <v>0</v>
      </c>
      <c r="AH21" s="0" t="n">
        <f aca="false">IF(Matrice_OD!AH21&lt;=Param!$B$2,EXP(-(Matrice_OD!AH21^2)/Param!$B$5),0)</f>
        <v>0.290329694284151</v>
      </c>
      <c r="AI21" s="0" t="n">
        <f aca="false">IF(Matrice_OD!AI21&lt;=Param!$B$2,EXP(-(Matrice_OD!AI21^2)/Param!$B$5),0)</f>
        <v>0.146438437538173</v>
      </c>
      <c r="AJ21" s="0" t="n">
        <f aca="false">IF(Matrice_OD!AJ21&lt;=Param!$B$2,EXP(-(Matrice_OD!AJ21^2)/Param!$B$5),0)</f>
        <v>0.0238780788900283</v>
      </c>
      <c r="AK21" s="0" t="n">
        <f aca="false">IF(Matrice_OD!AK21&lt;=Param!$B$2,EXP(-(Matrice_OD!AK21^2)/Param!$B$5),0)</f>
        <v>0</v>
      </c>
      <c r="AL21" s="0" t="n">
        <f aca="false">IF(Matrice_OD!AL21&lt;=Param!$B$2,EXP(-(Matrice_OD!AL21^2)/Param!$B$5),0)</f>
        <v>0</v>
      </c>
      <c r="AM21" s="0" t="n">
        <f aca="false">IF(Matrice_OD!AM21&lt;=Param!$B$2,EXP(-(Matrice_OD!AM21^2)/Param!$B$5),0)</f>
        <v>0.0212609524433554</v>
      </c>
      <c r="AN21" s="0" t="n">
        <f aca="false">IF(Matrice_OD!AN21&lt;=Param!$B$2,EXP(-(Matrice_OD!AN21^2)/Param!$B$5),0)</f>
        <v>0</v>
      </c>
    </row>
    <row r="22" customFormat="false" ht="15" hidden="false" customHeight="true" outlineLevel="0" collapsed="false">
      <c r="A22" s="0" t="s">
        <v>142</v>
      </c>
      <c r="B22" s="0" t="s">
        <v>143</v>
      </c>
      <c r="C22" s="0" t="n">
        <f aca="false">IF(Matrice_OD!C22&lt;=Param!$B$2,EXP(-(Matrice_OD!C22^2)/Param!$B$5),0)</f>
        <v>0.216355222409549</v>
      </c>
      <c r="D22" s="0" t="n">
        <f aca="false">IF(Matrice_OD!D22&lt;=Param!$B$2,EXP(-(Matrice_OD!D22^2)/Param!$B$5),0)</f>
        <v>0.395909412686338</v>
      </c>
      <c r="E22" s="0" t="n">
        <f aca="false">IF(Matrice_OD!E22&lt;=Param!$B$2,EXP(-(Matrice_OD!E22^2)/Param!$B$5),0)</f>
        <v>0.401195861498905</v>
      </c>
      <c r="F22" s="0" t="n">
        <f aca="false">IF(Matrice_OD!F22&lt;=Param!$B$2,EXP(-(Matrice_OD!F22^2)/Param!$B$5),0)</f>
        <v>0.406146246962305</v>
      </c>
      <c r="G22" s="0" t="n">
        <f aca="false">IF(Matrice_OD!G22&lt;=Param!$B$2,EXP(-(Matrice_OD!G22^2)/Param!$B$5),0)</f>
        <v>0.401013038839534</v>
      </c>
      <c r="H22" s="0" t="n">
        <f aca="false">IF(Matrice_OD!H22&lt;=Param!$B$2,EXP(-(Matrice_OD!H22^2)/Param!$B$5),0)</f>
        <v>0.443240848702608</v>
      </c>
      <c r="I22" s="0" t="n">
        <f aca="false">IF(Matrice_OD!I22&lt;=Param!$B$2,EXP(-(Matrice_OD!I22^2)/Param!$B$5),0)</f>
        <v>0.439433948102906</v>
      </c>
      <c r="J22" s="0" t="n">
        <f aca="false">IF(Matrice_OD!J22&lt;=Param!$B$2,EXP(-(Matrice_OD!J22^2)/Param!$B$5),0)</f>
        <v>0.426025073938365</v>
      </c>
      <c r="K22" s="0" t="n">
        <f aca="false">IF(Matrice_OD!K22&lt;=Param!$B$2,EXP(-(Matrice_OD!K22^2)/Param!$B$5),0)</f>
        <v>0.412603529090978</v>
      </c>
      <c r="L22" s="0" t="n">
        <f aca="false">IF(Matrice_OD!L22&lt;=Param!$B$2,EXP(-(Matrice_OD!L22^2)/Param!$B$5),0)</f>
        <v>0.439814062344012</v>
      </c>
      <c r="M22" s="0" t="n">
        <f aca="false">IF(Matrice_OD!M22&lt;=Param!$B$2,EXP(-(Matrice_OD!M22^2)/Param!$B$5),0)</f>
        <v>0.46304132596516</v>
      </c>
      <c r="N22" s="0" t="n">
        <f aca="false">IF(Matrice_OD!N22&lt;=Param!$B$2,EXP(-(Matrice_OD!N22^2)/Param!$B$5),0)</f>
        <v>0.429220317633095</v>
      </c>
      <c r="O22" s="0" t="n">
        <f aca="false">IF(Matrice_OD!O22&lt;=Param!$B$2,EXP(-(Matrice_OD!O22^2)/Param!$B$5),0)</f>
        <v>0.432425315658183</v>
      </c>
      <c r="P22" s="0" t="n">
        <f aca="false">IF(Matrice_OD!P22&lt;=Param!$B$2,EXP(-(Matrice_OD!P22^2)/Param!$B$5),0)</f>
        <v>0.439433948102906</v>
      </c>
      <c r="Q22" s="0" t="n">
        <f aca="false">IF(Matrice_OD!Q22&lt;=Param!$B$2,EXP(-(Matrice_OD!Q22^2)/Param!$B$5),0)</f>
        <v>0.441335802836188</v>
      </c>
      <c r="R22" s="0" t="n">
        <f aca="false">IF(Matrice_OD!R22&lt;=Param!$B$2,EXP(-(Matrice_OD!R22^2)/Param!$B$5),0)</f>
        <v>0.437725031570854</v>
      </c>
      <c r="S22" s="0" t="n">
        <f aca="false">IF(Matrice_OD!S22&lt;=Param!$B$2,EXP(-(Matrice_OD!S22^2)/Param!$B$5),0)</f>
        <v>0.426400474214369</v>
      </c>
      <c r="T22" s="0" t="n">
        <f aca="false">IF(Matrice_OD!T22&lt;=Param!$B$2,EXP(-(Matrice_OD!T22^2)/Param!$B$5),0)</f>
        <v>0.696348179359055</v>
      </c>
      <c r="U22" s="0" t="n">
        <f aca="false">IF(Matrice_OD!U22&lt;=Param!$B$2,EXP(-(Matrice_OD!U22^2)/Param!$B$5),0)</f>
        <v>0.377398352536586</v>
      </c>
      <c r="V22" s="0" t="n">
        <f aca="false">IF(Matrice_OD!V22&lt;=Param!$B$2,EXP(-(Matrice_OD!V22^2)/Param!$B$5),0)</f>
        <v>0.135434985068156</v>
      </c>
      <c r="W22" s="0" t="n">
        <f aca="false">IF(Matrice_OD!W22&lt;=Param!$B$2,EXP(-(Matrice_OD!W22^2)/Param!$B$5),0)</f>
        <v>0.116768454167668</v>
      </c>
      <c r="X22" s="0" t="n">
        <f aca="false">IF(Matrice_OD!X22&lt;=Param!$B$2,EXP(-(Matrice_OD!X22^2)/Param!$B$5),0)</f>
        <v>0.115873460012741</v>
      </c>
      <c r="Y22" s="0" t="n">
        <f aca="false">IF(Matrice_OD!Y22&lt;=Param!$B$2,EXP(-(Matrice_OD!Y22^2)/Param!$B$5),0)</f>
        <v>0.115711301312971</v>
      </c>
      <c r="Z22" s="0" t="n">
        <f aca="false">IF(Matrice_OD!Z22&lt;=Param!$B$2,EXP(-(Matrice_OD!Z22^2)/Param!$B$5),0)</f>
        <v>0.113379546630331</v>
      </c>
      <c r="AA22" s="0" t="n">
        <f aca="false">IF(Matrice_OD!AA22&lt;=Param!$B$2,EXP(-(Matrice_OD!AA22^2)/Param!$B$5),0)</f>
        <v>0.102260154476117</v>
      </c>
      <c r="AB22" s="0" t="n">
        <f aca="false">IF(Matrice_OD!AB22&lt;=Param!$B$2,EXP(-(Matrice_OD!AB22^2)/Param!$B$5),0)</f>
        <v>0.106982098153899</v>
      </c>
      <c r="AC22" s="0" t="n">
        <f aca="false">IF(Matrice_OD!AC22&lt;=Param!$B$2,EXP(-(Matrice_OD!AC22^2)/Param!$B$5),0)</f>
        <v>0</v>
      </c>
      <c r="AD22" s="0" t="n">
        <f aca="false">IF(Matrice_OD!AD22&lt;=Param!$B$2,EXP(-(Matrice_OD!AD22^2)/Param!$B$5),0)</f>
        <v>0</v>
      </c>
      <c r="AE22" s="0" t="n">
        <f aca="false">IF(Matrice_OD!AE22&lt;=Param!$B$2,EXP(-(Matrice_OD!AE22^2)/Param!$B$5),0)</f>
        <v>0</v>
      </c>
      <c r="AF22" s="0" t="n">
        <f aca="false">IF(Matrice_OD!AF22&lt;=Param!$B$2,EXP(-(Matrice_OD!AF22^2)/Param!$B$5),0)</f>
        <v>0</v>
      </c>
      <c r="AG22" s="0" t="n">
        <f aca="false">IF(Matrice_OD!AG22&lt;=Param!$B$2,EXP(-(Matrice_OD!AG22^2)/Param!$B$5),0)</f>
        <v>0</v>
      </c>
      <c r="AH22" s="0" t="n">
        <f aca="false">IF(Matrice_OD!AH22&lt;=Param!$B$2,EXP(-(Matrice_OD!AH22^2)/Param!$B$5),0)</f>
        <v>0.455699361163088</v>
      </c>
      <c r="AI22" s="0" t="n">
        <f aca="false">IF(Matrice_OD!AI22&lt;=Param!$B$2,EXP(-(Matrice_OD!AI22^2)/Param!$B$5),0)</f>
        <v>0.677883305144526</v>
      </c>
      <c r="AJ22" s="0" t="n">
        <f aca="false">IF(Matrice_OD!AJ22&lt;=Param!$B$2,EXP(-(Matrice_OD!AJ22^2)/Param!$B$5),0)</f>
        <v>0.109134329034459</v>
      </c>
      <c r="AK22" s="0" t="n">
        <f aca="false">IF(Matrice_OD!AK22&lt;=Param!$B$2,EXP(-(Matrice_OD!AK22^2)/Param!$B$5),0)</f>
        <v>0</v>
      </c>
      <c r="AL22" s="0" t="n">
        <f aca="false">IF(Matrice_OD!AL22&lt;=Param!$B$2,EXP(-(Matrice_OD!AL22^2)/Param!$B$5),0)</f>
        <v>0</v>
      </c>
      <c r="AM22" s="0" t="n">
        <f aca="false">IF(Matrice_OD!AM22&lt;=Param!$B$2,EXP(-(Matrice_OD!AM22^2)/Param!$B$5),0)</f>
        <v>0.204948358588653</v>
      </c>
      <c r="AN22" s="0" t="n">
        <f aca="false">IF(Matrice_OD!AN22&lt;=Param!$B$2,EXP(-(Matrice_OD!AN22^2)/Param!$B$5),0)</f>
        <v>0</v>
      </c>
    </row>
    <row r="23" customFormat="false" ht="15" hidden="false" customHeight="true" outlineLevel="0" collapsed="false">
      <c r="A23" s="0" t="s">
        <v>144</v>
      </c>
      <c r="B23" s="0" t="s">
        <v>145</v>
      </c>
      <c r="C23" s="0" t="n">
        <f aca="false">IF(Matrice_OD!C23&lt;=Param!$B$2,EXP(-(Matrice_OD!C23^2)/Param!$B$5),0)</f>
        <v>0.0707170359686204</v>
      </c>
      <c r="D23" s="0" t="n">
        <f aca="false">IF(Matrice_OD!D23&lt;=Param!$B$2,EXP(-(Matrice_OD!D23^2)/Param!$B$5),0)</f>
        <v>0.281330337947021</v>
      </c>
      <c r="E23" s="0" t="n">
        <f aca="false">IF(Matrice_OD!E23&lt;=Param!$B$2,EXP(-(Matrice_OD!E23^2)/Param!$B$5),0)</f>
        <v>0.285732476247511</v>
      </c>
      <c r="F23" s="0" t="n">
        <f aca="false">IF(Matrice_OD!F23&lt;=Param!$B$2,EXP(-(Matrice_OD!F23^2)/Param!$B$5),0)</f>
        <v>0.289867998382277</v>
      </c>
      <c r="G23" s="0" t="n">
        <f aca="false">IF(Matrice_OD!G23&lt;=Param!$B$2,EXP(-(Matrice_OD!G23^2)/Param!$B$5),0)</f>
        <v>0.28542755757025</v>
      </c>
      <c r="H23" s="0" t="n">
        <f aca="false">IF(Matrice_OD!H23&lt;=Param!$B$2,EXP(-(Matrice_OD!H23^2)/Param!$B$5),0)</f>
        <v>0.32110306013568</v>
      </c>
      <c r="I23" s="0" t="n">
        <f aca="false">IF(Matrice_OD!I23&lt;=Param!$B$2,EXP(-(Matrice_OD!I23^2)/Param!$B$5),0)</f>
        <v>0.317848197627027</v>
      </c>
      <c r="J23" s="0" t="n">
        <f aca="false">IF(Matrice_OD!J23&lt;=Param!$B$2,EXP(-(Matrice_OD!J23^2)/Param!$B$5),0)</f>
        <v>0.30644501987405</v>
      </c>
      <c r="K23" s="0" t="n">
        <f aca="false">IF(Matrice_OD!K23&lt;=Param!$B$2,EXP(-(Matrice_OD!K23^2)/Param!$B$5),0)</f>
        <v>0.295281640115656</v>
      </c>
      <c r="L23" s="0" t="n">
        <f aca="false">IF(Matrice_OD!L23&lt;=Param!$B$2,EXP(-(Matrice_OD!L23^2)/Param!$B$5),0)</f>
        <v>0.31817284486562</v>
      </c>
      <c r="M23" s="0" t="n">
        <f aca="false">IF(Matrice_OD!M23&lt;=Param!$B$2,EXP(-(Matrice_OD!M23^2)/Param!$B$5),0)</f>
        <v>0.338157317823879</v>
      </c>
      <c r="N23" s="0" t="n">
        <f aca="false">IF(Matrice_OD!N23&lt;=Param!$B$2,EXP(-(Matrice_OD!N23^2)/Param!$B$5),0)</f>
        <v>0.309313439394802</v>
      </c>
      <c r="O23" s="0" t="n">
        <f aca="false">IF(Matrice_OD!O23&lt;=Param!$B$2,EXP(-(Matrice_OD!O23^2)/Param!$B$5),0)</f>
        <v>0.312036595509613</v>
      </c>
      <c r="P23" s="0" t="n">
        <f aca="false">IF(Matrice_OD!P23&lt;=Param!$B$2,EXP(-(Matrice_OD!P23^2)/Param!$B$5),0)</f>
        <v>0.317848197627027</v>
      </c>
      <c r="Q23" s="0" t="n">
        <f aca="false">IF(Matrice_OD!Q23&lt;=Param!$B$2,EXP(-(Matrice_OD!Q23^2)/Param!$B$5),0)</f>
        <v>0.319636066689788</v>
      </c>
      <c r="R23" s="0" t="n">
        <f aca="false">IF(Matrice_OD!R23&lt;=Param!$B$2,EXP(-(Matrice_OD!R23^2)/Param!$B$5),0)</f>
        <v>0.316389598620285</v>
      </c>
      <c r="S23" s="0" t="n">
        <f aca="false">IF(Matrice_OD!S23&lt;=Param!$B$2,EXP(-(Matrice_OD!S23^2)/Param!$B$5),0)</f>
        <v>0.306922021092422</v>
      </c>
      <c r="T23" s="0" t="n">
        <f aca="false">IF(Matrice_OD!T23&lt;=Param!$B$2,EXP(-(Matrice_OD!T23^2)/Param!$B$5),0)</f>
        <v>0.373853313820153</v>
      </c>
      <c r="U23" s="0" t="n">
        <f aca="false">IF(Matrice_OD!U23&lt;=Param!$B$2,EXP(-(Matrice_OD!U23^2)/Param!$B$5),0)</f>
        <v>0.266030515981672</v>
      </c>
      <c r="V23" s="0" t="n">
        <f aca="false">IF(Matrice_OD!V23&lt;=Param!$B$2,EXP(-(Matrice_OD!V23^2)/Param!$B$5),0)</f>
        <v>0.04408029014307</v>
      </c>
      <c r="W23" s="0" t="n">
        <f aca="false">IF(Matrice_OD!W23&lt;=Param!$B$2,EXP(-(Matrice_OD!W23^2)/Param!$B$5),0)</f>
        <v>0.0509108844600718</v>
      </c>
      <c r="X23" s="0" t="n">
        <f aca="false">IF(Matrice_OD!X23&lt;=Param!$B$2,EXP(-(Matrice_OD!X23^2)/Param!$B$5),0)</f>
        <v>0.0569257343751584</v>
      </c>
      <c r="Y23" s="0" t="n">
        <f aca="false">IF(Matrice_OD!Y23&lt;=Param!$B$2,EXP(-(Matrice_OD!Y23^2)/Param!$B$5),0)</f>
        <v>0.0568338803500902</v>
      </c>
      <c r="Z23" s="0" t="n">
        <f aca="false">IF(Matrice_OD!Z23&lt;=Param!$B$2,EXP(-(Matrice_OD!Z23^2)/Param!$B$5),0)</f>
        <v>0.0555156945740774</v>
      </c>
      <c r="AA23" s="0" t="n">
        <f aca="false">IF(Matrice_OD!AA23&lt;=Param!$B$2,EXP(-(Matrice_OD!AA23^2)/Param!$B$5),0)</f>
        <v>0.0578976206022207</v>
      </c>
      <c r="AB23" s="0" t="n">
        <f aca="false">IF(Matrice_OD!AB23&lt;=Param!$B$2,EXP(-(Matrice_OD!AB23^2)/Param!$B$5),0)</f>
        <v>0.0638178251834852</v>
      </c>
      <c r="AC23" s="0" t="n">
        <f aca="false">IF(Matrice_OD!AC23&lt;=Param!$B$2,EXP(-(Matrice_OD!AC23^2)/Param!$B$5),0)</f>
        <v>0</v>
      </c>
      <c r="AD23" s="0" t="n">
        <f aca="false">IF(Matrice_OD!AD23&lt;=Param!$B$2,EXP(-(Matrice_OD!AD23^2)/Param!$B$5),0)</f>
        <v>0</v>
      </c>
      <c r="AE23" s="0" t="n">
        <f aca="false">IF(Matrice_OD!AE23&lt;=Param!$B$2,EXP(-(Matrice_OD!AE23^2)/Param!$B$5),0)</f>
        <v>0</v>
      </c>
      <c r="AF23" s="0" t="n">
        <f aca="false">IF(Matrice_OD!AF23&lt;=Param!$B$2,EXP(-(Matrice_OD!AF23^2)/Param!$B$5),0)</f>
        <v>0</v>
      </c>
      <c r="AG23" s="0" t="n">
        <f aca="false">IF(Matrice_OD!AG23&lt;=Param!$B$2,EXP(-(Matrice_OD!AG23^2)/Param!$B$5),0)</f>
        <v>0</v>
      </c>
      <c r="AH23" s="0" t="n">
        <f aca="false">IF(Matrice_OD!AH23&lt;=Param!$B$2,EXP(-(Matrice_OD!AH23^2)/Param!$B$5),0)</f>
        <v>0.331809083993684</v>
      </c>
      <c r="AI23" s="0" t="n">
        <f aca="false">IF(Matrice_OD!AI23&lt;=Param!$B$2,EXP(-(Matrice_OD!AI23^2)/Param!$B$5),0)</f>
        <v>0.357760586491199</v>
      </c>
      <c r="AJ23" s="0" t="n">
        <f aca="false">IF(Matrice_OD!AJ23&lt;=Param!$B$2,EXP(-(Matrice_OD!AJ23^2)/Param!$B$5),0)</f>
        <v>0.0531285273193342</v>
      </c>
      <c r="AK23" s="0" t="n">
        <f aca="false">IF(Matrice_OD!AK23&lt;=Param!$B$2,EXP(-(Matrice_OD!AK23^2)/Param!$B$5),0)</f>
        <v>0</v>
      </c>
      <c r="AL23" s="0" t="n">
        <f aca="false">IF(Matrice_OD!AL23&lt;=Param!$B$2,EXP(-(Matrice_OD!AL23^2)/Param!$B$5),0)</f>
        <v>0</v>
      </c>
      <c r="AM23" s="0" t="n">
        <f aca="false">IF(Matrice_OD!AM23&lt;=Param!$B$2,EXP(-(Matrice_OD!AM23^2)/Param!$B$5),0)</f>
        <v>0.065708227646375</v>
      </c>
      <c r="AN23" s="0" t="n">
        <f aca="false">IF(Matrice_OD!AN23&lt;=Param!$B$2,EXP(-(Matrice_OD!AN23^2)/Param!$B$5),0)</f>
        <v>0</v>
      </c>
    </row>
    <row r="24" customFormat="false" ht="15" hidden="false" customHeight="true" outlineLevel="0" collapsed="false">
      <c r="A24" s="0" t="s">
        <v>146</v>
      </c>
      <c r="B24" s="0" t="s">
        <v>147</v>
      </c>
      <c r="C24" s="0" t="n">
        <f aca="false">IF(Matrice_OD!C24&lt;=Param!$B$2,EXP(-(Matrice_OD!C24^2)/Param!$B$5),0)</f>
        <v>0.0149220042894085</v>
      </c>
      <c r="D24" s="0" t="n">
        <f aca="false">IF(Matrice_OD!D24&lt;=Param!$B$2,EXP(-(Matrice_OD!D24^2)/Param!$B$5),0)</f>
        <v>0.0131933455796569</v>
      </c>
      <c r="E24" s="0" t="n">
        <f aca="false">IF(Matrice_OD!E24&lt;=Param!$B$2,EXP(-(Matrice_OD!E24^2)/Param!$B$5),0)</f>
        <v>0.0112859789150683</v>
      </c>
      <c r="F24" s="0" t="n">
        <f aca="false">IF(Matrice_OD!F24&lt;=Param!$B$2,EXP(-(Matrice_OD!F24^2)/Param!$B$5),0)</f>
        <v>0.0111612285157494</v>
      </c>
      <c r="G24" s="0" t="n">
        <f aca="false">IF(Matrice_OD!G24&lt;=Param!$B$2,EXP(-(Matrice_OD!G24^2)/Param!$B$5),0)</f>
        <v>0.0105771765403279</v>
      </c>
      <c r="H24" s="0" t="n">
        <f aca="false">IF(Matrice_OD!H24&lt;=Param!$B$2,EXP(-(Matrice_OD!H24^2)/Param!$B$5),0)</f>
        <v>0</v>
      </c>
      <c r="I24" s="0" t="n">
        <f aca="false">IF(Matrice_OD!I24&lt;=Param!$B$2,EXP(-(Matrice_OD!I24^2)/Param!$B$5),0)</f>
        <v>0</v>
      </c>
      <c r="J24" s="0" t="n">
        <f aca="false">IF(Matrice_OD!J24&lt;=Param!$B$2,EXP(-(Matrice_OD!J24^2)/Param!$B$5),0)</f>
        <v>0</v>
      </c>
      <c r="K24" s="0" t="n">
        <f aca="false">IF(Matrice_OD!K24&lt;=Param!$B$2,EXP(-(Matrice_OD!K24^2)/Param!$B$5),0)</f>
        <v>0</v>
      </c>
      <c r="L24" s="0" t="n">
        <f aca="false">IF(Matrice_OD!L24&lt;=Param!$B$2,EXP(-(Matrice_OD!L24^2)/Param!$B$5),0)</f>
        <v>0</v>
      </c>
      <c r="M24" s="0" t="n">
        <f aca="false">IF(Matrice_OD!M24&lt;=Param!$B$2,EXP(-(Matrice_OD!M24^2)/Param!$B$5),0)</f>
        <v>0</v>
      </c>
      <c r="N24" s="0" t="n">
        <f aca="false">IF(Matrice_OD!N24&lt;=Param!$B$2,EXP(-(Matrice_OD!N24^2)/Param!$B$5),0)</f>
        <v>0</v>
      </c>
      <c r="O24" s="0" t="n">
        <f aca="false">IF(Matrice_OD!O24&lt;=Param!$B$2,EXP(-(Matrice_OD!O24^2)/Param!$B$5),0)</f>
        <v>0</v>
      </c>
      <c r="P24" s="0" t="n">
        <f aca="false">IF(Matrice_OD!P24&lt;=Param!$B$2,EXP(-(Matrice_OD!P24^2)/Param!$B$5),0)</f>
        <v>0</v>
      </c>
      <c r="Q24" s="0" t="n">
        <f aca="false">IF(Matrice_OD!Q24&lt;=Param!$B$2,EXP(-(Matrice_OD!Q24^2)/Param!$B$5),0)</f>
        <v>0</v>
      </c>
      <c r="R24" s="0" t="n">
        <f aca="false">IF(Matrice_OD!R24&lt;=Param!$B$2,EXP(-(Matrice_OD!R24^2)/Param!$B$5),0)</f>
        <v>0</v>
      </c>
      <c r="S24" s="0" t="n">
        <f aca="false">IF(Matrice_OD!S24&lt;=Param!$B$2,EXP(-(Matrice_OD!S24^2)/Param!$B$5),0)</f>
        <v>0</v>
      </c>
      <c r="T24" s="0" t="n">
        <f aca="false">IF(Matrice_OD!T24&lt;=Param!$B$2,EXP(-(Matrice_OD!T24^2)/Param!$B$5),0)</f>
        <v>0</v>
      </c>
      <c r="U24" s="0" t="n">
        <f aca="false">IF(Matrice_OD!U24&lt;=Param!$B$2,EXP(-(Matrice_OD!U24^2)/Param!$B$5),0)</f>
        <v>0</v>
      </c>
      <c r="V24" s="0" t="n">
        <f aca="false">IF(Matrice_OD!V24&lt;=Param!$B$2,EXP(-(Matrice_OD!V24^2)/Param!$B$5),0)</f>
        <v>0</v>
      </c>
      <c r="W24" s="0" t="n">
        <f aca="false">IF(Matrice_OD!W24&lt;=Param!$B$2,EXP(-(Matrice_OD!W24^2)/Param!$B$5),0)</f>
        <v>0</v>
      </c>
      <c r="X24" s="0" t="n">
        <f aca="false">IF(Matrice_OD!X24&lt;=Param!$B$2,EXP(-(Matrice_OD!X24^2)/Param!$B$5),0)</f>
        <v>0</v>
      </c>
      <c r="Y24" s="0" t="n">
        <f aca="false">IF(Matrice_OD!Y24&lt;=Param!$B$2,EXP(-(Matrice_OD!Y24^2)/Param!$B$5),0)</f>
        <v>0</v>
      </c>
      <c r="Z24" s="0" t="n">
        <f aca="false">IF(Matrice_OD!Z24&lt;=Param!$B$2,EXP(-(Matrice_OD!Z24^2)/Param!$B$5),0)</f>
        <v>0</v>
      </c>
      <c r="AA24" s="0" t="n">
        <f aca="false">IF(Matrice_OD!AA24&lt;=Param!$B$2,EXP(-(Matrice_OD!AA24^2)/Param!$B$5),0)</f>
        <v>0</v>
      </c>
      <c r="AB24" s="0" t="n">
        <f aca="false">IF(Matrice_OD!AB24&lt;=Param!$B$2,EXP(-(Matrice_OD!AB24^2)/Param!$B$5),0)</f>
        <v>0</v>
      </c>
      <c r="AC24" s="0" t="n">
        <f aca="false">IF(Matrice_OD!AC24&lt;=Param!$B$2,EXP(-(Matrice_OD!AC24^2)/Param!$B$5),0)</f>
        <v>0</v>
      </c>
      <c r="AD24" s="0" t="n">
        <f aca="false">IF(Matrice_OD!AD24&lt;=Param!$B$2,EXP(-(Matrice_OD!AD24^2)/Param!$B$5),0)</f>
        <v>0</v>
      </c>
      <c r="AE24" s="0" t="n">
        <f aca="false">IF(Matrice_OD!AE24&lt;=Param!$B$2,EXP(-(Matrice_OD!AE24^2)/Param!$B$5),0)</f>
        <v>0</v>
      </c>
      <c r="AF24" s="0" t="n">
        <f aca="false">IF(Matrice_OD!AF24&lt;=Param!$B$2,EXP(-(Matrice_OD!AF24^2)/Param!$B$5),0)</f>
        <v>0</v>
      </c>
      <c r="AG24" s="0" t="n">
        <f aca="false">IF(Matrice_OD!AG24&lt;=Param!$B$2,EXP(-(Matrice_OD!AG24^2)/Param!$B$5),0)</f>
        <v>0.993752924518796</v>
      </c>
      <c r="AH24" s="0" t="n">
        <f aca="false">IF(Matrice_OD!AH24&lt;=Param!$B$2,EXP(-(Matrice_OD!AH24^2)/Param!$B$5),0)</f>
        <v>0</v>
      </c>
      <c r="AI24" s="0" t="n">
        <f aca="false">IF(Matrice_OD!AI24&lt;=Param!$B$2,EXP(-(Matrice_OD!AI24^2)/Param!$B$5),0)</f>
        <v>0</v>
      </c>
      <c r="AJ24" s="0" t="n">
        <f aca="false">IF(Matrice_OD!AJ24&lt;=Param!$B$2,EXP(-(Matrice_OD!AJ24^2)/Param!$B$5),0)</f>
        <v>0</v>
      </c>
      <c r="AK24" s="0" t="n">
        <f aca="false">IF(Matrice_OD!AK24&lt;=Param!$B$2,EXP(-(Matrice_OD!AK24^2)/Param!$B$5),0)</f>
        <v>0</v>
      </c>
      <c r="AL24" s="0" t="n">
        <f aca="false">IF(Matrice_OD!AL24&lt;=Param!$B$2,EXP(-(Matrice_OD!AL24^2)/Param!$B$5),0)</f>
        <v>0</v>
      </c>
      <c r="AM24" s="0" t="n">
        <f aca="false">IF(Matrice_OD!AM24&lt;=Param!$B$2,EXP(-(Matrice_OD!AM24^2)/Param!$B$5),0)</f>
        <v>0.0127422007925406</v>
      </c>
      <c r="AN24" s="0" t="n">
        <f aca="false">IF(Matrice_OD!AN24&lt;=Param!$B$2,EXP(-(Matrice_OD!AN24^2)/Param!$B$5),0)</f>
        <v>0.0331741649694539</v>
      </c>
    </row>
    <row r="25" customFormat="false" ht="15" hidden="false" customHeight="true" outlineLevel="0" collapsed="false">
      <c r="A25" s="0" t="s">
        <v>148</v>
      </c>
      <c r="B25" s="0" t="s">
        <v>149</v>
      </c>
      <c r="C25" s="0" t="n">
        <f aca="false">IF(Matrice_OD!C25&lt;=Param!$B$2,EXP(-(Matrice_OD!C25^2)/Param!$B$5),0)</f>
        <v>0</v>
      </c>
      <c r="D25" s="0" t="n">
        <f aca="false">IF(Matrice_OD!D25&lt;=Param!$B$2,EXP(-(Matrice_OD!D25^2)/Param!$B$5),0)</f>
        <v>0</v>
      </c>
      <c r="E25" s="0" t="n">
        <f aca="false">IF(Matrice_OD!E25&lt;=Param!$B$2,EXP(-(Matrice_OD!E25^2)/Param!$B$5),0)</f>
        <v>0</v>
      </c>
      <c r="F25" s="0" t="n">
        <f aca="false">IF(Matrice_OD!F25&lt;=Param!$B$2,EXP(-(Matrice_OD!F25^2)/Param!$B$5),0)</f>
        <v>0</v>
      </c>
      <c r="G25" s="0" t="n">
        <f aca="false">IF(Matrice_OD!G25&lt;=Param!$B$2,EXP(-(Matrice_OD!G25^2)/Param!$B$5),0)</f>
        <v>0</v>
      </c>
      <c r="H25" s="0" t="n">
        <f aca="false">IF(Matrice_OD!H25&lt;=Param!$B$2,EXP(-(Matrice_OD!H25^2)/Param!$B$5),0)</f>
        <v>0</v>
      </c>
      <c r="I25" s="0" t="n">
        <f aca="false">IF(Matrice_OD!I25&lt;=Param!$B$2,EXP(-(Matrice_OD!I25^2)/Param!$B$5),0)</f>
        <v>0</v>
      </c>
      <c r="J25" s="0" t="n">
        <f aca="false">IF(Matrice_OD!J25&lt;=Param!$B$2,EXP(-(Matrice_OD!J25^2)/Param!$B$5),0)</f>
        <v>0</v>
      </c>
      <c r="K25" s="0" t="n">
        <f aca="false">IF(Matrice_OD!K25&lt;=Param!$B$2,EXP(-(Matrice_OD!K25^2)/Param!$B$5),0)</f>
        <v>0</v>
      </c>
      <c r="L25" s="0" t="n">
        <f aca="false">IF(Matrice_OD!L25&lt;=Param!$B$2,EXP(-(Matrice_OD!L25^2)/Param!$B$5),0)</f>
        <v>0</v>
      </c>
      <c r="M25" s="0" t="n">
        <f aca="false">IF(Matrice_OD!M25&lt;=Param!$B$2,EXP(-(Matrice_OD!M25^2)/Param!$B$5),0)</f>
        <v>0</v>
      </c>
      <c r="N25" s="0" t="n">
        <f aca="false">IF(Matrice_OD!N25&lt;=Param!$B$2,EXP(-(Matrice_OD!N25^2)/Param!$B$5),0)</f>
        <v>0</v>
      </c>
      <c r="O25" s="0" t="n">
        <f aca="false">IF(Matrice_OD!O25&lt;=Param!$B$2,EXP(-(Matrice_OD!O25^2)/Param!$B$5),0)</f>
        <v>0</v>
      </c>
      <c r="P25" s="0" t="n">
        <f aca="false">IF(Matrice_OD!P25&lt;=Param!$B$2,EXP(-(Matrice_OD!P25^2)/Param!$B$5),0)</f>
        <v>0</v>
      </c>
      <c r="Q25" s="0" t="n">
        <f aca="false">IF(Matrice_OD!Q25&lt;=Param!$B$2,EXP(-(Matrice_OD!Q25^2)/Param!$B$5),0)</f>
        <v>0</v>
      </c>
      <c r="R25" s="0" t="n">
        <f aca="false">IF(Matrice_OD!R25&lt;=Param!$B$2,EXP(-(Matrice_OD!R25^2)/Param!$B$5),0)</f>
        <v>0</v>
      </c>
      <c r="S25" s="0" t="n">
        <f aca="false">IF(Matrice_OD!S25&lt;=Param!$B$2,EXP(-(Matrice_OD!S25^2)/Param!$B$5),0)</f>
        <v>0</v>
      </c>
      <c r="T25" s="0" t="n">
        <f aca="false">IF(Matrice_OD!T25&lt;=Param!$B$2,EXP(-(Matrice_OD!T25^2)/Param!$B$5),0)</f>
        <v>0</v>
      </c>
      <c r="U25" s="0" t="n">
        <f aca="false">IF(Matrice_OD!U25&lt;=Param!$B$2,EXP(-(Matrice_OD!U25^2)/Param!$B$5),0)</f>
        <v>0</v>
      </c>
      <c r="V25" s="0" t="n">
        <f aca="false">IF(Matrice_OD!V25&lt;=Param!$B$2,EXP(-(Matrice_OD!V25^2)/Param!$B$5),0)</f>
        <v>0</v>
      </c>
      <c r="W25" s="0" t="n">
        <f aca="false">IF(Matrice_OD!W25&lt;=Param!$B$2,EXP(-(Matrice_OD!W25^2)/Param!$B$5),0)</f>
        <v>0</v>
      </c>
      <c r="X25" s="0" t="n">
        <f aca="false">IF(Matrice_OD!X25&lt;=Param!$B$2,EXP(-(Matrice_OD!X25^2)/Param!$B$5),0)</f>
        <v>0</v>
      </c>
      <c r="Y25" s="0" t="n">
        <f aca="false">IF(Matrice_OD!Y25&lt;=Param!$B$2,EXP(-(Matrice_OD!Y25^2)/Param!$B$5),0)</f>
        <v>0</v>
      </c>
      <c r="Z25" s="0" t="n">
        <f aca="false">IF(Matrice_OD!Z25&lt;=Param!$B$2,EXP(-(Matrice_OD!Z25^2)/Param!$B$5),0)</f>
        <v>0</v>
      </c>
      <c r="AA25" s="0" t="n">
        <f aca="false">IF(Matrice_OD!AA25&lt;=Param!$B$2,EXP(-(Matrice_OD!AA25^2)/Param!$B$5),0)</f>
        <v>0</v>
      </c>
      <c r="AB25" s="0" t="n">
        <f aca="false">IF(Matrice_OD!AB25&lt;=Param!$B$2,EXP(-(Matrice_OD!AB25^2)/Param!$B$5),0)</f>
        <v>0</v>
      </c>
      <c r="AC25" s="0" t="n">
        <f aca="false">IF(Matrice_OD!AC25&lt;=Param!$B$2,EXP(-(Matrice_OD!AC25^2)/Param!$B$5),0)</f>
        <v>0</v>
      </c>
      <c r="AD25" s="0" t="n">
        <f aca="false">IF(Matrice_OD!AD25&lt;=Param!$B$2,EXP(-(Matrice_OD!AD25^2)/Param!$B$5),0)</f>
        <v>0</v>
      </c>
      <c r="AE25" s="0" t="n">
        <f aca="false">IF(Matrice_OD!AE25&lt;=Param!$B$2,EXP(-(Matrice_OD!AE25^2)/Param!$B$5),0)</f>
        <v>0</v>
      </c>
      <c r="AF25" s="0" t="n">
        <f aca="false">IF(Matrice_OD!AF25&lt;=Param!$B$2,EXP(-(Matrice_OD!AF25^2)/Param!$B$5),0)</f>
        <v>0</v>
      </c>
      <c r="AG25" s="0" t="n">
        <f aca="false">IF(Matrice_OD!AG25&lt;=Param!$B$2,EXP(-(Matrice_OD!AG25^2)/Param!$B$5),0)</f>
        <v>0.0287231456195909</v>
      </c>
      <c r="AH25" s="0" t="n">
        <f aca="false">IF(Matrice_OD!AH25&lt;=Param!$B$2,EXP(-(Matrice_OD!AH25^2)/Param!$B$5),0)</f>
        <v>0</v>
      </c>
      <c r="AI25" s="0" t="n">
        <f aca="false">IF(Matrice_OD!AI25&lt;=Param!$B$2,EXP(-(Matrice_OD!AI25^2)/Param!$B$5),0)</f>
        <v>0</v>
      </c>
      <c r="AJ25" s="0" t="n">
        <f aca="false">IF(Matrice_OD!AJ25&lt;=Param!$B$2,EXP(-(Matrice_OD!AJ25^2)/Param!$B$5),0)</f>
        <v>0</v>
      </c>
      <c r="AK25" s="0" t="n">
        <f aca="false">IF(Matrice_OD!AK25&lt;=Param!$B$2,EXP(-(Matrice_OD!AK25^2)/Param!$B$5),0)</f>
        <v>0</v>
      </c>
      <c r="AL25" s="0" t="n">
        <f aca="false">IF(Matrice_OD!AL25&lt;=Param!$B$2,EXP(-(Matrice_OD!AL25^2)/Param!$B$5),0)</f>
        <v>0</v>
      </c>
      <c r="AM25" s="0" t="n">
        <f aca="false">IF(Matrice_OD!AM25&lt;=Param!$B$2,EXP(-(Matrice_OD!AM25^2)/Param!$B$5),0)</f>
        <v>0</v>
      </c>
      <c r="AN25" s="0" t="n">
        <f aca="false">IF(Matrice_OD!AN25&lt;=Param!$B$2,EXP(-(Matrice_OD!AN25^2)/Param!$B$5),0)</f>
        <v>1</v>
      </c>
    </row>
    <row r="26" customFormat="false" ht="15" hidden="false" customHeight="true" outlineLevel="0" collapsed="false">
      <c r="A26" s="0" t="s">
        <v>150</v>
      </c>
      <c r="B26" s="0" t="s">
        <v>151</v>
      </c>
      <c r="C26" s="0" t="n">
        <f aca="false">IF(Matrice_OD!C26&lt;=Param!$B$2,EXP(-(Matrice_OD!C26^2)/Param!$B$5),0)</f>
        <v>0</v>
      </c>
      <c r="D26" s="0" t="n">
        <f aca="false">IF(Matrice_OD!D26&lt;=Param!$B$2,EXP(-(Matrice_OD!D26^2)/Param!$B$5),0)</f>
        <v>0</v>
      </c>
      <c r="E26" s="0" t="n">
        <f aca="false">IF(Matrice_OD!E26&lt;=Param!$B$2,EXP(-(Matrice_OD!E26^2)/Param!$B$5),0)</f>
        <v>0</v>
      </c>
      <c r="F26" s="0" t="n">
        <f aca="false">IF(Matrice_OD!F26&lt;=Param!$B$2,EXP(-(Matrice_OD!F26^2)/Param!$B$5),0)</f>
        <v>0</v>
      </c>
      <c r="G26" s="0" t="n">
        <f aca="false">IF(Matrice_OD!G26&lt;=Param!$B$2,EXP(-(Matrice_OD!G26^2)/Param!$B$5),0)</f>
        <v>0</v>
      </c>
      <c r="H26" s="0" t="n">
        <f aca="false">IF(Matrice_OD!H26&lt;=Param!$B$2,EXP(-(Matrice_OD!H26^2)/Param!$B$5),0)</f>
        <v>0</v>
      </c>
      <c r="I26" s="0" t="n">
        <f aca="false">IF(Matrice_OD!I26&lt;=Param!$B$2,EXP(-(Matrice_OD!I26^2)/Param!$B$5),0)</f>
        <v>0</v>
      </c>
      <c r="J26" s="0" t="n">
        <f aca="false">IF(Matrice_OD!J26&lt;=Param!$B$2,EXP(-(Matrice_OD!J26^2)/Param!$B$5),0)</f>
        <v>0</v>
      </c>
      <c r="K26" s="0" t="n">
        <f aca="false">IF(Matrice_OD!K26&lt;=Param!$B$2,EXP(-(Matrice_OD!K26^2)/Param!$B$5),0)</f>
        <v>0</v>
      </c>
      <c r="L26" s="0" t="n">
        <f aca="false">IF(Matrice_OD!L26&lt;=Param!$B$2,EXP(-(Matrice_OD!L26^2)/Param!$B$5),0)</f>
        <v>0</v>
      </c>
      <c r="M26" s="0" t="n">
        <f aca="false">IF(Matrice_OD!M26&lt;=Param!$B$2,EXP(-(Matrice_OD!M26^2)/Param!$B$5),0)</f>
        <v>0</v>
      </c>
      <c r="N26" s="0" t="n">
        <f aca="false">IF(Matrice_OD!N26&lt;=Param!$B$2,EXP(-(Matrice_OD!N26^2)/Param!$B$5),0)</f>
        <v>0</v>
      </c>
      <c r="O26" s="0" t="n">
        <f aca="false">IF(Matrice_OD!O26&lt;=Param!$B$2,EXP(-(Matrice_OD!O26^2)/Param!$B$5),0)</f>
        <v>0</v>
      </c>
      <c r="P26" s="0" t="n">
        <f aca="false">IF(Matrice_OD!P26&lt;=Param!$B$2,EXP(-(Matrice_OD!P26^2)/Param!$B$5),0)</f>
        <v>0</v>
      </c>
      <c r="Q26" s="0" t="n">
        <f aca="false">IF(Matrice_OD!Q26&lt;=Param!$B$2,EXP(-(Matrice_OD!Q26^2)/Param!$B$5),0)</f>
        <v>0</v>
      </c>
      <c r="R26" s="0" t="n">
        <f aca="false">IF(Matrice_OD!R26&lt;=Param!$B$2,EXP(-(Matrice_OD!R26^2)/Param!$B$5),0)</f>
        <v>0</v>
      </c>
      <c r="S26" s="0" t="n">
        <f aca="false">IF(Matrice_OD!S26&lt;=Param!$B$2,EXP(-(Matrice_OD!S26^2)/Param!$B$5),0)</f>
        <v>0</v>
      </c>
      <c r="T26" s="0" t="n">
        <f aca="false">IF(Matrice_OD!T26&lt;=Param!$B$2,EXP(-(Matrice_OD!T26^2)/Param!$B$5),0)</f>
        <v>0</v>
      </c>
      <c r="U26" s="0" t="n">
        <f aca="false">IF(Matrice_OD!U26&lt;=Param!$B$2,EXP(-(Matrice_OD!U26^2)/Param!$B$5),0)</f>
        <v>0</v>
      </c>
      <c r="V26" s="0" t="n">
        <f aca="false">IF(Matrice_OD!V26&lt;=Param!$B$2,EXP(-(Matrice_OD!V26^2)/Param!$B$5),0)</f>
        <v>0</v>
      </c>
      <c r="W26" s="0" t="n">
        <f aca="false">IF(Matrice_OD!W26&lt;=Param!$B$2,EXP(-(Matrice_OD!W26^2)/Param!$B$5),0)</f>
        <v>0</v>
      </c>
      <c r="X26" s="0" t="n">
        <f aca="false">IF(Matrice_OD!X26&lt;=Param!$B$2,EXP(-(Matrice_OD!X26^2)/Param!$B$5),0)</f>
        <v>0</v>
      </c>
      <c r="Y26" s="0" t="n">
        <f aca="false">IF(Matrice_OD!Y26&lt;=Param!$B$2,EXP(-(Matrice_OD!Y26^2)/Param!$B$5),0)</f>
        <v>0</v>
      </c>
      <c r="Z26" s="0" t="n">
        <f aca="false">IF(Matrice_OD!Z26&lt;=Param!$B$2,EXP(-(Matrice_OD!Z26^2)/Param!$B$5),0)</f>
        <v>0</v>
      </c>
      <c r="AA26" s="0" t="n">
        <f aca="false">IF(Matrice_OD!AA26&lt;=Param!$B$2,EXP(-(Matrice_OD!AA26^2)/Param!$B$5),0)</f>
        <v>0</v>
      </c>
      <c r="AB26" s="0" t="n">
        <f aca="false">IF(Matrice_OD!AB26&lt;=Param!$B$2,EXP(-(Matrice_OD!AB26^2)/Param!$B$5),0)</f>
        <v>0</v>
      </c>
      <c r="AC26" s="0" t="n">
        <f aca="false">IF(Matrice_OD!AC26&lt;=Param!$B$2,EXP(-(Matrice_OD!AC26^2)/Param!$B$5),0)</f>
        <v>0</v>
      </c>
      <c r="AD26" s="0" t="n">
        <f aca="false">IF(Matrice_OD!AD26&lt;=Param!$B$2,EXP(-(Matrice_OD!AD26^2)/Param!$B$5),0)</f>
        <v>0</v>
      </c>
      <c r="AE26" s="0" t="n">
        <f aca="false">IF(Matrice_OD!AE26&lt;=Param!$B$2,EXP(-(Matrice_OD!AE26^2)/Param!$B$5),0)</f>
        <v>0</v>
      </c>
      <c r="AF26" s="0" t="n">
        <f aca="false">IF(Matrice_OD!AF26&lt;=Param!$B$2,EXP(-(Matrice_OD!AF26^2)/Param!$B$5),0)</f>
        <v>0</v>
      </c>
      <c r="AG26" s="0" t="n">
        <f aca="false">IF(Matrice_OD!AG26&lt;=Param!$B$2,EXP(-(Matrice_OD!AG26^2)/Param!$B$5),0)</f>
        <v>0.486487409403003</v>
      </c>
      <c r="AH26" s="0" t="n">
        <f aca="false">IF(Matrice_OD!AH26&lt;=Param!$B$2,EXP(-(Matrice_OD!AH26^2)/Param!$B$5),0)</f>
        <v>0</v>
      </c>
      <c r="AI26" s="0" t="n">
        <f aca="false">IF(Matrice_OD!AI26&lt;=Param!$B$2,EXP(-(Matrice_OD!AI26^2)/Param!$B$5),0)</f>
        <v>0</v>
      </c>
      <c r="AJ26" s="0" t="n">
        <f aca="false">IF(Matrice_OD!AJ26&lt;=Param!$B$2,EXP(-(Matrice_OD!AJ26^2)/Param!$B$5),0)</f>
        <v>0</v>
      </c>
      <c r="AK26" s="0" t="n">
        <f aca="false">IF(Matrice_OD!AK26&lt;=Param!$B$2,EXP(-(Matrice_OD!AK26^2)/Param!$B$5),0)</f>
        <v>0</v>
      </c>
      <c r="AL26" s="0" t="n">
        <f aca="false">IF(Matrice_OD!AL26&lt;=Param!$B$2,EXP(-(Matrice_OD!AL26^2)/Param!$B$5),0)</f>
        <v>0</v>
      </c>
      <c r="AM26" s="0" t="n">
        <f aca="false">IF(Matrice_OD!AM26&lt;=Param!$B$2,EXP(-(Matrice_OD!AM26^2)/Param!$B$5),0)</f>
        <v>0</v>
      </c>
      <c r="AN26" s="0" t="n">
        <f aca="false">IF(Matrice_OD!AN26&lt;=Param!$B$2,EXP(-(Matrice_OD!AN26^2)/Param!$B$5),0)</f>
        <v>0</v>
      </c>
    </row>
    <row r="27" customFormat="false" ht="15" hidden="false" customHeight="true" outlineLevel="0" collapsed="false">
      <c r="A27" s="0" t="s">
        <v>152</v>
      </c>
      <c r="B27" s="0" t="s">
        <v>153</v>
      </c>
      <c r="C27" s="0" t="n">
        <f aca="false">IF(Matrice_OD!C27&lt;=Param!$B$2,EXP(-(Matrice_OD!C27^2)/Param!$B$5),0)</f>
        <v>0</v>
      </c>
      <c r="D27" s="0" t="n">
        <f aca="false">IF(Matrice_OD!D27&lt;=Param!$B$2,EXP(-(Matrice_OD!D27^2)/Param!$B$5),0)</f>
        <v>0</v>
      </c>
      <c r="E27" s="0" t="n">
        <f aca="false">IF(Matrice_OD!E27&lt;=Param!$B$2,EXP(-(Matrice_OD!E27^2)/Param!$B$5),0)</f>
        <v>0</v>
      </c>
      <c r="F27" s="0" t="n">
        <f aca="false">IF(Matrice_OD!F27&lt;=Param!$B$2,EXP(-(Matrice_OD!F27^2)/Param!$B$5),0)</f>
        <v>0</v>
      </c>
      <c r="G27" s="0" t="n">
        <f aca="false">IF(Matrice_OD!G27&lt;=Param!$B$2,EXP(-(Matrice_OD!G27^2)/Param!$B$5),0)</f>
        <v>0</v>
      </c>
      <c r="H27" s="0" t="n">
        <f aca="false">IF(Matrice_OD!H27&lt;=Param!$B$2,EXP(-(Matrice_OD!H27^2)/Param!$B$5),0)</f>
        <v>0</v>
      </c>
      <c r="I27" s="0" t="n">
        <f aca="false">IF(Matrice_OD!I27&lt;=Param!$B$2,EXP(-(Matrice_OD!I27^2)/Param!$B$5),0)</f>
        <v>0</v>
      </c>
      <c r="J27" s="0" t="n">
        <f aca="false">IF(Matrice_OD!J27&lt;=Param!$B$2,EXP(-(Matrice_OD!J27^2)/Param!$B$5),0)</f>
        <v>0</v>
      </c>
      <c r="K27" s="0" t="n">
        <f aca="false">IF(Matrice_OD!K27&lt;=Param!$B$2,EXP(-(Matrice_OD!K27^2)/Param!$B$5),0)</f>
        <v>0</v>
      </c>
      <c r="L27" s="0" t="n">
        <f aca="false">IF(Matrice_OD!L27&lt;=Param!$B$2,EXP(-(Matrice_OD!L27^2)/Param!$B$5),0)</f>
        <v>0</v>
      </c>
      <c r="M27" s="0" t="n">
        <f aca="false">IF(Matrice_OD!M27&lt;=Param!$B$2,EXP(-(Matrice_OD!M27^2)/Param!$B$5),0)</f>
        <v>0</v>
      </c>
      <c r="N27" s="0" t="n">
        <f aca="false">IF(Matrice_OD!N27&lt;=Param!$B$2,EXP(-(Matrice_OD!N27^2)/Param!$B$5),0)</f>
        <v>0</v>
      </c>
      <c r="O27" s="0" t="n">
        <f aca="false">IF(Matrice_OD!O27&lt;=Param!$B$2,EXP(-(Matrice_OD!O27^2)/Param!$B$5),0)</f>
        <v>0</v>
      </c>
      <c r="P27" s="0" t="n">
        <f aca="false">IF(Matrice_OD!P27&lt;=Param!$B$2,EXP(-(Matrice_OD!P27^2)/Param!$B$5),0)</f>
        <v>0</v>
      </c>
      <c r="Q27" s="0" t="n">
        <f aca="false">IF(Matrice_OD!Q27&lt;=Param!$B$2,EXP(-(Matrice_OD!Q27^2)/Param!$B$5),0)</f>
        <v>0</v>
      </c>
      <c r="R27" s="0" t="n">
        <f aca="false">IF(Matrice_OD!R27&lt;=Param!$B$2,EXP(-(Matrice_OD!R27^2)/Param!$B$5),0)</f>
        <v>0</v>
      </c>
      <c r="S27" s="0" t="n">
        <f aca="false">IF(Matrice_OD!S27&lt;=Param!$B$2,EXP(-(Matrice_OD!S27^2)/Param!$B$5),0)</f>
        <v>0</v>
      </c>
      <c r="T27" s="0" t="n">
        <f aca="false">IF(Matrice_OD!T27&lt;=Param!$B$2,EXP(-(Matrice_OD!T27^2)/Param!$B$5),0)</f>
        <v>0</v>
      </c>
      <c r="U27" s="0" t="n">
        <f aca="false">IF(Matrice_OD!U27&lt;=Param!$B$2,EXP(-(Matrice_OD!U27^2)/Param!$B$5),0)</f>
        <v>0</v>
      </c>
      <c r="V27" s="0" t="n">
        <f aca="false">IF(Matrice_OD!V27&lt;=Param!$B$2,EXP(-(Matrice_OD!V27^2)/Param!$B$5),0)</f>
        <v>0</v>
      </c>
      <c r="W27" s="0" t="n">
        <f aca="false">IF(Matrice_OD!W27&lt;=Param!$B$2,EXP(-(Matrice_OD!W27^2)/Param!$B$5),0)</f>
        <v>0</v>
      </c>
      <c r="X27" s="0" t="n">
        <f aca="false">IF(Matrice_OD!X27&lt;=Param!$B$2,EXP(-(Matrice_OD!X27^2)/Param!$B$5),0)</f>
        <v>0</v>
      </c>
      <c r="Y27" s="0" t="n">
        <f aca="false">IF(Matrice_OD!Y27&lt;=Param!$B$2,EXP(-(Matrice_OD!Y27^2)/Param!$B$5),0)</f>
        <v>0</v>
      </c>
      <c r="Z27" s="0" t="n">
        <f aca="false">IF(Matrice_OD!Z27&lt;=Param!$B$2,EXP(-(Matrice_OD!Z27^2)/Param!$B$5),0)</f>
        <v>0</v>
      </c>
      <c r="AA27" s="0" t="n">
        <f aca="false">IF(Matrice_OD!AA27&lt;=Param!$B$2,EXP(-(Matrice_OD!AA27^2)/Param!$B$5),0)</f>
        <v>0</v>
      </c>
      <c r="AB27" s="0" t="n">
        <f aca="false">IF(Matrice_OD!AB27&lt;=Param!$B$2,EXP(-(Matrice_OD!AB27^2)/Param!$B$5),0)</f>
        <v>0</v>
      </c>
      <c r="AC27" s="0" t="n">
        <f aca="false">IF(Matrice_OD!AC27&lt;=Param!$B$2,EXP(-(Matrice_OD!AC27^2)/Param!$B$5),0)</f>
        <v>0</v>
      </c>
      <c r="AD27" s="0" t="n">
        <f aca="false">IF(Matrice_OD!AD27&lt;=Param!$B$2,EXP(-(Matrice_OD!AD27^2)/Param!$B$5),0)</f>
        <v>0</v>
      </c>
      <c r="AE27" s="0" t="n">
        <f aca="false">IF(Matrice_OD!AE27&lt;=Param!$B$2,EXP(-(Matrice_OD!AE27^2)/Param!$B$5),0)</f>
        <v>0</v>
      </c>
      <c r="AF27" s="0" t="n">
        <f aca="false">IF(Matrice_OD!AF27&lt;=Param!$B$2,EXP(-(Matrice_OD!AF27^2)/Param!$B$5),0)</f>
        <v>0</v>
      </c>
      <c r="AG27" s="0" t="n">
        <f aca="false">IF(Matrice_OD!AG27&lt;=Param!$B$2,EXP(-(Matrice_OD!AG27^2)/Param!$B$5),0)</f>
        <v>0.018104134931046</v>
      </c>
      <c r="AH27" s="0" t="n">
        <f aca="false">IF(Matrice_OD!AH27&lt;=Param!$B$2,EXP(-(Matrice_OD!AH27^2)/Param!$B$5),0)</f>
        <v>0</v>
      </c>
      <c r="AI27" s="0" t="n">
        <f aca="false">IF(Matrice_OD!AI27&lt;=Param!$B$2,EXP(-(Matrice_OD!AI27^2)/Param!$B$5),0)</f>
        <v>0</v>
      </c>
      <c r="AJ27" s="0" t="n">
        <f aca="false">IF(Matrice_OD!AJ27&lt;=Param!$B$2,EXP(-(Matrice_OD!AJ27^2)/Param!$B$5),0)</f>
        <v>0</v>
      </c>
      <c r="AK27" s="0" t="n">
        <f aca="false">IF(Matrice_OD!AK27&lt;=Param!$B$2,EXP(-(Matrice_OD!AK27^2)/Param!$B$5),0)</f>
        <v>0</v>
      </c>
      <c r="AL27" s="0" t="n">
        <f aca="false">IF(Matrice_OD!AL27&lt;=Param!$B$2,EXP(-(Matrice_OD!AL27^2)/Param!$B$5),0)</f>
        <v>0</v>
      </c>
      <c r="AM27" s="0" t="n">
        <f aca="false">IF(Matrice_OD!AM27&lt;=Param!$B$2,EXP(-(Matrice_OD!AM27^2)/Param!$B$5),0)</f>
        <v>0</v>
      </c>
      <c r="AN27" s="0" t="n">
        <f aca="false">IF(Matrice_OD!AN27&lt;=Param!$B$2,EXP(-(Matrice_OD!AN27^2)/Param!$B$5),0)</f>
        <v>0</v>
      </c>
    </row>
    <row r="28" customFormat="false" ht="15" hidden="false" customHeight="true" outlineLevel="0" collapsed="false">
      <c r="A28" s="0" t="s">
        <v>154</v>
      </c>
      <c r="B28" s="0" t="s">
        <v>155</v>
      </c>
      <c r="C28" s="0" t="n">
        <f aca="false">IF(Matrice_OD!C28&lt;=Param!$B$2,EXP(-(Matrice_OD!C28^2)/Param!$B$5),0)</f>
        <v>0</v>
      </c>
      <c r="D28" s="0" t="n">
        <f aca="false">IF(Matrice_OD!D28&lt;=Param!$B$2,EXP(-(Matrice_OD!D28^2)/Param!$B$5),0)</f>
        <v>0</v>
      </c>
      <c r="E28" s="0" t="n">
        <f aca="false">IF(Matrice_OD!E28&lt;=Param!$B$2,EXP(-(Matrice_OD!E28^2)/Param!$B$5),0)</f>
        <v>0</v>
      </c>
      <c r="F28" s="0" t="n">
        <f aca="false">IF(Matrice_OD!F28&lt;=Param!$B$2,EXP(-(Matrice_OD!F28^2)/Param!$B$5),0)</f>
        <v>0</v>
      </c>
      <c r="G28" s="0" t="n">
        <f aca="false">IF(Matrice_OD!G28&lt;=Param!$B$2,EXP(-(Matrice_OD!G28^2)/Param!$B$5),0)</f>
        <v>0</v>
      </c>
      <c r="H28" s="0" t="n">
        <f aca="false">IF(Matrice_OD!H28&lt;=Param!$B$2,EXP(-(Matrice_OD!H28^2)/Param!$B$5),0)</f>
        <v>0</v>
      </c>
      <c r="I28" s="0" t="n">
        <f aca="false">IF(Matrice_OD!I28&lt;=Param!$B$2,EXP(-(Matrice_OD!I28^2)/Param!$B$5),0)</f>
        <v>0</v>
      </c>
      <c r="J28" s="0" t="n">
        <f aca="false">IF(Matrice_OD!J28&lt;=Param!$B$2,EXP(-(Matrice_OD!J28^2)/Param!$B$5),0)</f>
        <v>0</v>
      </c>
      <c r="K28" s="0" t="n">
        <f aca="false">IF(Matrice_OD!K28&lt;=Param!$B$2,EXP(-(Matrice_OD!K28^2)/Param!$B$5),0)</f>
        <v>0</v>
      </c>
      <c r="L28" s="0" t="n">
        <f aca="false">IF(Matrice_OD!L28&lt;=Param!$B$2,EXP(-(Matrice_OD!L28^2)/Param!$B$5),0)</f>
        <v>0</v>
      </c>
      <c r="M28" s="0" t="n">
        <f aca="false">IF(Matrice_OD!M28&lt;=Param!$B$2,EXP(-(Matrice_OD!M28^2)/Param!$B$5),0)</f>
        <v>0</v>
      </c>
      <c r="N28" s="0" t="n">
        <f aca="false">IF(Matrice_OD!N28&lt;=Param!$B$2,EXP(-(Matrice_OD!N28^2)/Param!$B$5),0)</f>
        <v>0</v>
      </c>
      <c r="O28" s="0" t="n">
        <f aca="false">IF(Matrice_OD!O28&lt;=Param!$B$2,EXP(-(Matrice_OD!O28^2)/Param!$B$5),0)</f>
        <v>0</v>
      </c>
      <c r="P28" s="0" t="n">
        <f aca="false">IF(Matrice_OD!P28&lt;=Param!$B$2,EXP(-(Matrice_OD!P28^2)/Param!$B$5),0)</f>
        <v>0</v>
      </c>
      <c r="Q28" s="0" t="n">
        <f aca="false">IF(Matrice_OD!Q28&lt;=Param!$B$2,EXP(-(Matrice_OD!Q28^2)/Param!$B$5),0)</f>
        <v>0</v>
      </c>
      <c r="R28" s="0" t="n">
        <f aca="false">IF(Matrice_OD!R28&lt;=Param!$B$2,EXP(-(Matrice_OD!R28^2)/Param!$B$5),0)</f>
        <v>0</v>
      </c>
      <c r="S28" s="0" t="n">
        <f aca="false">IF(Matrice_OD!S28&lt;=Param!$B$2,EXP(-(Matrice_OD!S28^2)/Param!$B$5),0)</f>
        <v>0</v>
      </c>
      <c r="T28" s="0" t="n">
        <f aca="false">IF(Matrice_OD!T28&lt;=Param!$B$2,EXP(-(Matrice_OD!T28^2)/Param!$B$5),0)</f>
        <v>0</v>
      </c>
      <c r="U28" s="0" t="n">
        <f aca="false">IF(Matrice_OD!U28&lt;=Param!$B$2,EXP(-(Matrice_OD!U28^2)/Param!$B$5),0)</f>
        <v>0</v>
      </c>
      <c r="V28" s="0" t="n">
        <f aca="false">IF(Matrice_OD!V28&lt;=Param!$B$2,EXP(-(Matrice_OD!V28^2)/Param!$B$5),0)</f>
        <v>0</v>
      </c>
      <c r="W28" s="0" t="n">
        <f aca="false">IF(Matrice_OD!W28&lt;=Param!$B$2,EXP(-(Matrice_OD!W28^2)/Param!$B$5),0)</f>
        <v>0</v>
      </c>
      <c r="X28" s="0" t="n">
        <f aca="false">IF(Matrice_OD!X28&lt;=Param!$B$2,EXP(-(Matrice_OD!X28^2)/Param!$B$5),0)</f>
        <v>0</v>
      </c>
      <c r="Y28" s="0" t="n">
        <f aca="false">IF(Matrice_OD!Y28&lt;=Param!$B$2,EXP(-(Matrice_OD!Y28^2)/Param!$B$5),0)</f>
        <v>0</v>
      </c>
      <c r="Z28" s="0" t="n">
        <f aca="false">IF(Matrice_OD!Z28&lt;=Param!$B$2,EXP(-(Matrice_OD!Z28^2)/Param!$B$5),0)</f>
        <v>0</v>
      </c>
      <c r="AA28" s="0" t="n">
        <f aca="false">IF(Matrice_OD!AA28&lt;=Param!$B$2,EXP(-(Matrice_OD!AA28^2)/Param!$B$5),0)</f>
        <v>0</v>
      </c>
      <c r="AB28" s="0" t="n">
        <f aca="false">IF(Matrice_OD!AB28&lt;=Param!$B$2,EXP(-(Matrice_OD!AB28^2)/Param!$B$5),0)</f>
        <v>0</v>
      </c>
      <c r="AC28" s="0" t="n">
        <f aca="false">IF(Matrice_OD!AC28&lt;=Param!$B$2,EXP(-(Matrice_OD!AC28^2)/Param!$B$5),0)</f>
        <v>0</v>
      </c>
      <c r="AD28" s="0" t="n">
        <f aca="false">IF(Matrice_OD!AD28&lt;=Param!$B$2,EXP(-(Matrice_OD!AD28^2)/Param!$B$5),0)</f>
        <v>0</v>
      </c>
      <c r="AE28" s="0" t="n">
        <f aca="false">IF(Matrice_OD!AE28&lt;=Param!$B$2,EXP(-(Matrice_OD!AE28^2)/Param!$B$5),0)</f>
        <v>0</v>
      </c>
      <c r="AF28" s="0" t="n">
        <f aca="false">IF(Matrice_OD!AF28&lt;=Param!$B$2,EXP(-(Matrice_OD!AF28^2)/Param!$B$5),0)</f>
        <v>0</v>
      </c>
      <c r="AG28" s="0" t="n">
        <f aca="false">IF(Matrice_OD!AG28&lt;=Param!$B$2,EXP(-(Matrice_OD!AG28^2)/Param!$B$5),0)</f>
        <v>0</v>
      </c>
      <c r="AH28" s="0" t="n">
        <f aca="false">IF(Matrice_OD!AH28&lt;=Param!$B$2,EXP(-(Matrice_OD!AH28^2)/Param!$B$5),0)</f>
        <v>0</v>
      </c>
      <c r="AI28" s="0" t="n">
        <f aca="false">IF(Matrice_OD!AI28&lt;=Param!$B$2,EXP(-(Matrice_OD!AI28^2)/Param!$B$5),0)</f>
        <v>0</v>
      </c>
      <c r="AJ28" s="0" t="n">
        <f aca="false">IF(Matrice_OD!AJ28&lt;=Param!$B$2,EXP(-(Matrice_OD!AJ28^2)/Param!$B$5),0)</f>
        <v>0</v>
      </c>
      <c r="AK28" s="0" t="n">
        <f aca="false">IF(Matrice_OD!AK28&lt;=Param!$B$2,EXP(-(Matrice_OD!AK28^2)/Param!$B$5),0)</f>
        <v>0</v>
      </c>
      <c r="AL28" s="0" t="n">
        <f aca="false">IF(Matrice_OD!AL28&lt;=Param!$B$2,EXP(-(Matrice_OD!AL28^2)/Param!$B$5),0)</f>
        <v>0</v>
      </c>
      <c r="AM28" s="0" t="n">
        <f aca="false">IF(Matrice_OD!AM28&lt;=Param!$B$2,EXP(-(Matrice_OD!AM28^2)/Param!$B$5),0)</f>
        <v>0</v>
      </c>
      <c r="AN28" s="0" t="n">
        <f aca="false">IF(Matrice_OD!AN28&lt;=Param!$B$2,EXP(-(Matrice_OD!AN28^2)/Param!$B$5),0)</f>
        <v>0</v>
      </c>
    </row>
    <row r="29" customFormat="false" ht="15" hidden="false" customHeight="true" outlineLevel="0" collapsed="false">
      <c r="A29" s="0" t="s">
        <v>156</v>
      </c>
      <c r="B29" s="0" t="s">
        <v>157</v>
      </c>
      <c r="C29" s="0" t="n">
        <f aca="false">IF(Matrice_OD!C29&lt;=Param!$B$2,EXP(-(Matrice_OD!C29^2)/Param!$B$5),0)</f>
        <v>0</v>
      </c>
      <c r="D29" s="0" t="n">
        <f aca="false">IF(Matrice_OD!D29&lt;=Param!$B$2,EXP(-(Matrice_OD!D29^2)/Param!$B$5),0)</f>
        <v>0</v>
      </c>
      <c r="E29" s="0" t="n">
        <f aca="false">IF(Matrice_OD!E29&lt;=Param!$B$2,EXP(-(Matrice_OD!E29^2)/Param!$B$5),0)</f>
        <v>0</v>
      </c>
      <c r="F29" s="0" t="n">
        <f aca="false">IF(Matrice_OD!F29&lt;=Param!$B$2,EXP(-(Matrice_OD!F29^2)/Param!$B$5),0)</f>
        <v>0</v>
      </c>
      <c r="G29" s="0" t="n">
        <f aca="false">IF(Matrice_OD!G29&lt;=Param!$B$2,EXP(-(Matrice_OD!G29^2)/Param!$B$5),0)</f>
        <v>0</v>
      </c>
      <c r="H29" s="0" t="n">
        <f aca="false">IF(Matrice_OD!H29&lt;=Param!$B$2,EXP(-(Matrice_OD!H29^2)/Param!$B$5),0)</f>
        <v>0</v>
      </c>
      <c r="I29" s="0" t="n">
        <f aca="false">IF(Matrice_OD!I29&lt;=Param!$B$2,EXP(-(Matrice_OD!I29^2)/Param!$B$5),0)</f>
        <v>0</v>
      </c>
      <c r="J29" s="0" t="n">
        <f aca="false">IF(Matrice_OD!J29&lt;=Param!$B$2,EXP(-(Matrice_OD!J29^2)/Param!$B$5),0)</f>
        <v>0</v>
      </c>
      <c r="K29" s="0" t="n">
        <f aca="false">IF(Matrice_OD!K29&lt;=Param!$B$2,EXP(-(Matrice_OD!K29^2)/Param!$B$5),0)</f>
        <v>0</v>
      </c>
      <c r="L29" s="0" t="n">
        <f aca="false">IF(Matrice_OD!L29&lt;=Param!$B$2,EXP(-(Matrice_OD!L29^2)/Param!$B$5),0)</f>
        <v>0</v>
      </c>
      <c r="M29" s="0" t="n">
        <f aca="false">IF(Matrice_OD!M29&lt;=Param!$B$2,EXP(-(Matrice_OD!M29^2)/Param!$B$5),0)</f>
        <v>0</v>
      </c>
      <c r="N29" s="0" t="n">
        <f aca="false">IF(Matrice_OD!N29&lt;=Param!$B$2,EXP(-(Matrice_OD!N29^2)/Param!$B$5),0)</f>
        <v>0</v>
      </c>
      <c r="O29" s="0" t="n">
        <f aca="false">IF(Matrice_OD!O29&lt;=Param!$B$2,EXP(-(Matrice_OD!O29^2)/Param!$B$5),0)</f>
        <v>0</v>
      </c>
      <c r="P29" s="0" t="n">
        <f aca="false">IF(Matrice_OD!P29&lt;=Param!$B$2,EXP(-(Matrice_OD!P29^2)/Param!$B$5),0)</f>
        <v>0</v>
      </c>
      <c r="Q29" s="0" t="n">
        <f aca="false">IF(Matrice_OD!Q29&lt;=Param!$B$2,EXP(-(Matrice_OD!Q29^2)/Param!$B$5),0)</f>
        <v>0</v>
      </c>
      <c r="R29" s="0" t="n">
        <f aca="false">IF(Matrice_OD!R29&lt;=Param!$B$2,EXP(-(Matrice_OD!R29^2)/Param!$B$5),0)</f>
        <v>0</v>
      </c>
      <c r="S29" s="0" t="n">
        <f aca="false">IF(Matrice_OD!S29&lt;=Param!$B$2,EXP(-(Matrice_OD!S29^2)/Param!$B$5),0)</f>
        <v>0</v>
      </c>
      <c r="T29" s="0" t="n">
        <f aca="false">IF(Matrice_OD!T29&lt;=Param!$B$2,EXP(-(Matrice_OD!T29^2)/Param!$B$5),0)</f>
        <v>0</v>
      </c>
      <c r="U29" s="0" t="n">
        <f aca="false">IF(Matrice_OD!U29&lt;=Param!$B$2,EXP(-(Matrice_OD!U29^2)/Param!$B$5),0)</f>
        <v>0</v>
      </c>
      <c r="V29" s="0" t="n">
        <f aca="false">IF(Matrice_OD!V29&lt;=Param!$B$2,EXP(-(Matrice_OD!V29^2)/Param!$B$5),0)</f>
        <v>0</v>
      </c>
      <c r="W29" s="0" t="n">
        <f aca="false">IF(Matrice_OD!W29&lt;=Param!$B$2,EXP(-(Matrice_OD!W29^2)/Param!$B$5),0)</f>
        <v>0</v>
      </c>
      <c r="X29" s="0" t="n">
        <f aca="false">IF(Matrice_OD!X29&lt;=Param!$B$2,EXP(-(Matrice_OD!X29^2)/Param!$B$5),0)</f>
        <v>0</v>
      </c>
      <c r="Y29" s="0" t="n">
        <f aca="false">IF(Matrice_OD!Y29&lt;=Param!$B$2,EXP(-(Matrice_OD!Y29^2)/Param!$B$5),0)</f>
        <v>0</v>
      </c>
      <c r="Z29" s="0" t="n">
        <f aca="false">IF(Matrice_OD!Z29&lt;=Param!$B$2,EXP(-(Matrice_OD!Z29^2)/Param!$B$5),0)</f>
        <v>0</v>
      </c>
      <c r="AA29" s="0" t="n">
        <f aca="false">IF(Matrice_OD!AA29&lt;=Param!$B$2,EXP(-(Matrice_OD!AA29^2)/Param!$B$5),0)</f>
        <v>0</v>
      </c>
      <c r="AB29" s="0" t="n">
        <f aca="false">IF(Matrice_OD!AB29&lt;=Param!$B$2,EXP(-(Matrice_OD!AB29^2)/Param!$B$5),0)</f>
        <v>0</v>
      </c>
      <c r="AC29" s="0" t="n">
        <f aca="false">IF(Matrice_OD!AC29&lt;=Param!$B$2,EXP(-(Matrice_OD!AC29^2)/Param!$B$5),0)</f>
        <v>0</v>
      </c>
      <c r="AD29" s="0" t="n">
        <f aca="false">IF(Matrice_OD!AD29&lt;=Param!$B$2,EXP(-(Matrice_OD!AD29^2)/Param!$B$5),0)</f>
        <v>0</v>
      </c>
      <c r="AE29" s="0" t="n">
        <f aca="false">IF(Matrice_OD!AE29&lt;=Param!$B$2,EXP(-(Matrice_OD!AE29^2)/Param!$B$5),0)</f>
        <v>0</v>
      </c>
      <c r="AF29" s="0" t="n">
        <f aca="false">IF(Matrice_OD!AF29&lt;=Param!$B$2,EXP(-(Matrice_OD!AF29^2)/Param!$B$5),0)</f>
        <v>0</v>
      </c>
      <c r="AG29" s="0" t="n">
        <f aca="false">IF(Matrice_OD!AG29&lt;=Param!$B$2,EXP(-(Matrice_OD!AG29^2)/Param!$B$5),0)</f>
        <v>0</v>
      </c>
      <c r="AH29" s="0" t="n">
        <f aca="false">IF(Matrice_OD!AH29&lt;=Param!$B$2,EXP(-(Matrice_OD!AH29^2)/Param!$B$5),0)</f>
        <v>0</v>
      </c>
      <c r="AI29" s="0" t="n">
        <f aca="false">IF(Matrice_OD!AI29&lt;=Param!$B$2,EXP(-(Matrice_OD!AI29^2)/Param!$B$5),0)</f>
        <v>0</v>
      </c>
      <c r="AJ29" s="0" t="n">
        <f aca="false">IF(Matrice_OD!AJ29&lt;=Param!$B$2,EXP(-(Matrice_OD!AJ29^2)/Param!$B$5),0)</f>
        <v>0</v>
      </c>
      <c r="AK29" s="0" t="n">
        <f aca="false">IF(Matrice_OD!AK29&lt;=Param!$B$2,EXP(-(Matrice_OD!AK29^2)/Param!$B$5),0)</f>
        <v>0</v>
      </c>
      <c r="AL29" s="0" t="n">
        <f aca="false">IF(Matrice_OD!AL29&lt;=Param!$B$2,EXP(-(Matrice_OD!AL29^2)/Param!$B$5),0)</f>
        <v>0</v>
      </c>
      <c r="AM29" s="0" t="n">
        <f aca="false">IF(Matrice_OD!AM29&lt;=Param!$B$2,EXP(-(Matrice_OD!AM29^2)/Param!$B$5),0)</f>
        <v>0</v>
      </c>
      <c r="AN29" s="0" t="n">
        <f aca="false">IF(Matrice_OD!AN29&lt;=Param!$B$2,EXP(-(Matrice_OD!AN29^2)/Param!$B$5),0)</f>
        <v>0.0120005182020427</v>
      </c>
    </row>
    <row r="30" customFormat="false" ht="15" hidden="false" customHeight="true" outlineLevel="0" collapsed="false">
      <c r="A30" s="0" t="s">
        <v>158</v>
      </c>
      <c r="B30" s="0" t="s">
        <v>159</v>
      </c>
      <c r="C30" s="0" t="n">
        <f aca="false">IF(Matrice_OD!C30&lt;=Param!$B$2,EXP(-(Matrice_OD!C30^2)/Param!$B$5),0)</f>
        <v>0</v>
      </c>
      <c r="D30" s="0" t="n">
        <f aca="false">IF(Matrice_OD!D30&lt;=Param!$B$2,EXP(-(Matrice_OD!D30^2)/Param!$B$5),0)</f>
        <v>0</v>
      </c>
      <c r="E30" s="0" t="n">
        <f aca="false">IF(Matrice_OD!E30&lt;=Param!$B$2,EXP(-(Matrice_OD!E30^2)/Param!$B$5),0)</f>
        <v>0</v>
      </c>
      <c r="F30" s="0" t="n">
        <f aca="false">IF(Matrice_OD!F30&lt;=Param!$B$2,EXP(-(Matrice_OD!F30^2)/Param!$B$5),0)</f>
        <v>0</v>
      </c>
      <c r="G30" s="0" t="n">
        <f aca="false">IF(Matrice_OD!G30&lt;=Param!$B$2,EXP(-(Matrice_OD!G30^2)/Param!$B$5),0)</f>
        <v>0</v>
      </c>
      <c r="H30" s="0" t="n">
        <f aca="false">IF(Matrice_OD!H30&lt;=Param!$B$2,EXP(-(Matrice_OD!H30^2)/Param!$B$5),0)</f>
        <v>0</v>
      </c>
      <c r="I30" s="0" t="n">
        <f aca="false">IF(Matrice_OD!I30&lt;=Param!$B$2,EXP(-(Matrice_OD!I30^2)/Param!$B$5),0)</f>
        <v>0</v>
      </c>
      <c r="J30" s="0" t="n">
        <f aca="false">IF(Matrice_OD!J30&lt;=Param!$B$2,EXP(-(Matrice_OD!J30^2)/Param!$B$5),0)</f>
        <v>0</v>
      </c>
      <c r="K30" s="0" t="n">
        <f aca="false">IF(Matrice_OD!K30&lt;=Param!$B$2,EXP(-(Matrice_OD!K30^2)/Param!$B$5),0)</f>
        <v>0</v>
      </c>
      <c r="L30" s="0" t="n">
        <f aca="false">IF(Matrice_OD!L30&lt;=Param!$B$2,EXP(-(Matrice_OD!L30^2)/Param!$B$5),0)</f>
        <v>0</v>
      </c>
      <c r="M30" s="0" t="n">
        <f aca="false">IF(Matrice_OD!M30&lt;=Param!$B$2,EXP(-(Matrice_OD!M30^2)/Param!$B$5),0)</f>
        <v>0</v>
      </c>
      <c r="N30" s="0" t="n">
        <f aca="false">IF(Matrice_OD!N30&lt;=Param!$B$2,EXP(-(Matrice_OD!N30^2)/Param!$B$5),0)</f>
        <v>0</v>
      </c>
      <c r="O30" s="0" t="n">
        <f aca="false">IF(Matrice_OD!O30&lt;=Param!$B$2,EXP(-(Matrice_OD!O30^2)/Param!$B$5),0)</f>
        <v>0</v>
      </c>
      <c r="P30" s="0" t="n">
        <f aca="false">IF(Matrice_OD!P30&lt;=Param!$B$2,EXP(-(Matrice_OD!P30^2)/Param!$B$5),0)</f>
        <v>0</v>
      </c>
      <c r="Q30" s="0" t="n">
        <f aca="false">IF(Matrice_OD!Q30&lt;=Param!$B$2,EXP(-(Matrice_OD!Q30^2)/Param!$B$5),0)</f>
        <v>0</v>
      </c>
      <c r="R30" s="0" t="n">
        <f aca="false">IF(Matrice_OD!R30&lt;=Param!$B$2,EXP(-(Matrice_OD!R30^2)/Param!$B$5),0)</f>
        <v>0</v>
      </c>
      <c r="S30" s="0" t="n">
        <f aca="false">IF(Matrice_OD!S30&lt;=Param!$B$2,EXP(-(Matrice_OD!S30^2)/Param!$B$5),0)</f>
        <v>0</v>
      </c>
      <c r="T30" s="0" t="n">
        <f aca="false">IF(Matrice_OD!T30&lt;=Param!$B$2,EXP(-(Matrice_OD!T30^2)/Param!$B$5),0)</f>
        <v>0</v>
      </c>
      <c r="U30" s="0" t="n">
        <f aca="false">IF(Matrice_OD!U30&lt;=Param!$B$2,EXP(-(Matrice_OD!U30^2)/Param!$B$5),0)</f>
        <v>0</v>
      </c>
      <c r="V30" s="0" t="n">
        <f aca="false">IF(Matrice_OD!V30&lt;=Param!$B$2,EXP(-(Matrice_OD!V30^2)/Param!$B$5),0)</f>
        <v>0</v>
      </c>
      <c r="W30" s="0" t="n">
        <f aca="false">IF(Matrice_OD!W30&lt;=Param!$B$2,EXP(-(Matrice_OD!W30^2)/Param!$B$5),0)</f>
        <v>0</v>
      </c>
      <c r="X30" s="0" t="n">
        <f aca="false">IF(Matrice_OD!X30&lt;=Param!$B$2,EXP(-(Matrice_OD!X30^2)/Param!$B$5),0)</f>
        <v>0</v>
      </c>
      <c r="Y30" s="0" t="n">
        <f aca="false">IF(Matrice_OD!Y30&lt;=Param!$B$2,EXP(-(Matrice_OD!Y30^2)/Param!$B$5),0)</f>
        <v>0</v>
      </c>
      <c r="Z30" s="0" t="n">
        <f aca="false">IF(Matrice_OD!Z30&lt;=Param!$B$2,EXP(-(Matrice_OD!Z30^2)/Param!$B$5),0)</f>
        <v>0</v>
      </c>
      <c r="AA30" s="0" t="n">
        <f aca="false">IF(Matrice_OD!AA30&lt;=Param!$B$2,EXP(-(Matrice_OD!AA30^2)/Param!$B$5),0)</f>
        <v>0</v>
      </c>
      <c r="AB30" s="0" t="n">
        <f aca="false">IF(Matrice_OD!AB30&lt;=Param!$B$2,EXP(-(Matrice_OD!AB30^2)/Param!$B$5),0)</f>
        <v>0</v>
      </c>
      <c r="AC30" s="0" t="n">
        <f aca="false">IF(Matrice_OD!AC30&lt;=Param!$B$2,EXP(-(Matrice_OD!AC30^2)/Param!$B$5),0)</f>
        <v>0</v>
      </c>
      <c r="AD30" s="0" t="n">
        <f aca="false">IF(Matrice_OD!AD30&lt;=Param!$B$2,EXP(-(Matrice_OD!AD30^2)/Param!$B$5),0)</f>
        <v>0</v>
      </c>
      <c r="AE30" s="0" t="n">
        <f aca="false">IF(Matrice_OD!AE30&lt;=Param!$B$2,EXP(-(Matrice_OD!AE30^2)/Param!$B$5),0)</f>
        <v>0</v>
      </c>
      <c r="AF30" s="0" t="n">
        <f aca="false">IF(Matrice_OD!AF30&lt;=Param!$B$2,EXP(-(Matrice_OD!AF30^2)/Param!$B$5),0)</f>
        <v>0</v>
      </c>
      <c r="AG30" s="0" t="n">
        <f aca="false">IF(Matrice_OD!AG30&lt;=Param!$B$2,EXP(-(Matrice_OD!AG30^2)/Param!$B$5),0)</f>
        <v>0.867837662644794</v>
      </c>
      <c r="AH30" s="0" t="n">
        <f aca="false">IF(Matrice_OD!AH30&lt;=Param!$B$2,EXP(-(Matrice_OD!AH30^2)/Param!$B$5),0)</f>
        <v>0</v>
      </c>
      <c r="AI30" s="0" t="n">
        <f aca="false">IF(Matrice_OD!AI30&lt;=Param!$B$2,EXP(-(Matrice_OD!AI30^2)/Param!$B$5),0)</f>
        <v>0</v>
      </c>
      <c r="AJ30" s="0" t="n">
        <f aca="false">IF(Matrice_OD!AJ30&lt;=Param!$B$2,EXP(-(Matrice_OD!AJ30^2)/Param!$B$5),0)</f>
        <v>0</v>
      </c>
      <c r="AK30" s="0" t="n">
        <f aca="false">IF(Matrice_OD!AK30&lt;=Param!$B$2,EXP(-(Matrice_OD!AK30^2)/Param!$B$5),0)</f>
        <v>0</v>
      </c>
      <c r="AL30" s="0" t="n">
        <f aca="false">IF(Matrice_OD!AL30&lt;=Param!$B$2,EXP(-(Matrice_OD!AL30^2)/Param!$B$5),0)</f>
        <v>0</v>
      </c>
      <c r="AM30" s="0" t="n">
        <f aca="false">IF(Matrice_OD!AM30&lt;=Param!$B$2,EXP(-(Matrice_OD!AM30^2)/Param!$B$5),0)</f>
        <v>0</v>
      </c>
      <c r="AN30" s="0" t="n">
        <f aca="false">IF(Matrice_OD!AN30&lt;=Param!$B$2,EXP(-(Matrice_OD!AN30^2)/Param!$B$5),0)</f>
        <v>0</v>
      </c>
    </row>
    <row r="31" customFormat="false" ht="15" hidden="false" customHeight="true" outlineLevel="0" collapsed="false">
      <c r="A31" s="0" t="s">
        <v>160</v>
      </c>
      <c r="B31" s="0" t="s">
        <v>161</v>
      </c>
      <c r="C31" s="0" t="n">
        <f aca="false">IF(Matrice_OD!C31&lt;=Param!$B$2,EXP(-(Matrice_OD!C31^2)/Param!$B$5),0)</f>
        <v>0</v>
      </c>
      <c r="D31" s="0" t="n">
        <f aca="false">IF(Matrice_OD!D31&lt;=Param!$B$2,EXP(-(Matrice_OD!D31^2)/Param!$B$5),0)</f>
        <v>0</v>
      </c>
      <c r="E31" s="0" t="n">
        <f aca="false">IF(Matrice_OD!E31&lt;=Param!$B$2,EXP(-(Matrice_OD!E31^2)/Param!$B$5),0)</f>
        <v>0</v>
      </c>
      <c r="F31" s="0" t="n">
        <f aca="false">IF(Matrice_OD!F31&lt;=Param!$B$2,EXP(-(Matrice_OD!F31^2)/Param!$B$5),0)</f>
        <v>0</v>
      </c>
      <c r="G31" s="0" t="n">
        <f aca="false">IF(Matrice_OD!G31&lt;=Param!$B$2,EXP(-(Matrice_OD!G31^2)/Param!$B$5),0)</f>
        <v>0</v>
      </c>
      <c r="H31" s="0" t="n">
        <f aca="false">IF(Matrice_OD!H31&lt;=Param!$B$2,EXP(-(Matrice_OD!H31^2)/Param!$B$5),0)</f>
        <v>0</v>
      </c>
      <c r="I31" s="0" t="n">
        <f aca="false">IF(Matrice_OD!I31&lt;=Param!$B$2,EXP(-(Matrice_OD!I31^2)/Param!$B$5),0)</f>
        <v>0</v>
      </c>
      <c r="J31" s="0" t="n">
        <f aca="false">IF(Matrice_OD!J31&lt;=Param!$B$2,EXP(-(Matrice_OD!J31^2)/Param!$B$5),0)</f>
        <v>0</v>
      </c>
      <c r="K31" s="0" t="n">
        <f aca="false">IF(Matrice_OD!K31&lt;=Param!$B$2,EXP(-(Matrice_OD!K31^2)/Param!$B$5),0)</f>
        <v>0</v>
      </c>
      <c r="L31" s="0" t="n">
        <f aca="false">IF(Matrice_OD!L31&lt;=Param!$B$2,EXP(-(Matrice_OD!L31^2)/Param!$B$5),0)</f>
        <v>0</v>
      </c>
      <c r="M31" s="0" t="n">
        <f aca="false">IF(Matrice_OD!M31&lt;=Param!$B$2,EXP(-(Matrice_OD!M31^2)/Param!$B$5),0)</f>
        <v>0</v>
      </c>
      <c r="N31" s="0" t="n">
        <f aca="false">IF(Matrice_OD!N31&lt;=Param!$B$2,EXP(-(Matrice_OD!N31^2)/Param!$B$5),0)</f>
        <v>0</v>
      </c>
      <c r="O31" s="0" t="n">
        <f aca="false">IF(Matrice_OD!O31&lt;=Param!$B$2,EXP(-(Matrice_OD!O31^2)/Param!$B$5),0)</f>
        <v>0</v>
      </c>
      <c r="P31" s="0" t="n">
        <f aca="false">IF(Matrice_OD!P31&lt;=Param!$B$2,EXP(-(Matrice_OD!P31^2)/Param!$B$5),0)</f>
        <v>0</v>
      </c>
      <c r="Q31" s="0" t="n">
        <f aca="false">IF(Matrice_OD!Q31&lt;=Param!$B$2,EXP(-(Matrice_OD!Q31^2)/Param!$B$5),0)</f>
        <v>0</v>
      </c>
      <c r="R31" s="0" t="n">
        <f aca="false">IF(Matrice_OD!R31&lt;=Param!$B$2,EXP(-(Matrice_OD!R31^2)/Param!$B$5),0)</f>
        <v>0</v>
      </c>
      <c r="S31" s="0" t="n">
        <f aca="false">IF(Matrice_OD!S31&lt;=Param!$B$2,EXP(-(Matrice_OD!S31^2)/Param!$B$5),0)</f>
        <v>0</v>
      </c>
      <c r="T31" s="0" t="n">
        <f aca="false">IF(Matrice_OD!T31&lt;=Param!$B$2,EXP(-(Matrice_OD!T31^2)/Param!$B$5),0)</f>
        <v>0</v>
      </c>
      <c r="U31" s="0" t="n">
        <f aca="false">IF(Matrice_OD!U31&lt;=Param!$B$2,EXP(-(Matrice_OD!U31^2)/Param!$B$5),0)</f>
        <v>0</v>
      </c>
      <c r="V31" s="0" t="n">
        <f aca="false">IF(Matrice_OD!V31&lt;=Param!$B$2,EXP(-(Matrice_OD!V31^2)/Param!$B$5),0)</f>
        <v>0</v>
      </c>
      <c r="W31" s="0" t="n">
        <f aca="false">IF(Matrice_OD!W31&lt;=Param!$B$2,EXP(-(Matrice_OD!W31^2)/Param!$B$5),0)</f>
        <v>0</v>
      </c>
      <c r="X31" s="0" t="n">
        <f aca="false">IF(Matrice_OD!X31&lt;=Param!$B$2,EXP(-(Matrice_OD!X31^2)/Param!$B$5),0)</f>
        <v>0</v>
      </c>
      <c r="Y31" s="0" t="n">
        <f aca="false">IF(Matrice_OD!Y31&lt;=Param!$B$2,EXP(-(Matrice_OD!Y31^2)/Param!$B$5),0)</f>
        <v>0</v>
      </c>
      <c r="Z31" s="0" t="n">
        <f aca="false">IF(Matrice_OD!Z31&lt;=Param!$B$2,EXP(-(Matrice_OD!Z31^2)/Param!$B$5),0)</f>
        <v>0</v>
      </c>
      <c r="AA31" s="0" t="n">
        <f aca="false">IF(Matrice_OD!AA31&lt;=Param!$B$2,EXP(-(Matrice_OD!AA31^2)/Param!$B$5),0)</f>
        <v>0</v>
      </c>
      <c r="AB31" s="0" t="n">
        <f aca="false">IF(Matrice_OD!AB31&lt;=Param!$B$2,EXP(-(Matrice_OD!AB31^2)/Param!$B$5),0)</f>
        <v>0</v>
      </c>
      <c r="AC31" s="0" t="n">
        <f aca="false">IF(Matrice_OD!AC31&lt;=Param!$B$2,EXP(-(Matrice_OD!AC31^2)/Param!$B$5),0)</f>
        <v>0</v>
      </c>
      <c r="AD31" s="0" t="n">
        <f aca="false">IF(Matrice_OD!AD31&lt;=Param!$B$2,EXP(-(Matrice_OD!AD31^2)/Param!$B$5),0)</f>
        <v>0</v>
      </c>
      <c r="AE31" s="0" t="n">
        <f aca="false">IF(Matrice_OD!AE31&lt;=Param!$B$2,EXP(-(Matrice_OD!AE31^2)/Param!$B$5),0)</f>
        <v>0</v>
      </c>
      <c r="AF31" s="0" t="n">
        <f aca="false">IF(Matrice_OD!AF31&lt;=Param!$B$2,EXP(-(Matrice_OD!AF31^2)/Param!$B$5),0)</f>
        <v>0</v>
      </c>
      <c r="AG31" s="0" t="n">
        <f aca="false">IF(Matrice_OD!AG31&lt;=Param!$B$2,EXP(-(Matrice_OD!AG31^2)/Param!$B$5),0)</f>
        <v>0.897242021026383</v>
      </c>
      <c r="AH31" s="0" t="n">
        <f aca="false">IF(Matrice_OD!AH31&lt;=Param!$B$2,EXP(-(Matrice_OD!AH31^2)/Param!$B$5),0)</f>
        <v>0</v>
      </c>
      <c r="AI31" s="0" t="n">
        <f aca="false">IF(Matrice_OD!AI31&lt;=Param!$B$2,EXP(-(Matrice_OD!AI31^2)/Param!$B$5),0)</f>
        <v>0</v>
      </c>
      <c r="AJ31" s="0" t="n">
        <f aca="false">IF(Matrice_OD!AJ31&lt;=Param!$B$2,EXP(-(Matrice_OD!AJ31^2)/Param!$B$5),0)</f>
        <v>0</v>
      </c>
      <c r="AK31" s="0" t="n">
        <f aca="false">IF(Matrice_OD!AK31&lt;=Param!$B$2,EXP(-(Matrice_OD!AK31^2)/Param!$B$5),0)</f>
        <v>0</v>
      </c>
      <c r="AL31" s="0" t="n">
        <f aca="false">IF(Matrice_OD!AL31&lt;=Param!$B$2,EXP(-(Matrice_OD!AL31^2)/Param!$B$5),0)</f>
        <v>0</v>
      </c>
      <c r="AM31" s="0" t="n">
        <f aca="false">IF(Matrice_OD!AM31&lt;=Param!$B$2,EXP(-(Matrice_OD!AM31^2)/Param!$B$5),0)</f>
        <v>0</v>
      </c>
      <c r="AN31" s="0" t="n">
        <f aca="false">IF(Matrice_OD!AN31&lt;=Param!$B$2,EXP(-(Matrice_OD!AN31^2)/Param!$B$5),0)</f>
        <v>0.053345923098628</v>
      </c>
    </row>
    <row r="32" customFormat="false" ht="15" hidden="false" customHeight="true" outlineLevel="0" collapsed="false">
      <c r="A32" s="0" t="s">
        <v>162</v>
      </c>
      <c r="B32" s="0" t="s">
        <v>163</v>
      </c>
      <c r="C32" s="0" t="n">
        <f aca="false">IF(Matrice_OD!C32&lt;=Param!$B$2,EXP(-(Matrice_OD!C32^2)/Param!$B$5),0)</f>
        <v>0</v>
      </c>
      <c r="D32" s="0" t="n">
        <f aca="false">IF(Matrice_OD!D32&lt;=Param!$B$2,EXP(-(Matrice_OD!D32^2)/Param!$B$5),0)</f>
        <v>0</v>
      </c>
      <c r="E32" s="0" t="n">
        <f aca="false">IF(Matrice_OD!E32&lt;=Param!$B$2,EXP(-(Matrice_OD!E32^2)/Param!$B$5),0)</f>
        <v>0</v>
      </c>
      <c r="F32" s="0" t="n">
        <f aca="false">IF(Matrice_OD!F32&lt;=Param!$B$2,EXP(-(Matrice_OD!F32^2)/Param!$B$5),0)</f>
        <v>0</v>
      </c>
      <c r="G32" s="0" t="n">
        <f aca="false">IF(Matrice_OD!G32&lt;=Param!$B$2,EXP(-(Matrice_OD!G32^2)/Param!$B$5),0)</f>
        <v>0</v>
      </c>
      <c r="H32" s="0" t="n">
        <f aca="false">IF(Matrice_OD!H32&lt;=Param!$B$2,EXP(-(Matrice_OD!H32^2)/Param!$B$5),0)</f>
        <v>0</v>
      </c>
      <c r="I32" s="0" t="n">
        <f aca="false">IF(Matrice_OD!I32&lt;=Param!$B$2,EXP(-(Matrice_OD!I32^2)/Param!$B$5),0)</f>
        <v>0</v>
      </c>
      <c r="J32" s="0" t="n">
        <f aca="false">IF(Matrice_OD!J32&lt;=Param!$B$2,EXP(-(Matrice_OD!J32^2)/Param!$B$5),0)</f>
        <v>0</v>
      </c>
      <c r="K32" s="0" t="n">
        <f aca="false">IF(Matrice_OD!K32&lt;=Param!$B$2,EXP(-(Matrice_OD!K32^2)/Param!$B$5),0)</f>
        <v>0</v>
      </c>
      <c r="L32" s="0" t="n">
        <f aca="false">IF(Matrice_OD!L32&lt;=Param!$B$2,EXP(-(Matrice_OD!L32^2)/Param!$B$5),0)</f>
        <v>0</v>
      </c>
      <c r="M32" s="0" t="n">
        <f aca="false">IF(Matrice_OD!M32&lt;=Param!$B$2,EXP(-(Matrice_OD!M32^2)/Param!$B$5),0)</f>
        <v>0</v>
      </c>
      <c r="N32" s="0" t="n">
        <f aca="false">IF(Matrice_OD!N32&lt;=Param!$B$2,EXP(-(Matrice_OD!N32^2)/Param!$B$5),0)</f>
        <v>0</v>
      </c>
      <c r="O32" s="0" t="n">
        <f aca="false">IF(Matrice_OD!O32&lt;=Param!$B$2,EXP(-(Matrice_OD!O32^2)/Param!$B$5),0)</f>
        <v>0</v>
      </c>
      <c r="P32" s="0" t="n">
        <f aca="false">IF(Matrice_OD!P32&lt;=Param!$B$2,EXP(-(Matrice_OD!P32^2)/Param!$B$5),0)</f>
        <v>0</v>
      </c>
      <c r="Q32" s="0" t="n">
        <f aca="false">IF(Matrice_OD!Q32&lt;=Param!$B$2,EXP(-(Matrice_OD!Q32^2)/Param!$B$5),0)</f>
        <v>0</v>
      </c>
      <c r="R32" s="0" t="n">
        <f aca="false">IF(Matrice_OD!R32&lt;=Param!$B$2,EXP(-(Matrice_OD!R32^2)/Param!$B$5),0)</f>
        <v>0</v>
      </c>
      <c r="S32" s="0" t="n">
        <f aca="false">IF(Matrice_OD!S32&lt;=Param!$B$2,EXP(-(Matrice_OD!S32^2)/Param!$B$5),0)</f>
        <v>0</v>
      </c>
      <c r="T32" s="0" t="n">
        <f aca="false">IF(Matrice_OD!T32&lt;=Param!$B$2,EXP(-(Matrice_OD!T32^2)/Param!$B$5),0)</f>
        <v>0</v>
      </c>
      <c r="U32" s="0" t="n">
        <f aca="false">IF(Matrice_OD!U32&lt;=Param!$B$2,EXP(-(Matrice_OD!U32^2)/Param!$B$5),0)</f>
        <v>0</v>
      </c>
      <c r="V32" s="0" t="n">
        <f aca="false">IF(Matrice_OD!V32&lt;=Param!$B$2,EXP(-(Matrice_OD!V32^2)/Param!$B$5),0)</f>
        <v>0</v>
      </c>
      <c r="W32" s="0" t="n">
        <f aca="false">IF(Matrice_OD!W32&lt;=Param!$B$2,EXP(-(Matrice_OD!W32^2)/Param!$B$5),0)</f>
        <v>0</v>
      </c>
      <c r="X32" s="0" t="n">
        <f aca="false">IF(Matrice_OD!X32&lt;=Param!$B$2,EXP(-(Matrice_OD!X32^2)/Param!$B$5),0)</f>
        <v>0</v>
      </c>
      <c r="Y32" s="0" t="n">
        <f aca="false">IF(Matrice_OD!Y32&lt;=Param!$B$2,EXP(-(Matrice_OD!Y32^2)/Param!$B$5),0)</f>
        <v>0</v>
      </c>
      <c r="Z32" s="0" t="n">
        <f aca="false">IF(Matrice_OD!Z32&lt;=Param!$B$2,EXP(-(Matrice_OD!Z32^2)/Param!$B$5),0)</f>
        <v>0</v>
      </c>
      <c r="AA32" s="0" t="n">
        <f aca="false">IF(Matrice_OD!AA32&lt;=Param!$B$2,EXP(-(Matrice_OD!AA32^2)/Param!$B$5),0)</f>
        <v>0</v>
      </c>
      <c r="AB32" s="0" t="n">
        <f aca="false">IF(Matrice_OD!AB32&lt;=Param!$B$2,EXP(-(Matrice_OD!AB32^2)/Param!$B$5),0)</f>
        <v>0</v>
      </c>
      <c r="AC32" s="0" t="n">
        <f aca="false">IF(Matrice_OD!AC32&lt;=Param!$B$2,EXP(-(Matrice_OD!AC32^2)/Param!$B$5),0)</f>
        <v>0</v>
      </c>
      <c r="AD32" s="0" t="n">
        <f aca="false">IF(Matrice_OD!AD32&lt;=Param!$B$2,EXP(-(Matrice_OD!AD32^2)/Param!$B$5),0)</f>
        <v>0</v>
      </c>
      <c r="AE32" s="0" t="n">
        <f aca="false">IF(Matrice_OD!AE32&lt;=Param!$B$2,EXP(-(Matrice_OD!AE32^2)/Param!$B$5),0)</f>
        <v>0</v>
      </c>
      <c r="AF32" s="0" t="n">
        <f aca="false">IF(Matrice_OD!AF32&lt;=Param!$B$2,EXP(-(Matrice_OD!AF32^2)/Param!$B$5),0)</f>
        <v>0</v>
      </c>
      <c r="AG32" s="0" t="n">
        <f aca="false">IF(Matrice_OD!AG32&lt;=Param!$B$2,EXP(-(Matrice_OD!AG32^2)/Param!$B$5),0)</f>
        <v>0</v>
      </c>
      <c r="AH32" s="0" t="n">
        <f aca="false">IF(Matrice_OD!AH32&lt;=Param!$B$2,EXP(-(Matrice_OD!AH32^2)/Param!$B$5),0)</f>
        <v>0</v>
      </c>
      <c r="AI32" s="0" t="n">
        <f aca="false">IF(Matrice_OD!AI32&lt;=Param!$B$2,EXP(-(Matrice_OD!AI32^2)/Param!$B$5),0)</f>
        <v>0</v>
      </c>
      <c r="AJ32" s="0" t="n">
        <f aca="false">IF(Matrice_OD!AJ32&lt;=Param!$B$2,EXP(-(Matrice_OD!AJ32^2)/Param!$B$5),0)</f>
        <v>0</v>
      </c>
      <c r="AK32" s="0" t="n">
        <f aca="false">IF(Matrice_OD!AK32&lt;=Param!$B$2,EXP(-(Matrice_OD!AK32^2)/Param!$B$5),0)</f>
        <v>0</v>
      </c>
      <c r="AL32" s="0" t="n">
        <f aca="false">IF(Matrice_OD!AL32&lt;=Param!$B$2,EXP(-(Matrice_OD!AL32^2)/Param!$B$5),0)</f>
        <v>0</v>
      </c>
      <c r="AM32" s="0" t="n">
        <f aca="false">IF(Matrice_OD!AM32&lt;=Param!$B$2,EXP(-(Matrice_OD!AM32^2)/Param!$B$5),0)</f>
        <v>0</v>
      </c>
      <c r="AN32" s="0" t="n">
        <f aca="false">IF(Matrice_OD!AN32&lt;=Param!$B$2,EXP(-(Matrice_OD!AN32^2)/Param!$B$5),0)</f>
        <v>0</v>
      </c>
    </row>
    <row r="33" customFormat="false" ht="15" hidden="false" customHeight="true" outlineLevel="0" collapsed="false">
      <c r="A33" s="0" t="s">
        <v>164</v>
      </c>
      <c r="B33" s="0" t="s">
        <v>165</v>
      </c>
      <c r="C33" s="0" t="n">
        <f aca="false">IF(Matrice_OD!C33&lt;=Param!$B$2,EXP(-(Matrice_OD!C33^2)/Param!$B$5),0)</f>
        <v>0.221242782141503</v>
      </c>
      <c r="D33" s="0" t="n">
        <f aca="false">IF(Matrice_OD!D33&lt;=Param!$B$2,EXP(-(Matrice_OD!D33^2)/Param!$B$5),0)</f>
        <v>0.0318259233399681</v>
      </c>
      <c r="E33" s="0" t="n">
        <f aca="false">IF(Matrice_OD!E33&lt;=Param!$B$2,EXP(-(Matrice_OD!E33^2)/Param!$B$5),0)</f>
        <v>0.0276816123609257</v>
      </c>
      <c r="F33" s="0" t="n">
        <f aca="false">IF(Matrice_OD!F33&lt;=Param!$B$2,EXP(-(Matrice_OD!F33^2)/Param!$B$5),0)</f>
        <v>0.0274077686040189</v>
      </c>
      <c r="G33" s="0" t="n">
        <f aca="false">IF(Matrice_OD!G33&lt;=Param!$B$2,EXP(-(Matrice_OD!G33^2)/Param!$B$5),0)</f>
        <v>0.0261207982274907</v>
      </c>
      <c r="H33" s="0" t="n">
        <f aca="false">IF(Matrice_OD!H33&lt;=Param!$B$2,EXP(-(Matrice_OD!H33^2)/Param!$B$5),0)</f>
        <v>0.0246139119097059</v>
      </c>
      <c r="I33" s="0" t="n">
        <f aca="false">IF(Matrice_OD!I33&lt;=Param!$B$2,EXP(-(Matrice_OD!I33^2)/Param!$B$5),0)</f>
        <v>0.0243217289618007</v>
      </c>
      <c r="J33" s="0" t="n">
        <f aca="false">IF(Matrice_OD!J33&lt;=Param!$B$2,EXP(-(Matrice_OD!J33^2)/Param!$B$5),0)</f>
        <v>0.0236370720502481</v>
      </c>
      <c r="K33" s="0" t="n">
        <f aca="false">IF(Matrice_OD!K33&lt;=Param!$B$2,EXP(-(Matrice_OD!K33^2)/Param!$B$5),0)</f>
        <v>0.0232257503244893</v>
      </c>
      <c r="L33" s="0" t="n">
        <f aca="false">IF(Matrice_OD!L33&lt;=Param!$B$2,EXP(-(Matrice_OD!L33^2)/Param!$B$5),0)</f>
        <v>0.0230544276924274</v>
      </c>
      <c r="M33" s="0" t="n">
        <f aca="false">IF(Matrice_OD!M33&lt;=Param!$B$2,EXP(-(Matrice_OD!M33^2)/Param!$B$5),0)</f>
        <v>0.0229904648827598</v>
      </c>
      <c r="N33" s="0" t="n">
        <f aca="false">IF(Matrice_OD!N33&lt;=Param!$B$2,EXP(-(Matrice_OD!N33^2)/Param!$B$5),0)</f>
        <v>0.0223800530221555</v>
      </c>
      <c r="O33" s="0" t="n">
        <f aca="false">IF(Matrice_OD!O33&lt;=Param!$B$2,EXP(-(Matrice_OD!O33^2)/Param!$B$5),0)</f>
        <v>0.0222348382929825</v>
      </c>
      <c r="P33" s="0" t="n">
        <f aca="false">IF(Matrice_OD!P33&lt;=Param!$B$2,EXP(-(Matrice_OD!P33^2)/Param!$B$5),0)</f>
        <v>0.022049336778385</v>
      </c>
      <c r="Q33" s="0" t="n">
        <f aca="false">IF(Matrice_OD!Q33&lt;=Param!$B$2,EXP(-(Matrice_OD!Q33^2)/Param!$B$5),0)</f>
        <v>0.0213806225036344</v>
      </c>
      <c r="R33" s="0" t="n">
        <f aca="false">IF(Matrice_OD!R33&lt;=Param!$B$2,EXP(-(Matrice_OD!R33^2)/Param!$B$5),0)</f>
        <v>0.0211220743932765</v>
      </c>
      <c r="S33" s="0" t="n">
        <f aca="false">IF(Matrice_OD!S33&lt;=Param!$B$2,EXP(-(Matrice_OD!S33^2)/Param!$B$5),0)</f>
        <v>0.0205551005199646</v>
      </c>
      <c r="T33" s="0" t="n">
        <f aca="false">IF(Matrice_OD!T33&lt;=Param!$B$2,EXP(-(Matrice_OD!T33^2)/Param!$B$5),0)</f>
        <v>0.0270136156265977</v>
      </c>
      <c r="U33" s="0" t="n">
        <f aca="false">IF(Matrice_OD!U33&lt;=Param!$B$2,EXP(-(Matrice_OD!U33^2)/Param!$B$5),0)</f>
        <v>0</v>
      </c>
      <c r="V33" s="0" t="n">
        <f aca="false">IF(Matrice_OD!V33&lt;=Param!$B$2,EXP(-(Matrice_OD!V33^2)/Param!$B$5),0)</f>
        <v>0</v>
      </c>
      <c r="W33" s="0" t="n">
        <f aca="false">IF(Matrice_OD!W33&lt;=Param!$B$2,EXP(-(Matrice_OD!W33^2)/Param!$B$5),0)</f>
        <v>0</v>
      </c>
      <c r="X33" s="0" t="n">
        <f aca="false">IF(Matrice_OD!X33&lt;=Param!$B$2,EXP(-(Matrice_OD!X33^2)/Param!$B$5),0)</f>
        <v>0</v>
      </c>
      <c r="Y33" s="0" t="n">
        <f aca="false">IF(Matrice_OD!Y33&lt;=Param!$B$2,EXP(-(Matrice_OD!Y33^2)/Param!$B$5),0)</f>
        <v>0</v>
      </c>
      <c r="Z33" s="0" t="n">
        <f aca="false">IF(Matrice_OD!Z33&lt;=Param!$B$2,EXP(-(Matrice_OD!Z33^2)/Param!$B$5),0)</f>
        <v>0</v>
      </c>
      <c r="AA33" s="0" t="n">
        <f aca="false">IF(Matrice_OD!AA33&lt;=Param!$B$2,EXP(-(Matrice_OD!AA33^2)/Param!$B$5),0)</f>
        <v>0</v>
      </c>
      <c r="AB33" s="0" t="n">
        <f aca="false">IF(Matrice_OD!AB33&lt;=Param!$B$2,EXP(-(Matrice_OD!AB33^2)/Param!$B$5),0)</f>
        <v>0</v>
      </c>
      <c r="AC33" s="0" t="n">
        <f aca="false">IF(Matrice_OD!AC33&lt;=Param!$B$2,EXP(-(Matrice_OD!AC33^2)/Param!$B$5),0)</f>
        <v>0</v>
      </c>
      <c r="AD33" s="0" t="n">
        <f aca="false">IF(Matrice_OD!AD33&lt;=Param!$B$2,EXP(-(Matrice_OD!AD33^2)/Param!$B$5),0)</f>
        <v>0</v>
      </c>
      <c r="AE33" s="0" t="n">
        <f aca="false">IF(Matrice_OD!AE33&lt;=Param!$B$2,EXP(-(Matrice_OD!AE33^2)/Param!$B$5),0)</f>
        <v>0</v>
      </c>
      <c r="AF33" s="0" t="n">
        <f aca="false">IF(Matrice_OD!AF33&lt;=Param!$B$2,EXP(-(Matrice_OD!AF33^2)/Param!$B$5),0)</f>
        <v>0</v>
      </c>
      <c r="AG33" s="0" t="n">
        <f aca="false">IF(Matrice_OD!AG33&lt;=Param!$B$2,EXP(-(Matrice_OD!AG33^2)/Param!$B$5),0)</f>
        <v>0.0210627973526679</v>
      </c>
      <c r="AH33" s="0" t="n">
        <f aca="false">IF(Matrice_OD!AH33&lt;=Param!$B$2,EXP(-(Matrice_OD!AH33^2)/Param!$B$5),0)</f>
        <v>0.0191135782997942</v>
      </c>
      <c r="AI33" s="0" t="n">
        <f aca="false">IF(Matrice_OD!AI33&lt;=Param!$B$2,EXP(-(Matrice_OD!AI33^2)/Param!$B$5),0)</f>
        <v>0.0302539320512935</v>
      </c>
      <c r="AJ33" s="0" t="n">
        <f aca="false">IF(Matrice_OD!AJ33&lt;=Param!$B$2,EXP(-(Matrice_OD!AJ33^2)/Param!$B$5),0)</f>
        <v>0</v>
      </c>
      <c r="AK33" s="0" t="n">
        <f aca="false">IF(Matrice_OD!AK33&lt;=Param!$B$2,EXP(-(Matrice_OD!AK33^2)/Param!$B$5),0)</f>
        <v>0</v>
      </c>
      <c r="AL33" s="0" t="n">
        <f aca="false">IF(Matrice_OD!AL33&lt;=Param!$B$2,EXP(-(Matrice_OD!AL33^2)/Param!$B$5),0)</f>
        <v>0</v>
      </c>
      <c r="AM33" s="0" t="n">
        <f aca="false">IF(Matrice_OD!AM33&lt;=Param!$B$2,EXP(-(Matrice_OD!AM33^2)/Param!$B$5),0)</f>
        <v>0.200066930296053</v>
      </c>
      <c r="AN33" s="0" t="n">
        <f aca="false">IF(Matrice_OD!AN33&lt;=Param!$B$2,EXP(-(Matrice_OD!AN33^2)/Param!$B$5),0)</f>
        <v>0</v>
      </c>
    </row>
    <row r="34" customFormat="false" ht="15" hidden="false" customHeight="true" outlineLevel="0" collapsed="false">
      <c r="A34" s="0" t="s">
        <v>166</v>
      </c>
      <c r="B34" s="0" t="s">
        <v>167</v>
      </c>
      <c r="C34" s="0" t="n">
        <f aca="false">IF(Matrice_OD!C34&lt;=Param!$B$2,EXP(-(Matrice_OD!C34^2)/Param!$B$5),0)</f>
        <v>0.139684827099079</v>
      </c>
      <c r="D34" s="0" t="n">
        <f aca="false">IF(Matrice_OD!D34&lt;=Param!$B$2,EXP(-(Matrice_OD!D34^2)/Param!$B$5),0)</f>
        <v>0.0679623550507659</v>
      </c>
      <c r="E34" s="0" t="n">
        <f aca="false">IF(Matrice_OD!E34&lt;=Param!$B$2,EXP(-(Matrice_OD!E34^2)/Param!$B$5),0)</f>
        <v>0.0600743610697666</v>
      </c>
      <c r="F34" s="0" t="n">
        <f aca="false">IF(Matrice_OD!F34&lt;=Param!$B$2,EXP(-(Matrice_OD!F34^2)/Param!$B$5),0)</f>
        <v>0.0595478077770786</v>
      </c>
      <c r="G34" s="0" t="n">
        <f aca="false">IF(Matrice_OD!G34&lt;=Param!$B$2,EXP(-(Matrice_OD!G34^2)/Param!$B$5),0)</f>
        <v>0.0570637451726471</v>
      </c>
      <c r="H34" s="0" t="n">
        <f aca="false">IF(Matrice_OD!H34&lt;=Param!$B$2,EXP(-(Matrice_OD!H34^2)/Param!$B$5),0)</f>
        <v>0.0541346653987228</v>
      </c>
      <c r="I34" s="0" t="n">
        <f aca="false">IF(Matrice_OD!I34&lt;=Param!$B$2,EXP(-(Matrice_OD!I34^2)/Param!$B$5),0)</f>
        <v>0.0535640561696344</v>
      </c>
      <c r="J34" s="0" t="n">
        <f aca="false">IF(Matrice_OD!J34&lt;=Param!$B$2,EXP(-(Matrice_OD!J34^2)/Param!$B$5),0)</f>
        <v>0.0522234763178012</v>
      </c>
      <c r="K34" s="0" t="n">
        <f aca="false">IF(Matrice_OD!K34&lt;=Param!$B$2,EXP(-(Matrice_OD!K34^2)/Param!$B$5),0)</f>
        <v>0.051415691253573</v>
      </c>
      <c r="L34" s="0" t="n">
        <f aca="false">IF(Matrice_OD!L34&lt;=Param!$B$2,EXP(-(Matrice_OD!L34^2)/Param!$B$5),0)</f>
        <v>0.0510786932067468</v>
      </c>
      <c r="M34" s="0" t="n">
        <f aca="false">IF(Matrice_OD!M34&lt;=Param!$B$2,EXP(-(Matrice_OD!M34^2)/Param!$B$5),0)</f>
        <v>0.0509527935819187</v>
      </c>
      <c r="N34" s="0" t="n">
        <f aca="false">IF(Matrice_OD!N34&lt;=Param!$B$2,EXP(-(Matrice_OD!N34^2)/Param!$B$5),0)</f>
        <v>0.0497490243358066</v>
      </c>
      <c r="O34" s="0" t="n">
        <f aca="false">IF(Matrice_OD!O34&lt;=Param!$B$2,EXP(-(Matrice_OD!O34^2)/Param!$B$5),0)</f>
        <v>0.0494620372293166</v>
      </c>
      <c r="P34" s="0" t="n">
        <f aca="false">IF(Matrice_OD!P34&lt;=Param!$B$2,EXP(-(Matrice_OD!P34^2)/Param!$B$5),0)</f>
        <v>0.049095083160383</v>
      </c>
      <c r="Q34" s="0" t="n">
        <f aca="false">IF(Matrice_OD!Q34&lt;=Param!$B$2,EXP(-(Matrice_OD!Q34^2)/Param!$B$5),0)</f>
        <v>0.0477292453650744</v>
      </c>
      <c r="R34" s="0" t="n">
        <f aca="false">IF(Matrice_OD!R34&lt;=Param!$B$2,EXP(-(Matrice_OD!R34^2)/Param!$B$5),0)</f>
        <v>0.0472548291738671</v>
      </c>
      <c r="S34" s="0" t="n">
        <f aca="false">IF(Matrice_OD!S34&lt;=Param!$B$2,EXP(-(Matrice_OD!S34^2)/Param!$B$5),0)</f>
        <v>0.0461245821078354</v>
      </c>
      <c r="T34" s="0" t="n">
        <f aca="false">IF(Matrice_OD!T34&lt;=Param!$B$2,EXP(-(Matrice_OD!T34^2)/Param!$B$5),0)</f>
        <v>0.0134707630668872</v>
      </c>
      <c r="U34" s="0" t="n">
        <f aca="false">IF(Matrice_OD!U34&lt;=Param!$B$2,EXP(-(Matrice_OD!U34^2)/Param!$B$5),0)</f>
        <v>0</v>
      </c>
      <c r="V34" s="0" t="n">
        <f aca="false">IF(Matrice_OD!V34&lt;=Param!$B$2,EXP(-(Matrice_OD!V34^2)/Param!$B$5),0)</f>
        <v>0</v>
      </c>
      <c r="W34" s="0" t="n">
        <f aca="false">IF(Matrice_OD!W34&lt;=Param!$B$2,EXP(-(Matrice_OD!W34^2)/Param!$B$5),0)</f>
        <v>0</v>
      </c>
      <c r="X34" s="0" t="n">
        <f aca="false">IF(Matrice_OD!X34&lt;=Param!$B$2,EXP(-(Matrice_OD!X34^2)/Param!$B$5),0)</f>
        <v>0</v>
      </c>
      <c r="Y34" s="0" t="n">
        <f aca="false">IF(Matrice_OD!Y34&lt;=Param!$B$2,EXP(-(Matrice_OD!Y34^2)/Param!$B$5),0)</f>
        <v>0</v>
      </c>
      <c r="Z34" s="0" t="n">
        <f aca="false">IF(Matrice_OD!Z34&lt;=Param!$B$2,EXP(-(Matrice_OD!Z34^2)/Param!$B$5),0)</f>
        <v>0</v>
      </c>
      <c r="AA34" s="0" t="n">
        <f aca="false">IF(Matrice_OD!AA34&lt;=Param!$B$2,EXP(-(Matrice_OD!AA34^2)/Param!$B$5),0)</f>
        <v>0</v>
      </c>
      <c r="AB34" s="0" t="n">
        <f aca="false">IF(Matrice_OD!AB34&lt;=Param!$B$2,EXP(-(Matrice_OD!AB34^2)/Param!$B$5),0)</f>
        <v>0</v>
      </c>
      <c r="AC34" s="0" t="n">
        <f aca="false">IF(Matrice_OD!AC34&lt;=Param!$B$2,EXP(-(Matrice_OD!AC34^2)/Param!$B$5),0)</f>
        <v>0</v>
      </c>
      <c r="AD34" s="0" t="n">
        <f aca="false">IF(Matrice_OD!AD34&lt;=Param!$B$2,EXP(-(Matrice_OD!AD34^2)/Param!$B$5),0)</f>
        <v>0</v>
      </c>
      <c r="AE34" s="0" t="n">
        <f aca="false">IF(Matrice_OD!AE34&lt;=Param!$B$2,EXP(-(Matrice_OD!AE34^2)/Param!$B$5),0)</f>
        <v>0</v>
      </c>
      <c r="AF34" s="0" t="n">
        <f aca="false">IF(Matrice_OD!AF34&lt;=Param!$B$2,EXP(-(Matrice_OD!AF34^2)/Param!$B$5),0)</f>
        <v>0</v>
      </c>
      <c r="AG34" s="0" t="n">
        <f aca="false">IF(Matrice_OD!AG34&lt;=Param!$B$2,EXP(-(Matrice_OD!AG34^2)/Param!$B$5),0)</f>
        <v>0.106525221140392</v>
      </c>
      <c r="AH34" s="0" t="n">
        <f aca="false">IF(Matrice_OD!AH34&lt;=Param!$B$2,EXP(-(Matrice_OD!AH34^2)/Param!$B$5),0)</f>
        <v>0.0432329714818173</v>
      </c>
      <c r="AI34" s="0" t="n">
        <f aca="false">IF(Matrice_OD!AI34&lt;=Param!$B$2,EXP(-(Matrice_OD!AI34^2)/Param!$B$5),0)</f>
        <v>0.0152460879149063</v>
      </c>
      <c r="AJ34" s="0" t="n">
        <f aca="false">IF(Matrice_OD!AJ34&lt;=Param!$B$2,EXP(-(Matrice_OD!AJ34^2)/Param!$B$5),0)</f>
        <v>0</v>
      </c>
      <c r="AK34" s="0" t="n">
        <f aca="false">IF(Matrice_OD!AK34&lt;=Param!$B$2,EXP(-(Matrice_OD!AK34^2)/Param!$B$5),0)</f>
        <v>0</v>
      </c>
      <c r="AL34" s="0" t="n">
        <f aca="false">IF(Matrice_OD!AL34&lt;=Param!$B$2,EXP(-(Matrice_OD!AL34^2)/Param!$B$5),0)</f>
        <v>0</v>
      </c>
      <c r="AM34" s="0" t="n">
        <f aca="false">IF(Matrice_OD!AM34&lt;=Param!$B$2,EXP(-(Matrice_OD!AM34^2)/Param!$B$5),0)</f>
        <v>0.124805742371409</v>
      </c>
      <c r="AN34" s="0" t="n">
        <f aca="false">IF(Matrice_OD!AN34&lt;=Param!$B$2,EXP(-(Matrice_OD!AN34^2)/Param!$B$5),0)</f>
        <v>0</v>
      </c>
    </row>
    <row r="35" customFormat="false" ht="15" hidden="false" customHeight="true" outlineLevel="0" collapsed="false">
      <c r="A35" s="0" t="s">
        <v>168</v>
      </c>
      <c r="B35" s="0" t="s">
        <v>169</v>
      </c>
      <c r="C35" s="0" t="n">
        <f aca="false">IF(Matrice_OD!C35&lt;=Param!$B$2,EXP(-(Matrice_OD!C35^2)/Param!$B$5),0)</f>
        <v>0.365762444387218</v>
      </c>
      <c r="D35" s="0" t="n">
        <f aca="false">IF(Matrice_OD!D35&lt;=Param!$B$2,EXP(-(Matrice_OD!D35^2)/Param!$B$5),0)</f>
        <v>0.0697889146771552</v>
      </c>
      <c r="E35" s="0" t="n">
        <f aca="false">IF(Matrice_OD!E35&lt;=Param!$B$2,EXP(-(Matrice_OD!E35^2)/Param!$B$5),0)</f>
        <v>0.0617261388046274</v>
      </c>
      <c r="F35" s="0" t="n">
        <f aca="false">IF(Matrice_OD!F35&lt;=Param!$B$2,EXP(-(Matrice_OD!F35^2)/Param!$B$5),0)</f>
        <v>0.0611877096978767</v>
      </c>
      <c r="G35" s="0" t="n">
        <f aca="false">IF(Matrice_OD!G35&lt;=Param!$B$2,EXP(-(Matrice_OD!G35^2)/Param!$B$5),0)</f>
        <v>0.0586472535619702</v>
      </c>
      <c r="H35" s="0" t="n">
        <f aca="false">IF(Matrice_OD!H35&lt;=Param!$B$2,EXP(-(Matrice_OD!H35^2)/Param!$B$5),0)</f>
        <v>0.0556959960716611</v>
      </c>
      <c r="I35" s="0" t="n">
        <f aca="false">IF(Matrice_OD!I35&lt;=Param!$B$2,EXP(-(Matrice_OD!I35^2)/Param!$B$5),0)</f>
        <v>0.0551117808059904</v>
      </c>
      <c r="J35" s="0" t="n">
        <f aca="false">IF(Matrice_OD!J35&lt;=Param!$B$2,EXP(-(Matrice_OD!J35^2)/Param!$B$5),0)</f>
        <v>0.0537390946672934</v>
      </c>
      <c r="K35" s="0" t="n">
        <f aca="false">IF(Matrice_OD!K35&lt;=Param!$B$2,EXP(-(Matrice_OD!K35^2)/Param!$B$5),0)</f>
        <v>0.0528686231155206</v>
      </c>
      <c r="L35" s="0" t="n">
        <f aca="false">IF(Matrice_OD!L35&lt;=Param!$B$2,EXP(-(Matrice_OD!L35^2)/Param!$B$5),0)</f>
        <v>0.0525667361113253</v>
      </c>
      <c r="M35" s="0" t="n">
        <f aca="false">IF(Matrice_OD!M35&lt;=Param!$B$2,EXP(-(Matrice_OD!M35^2)/Param!$B$5),0)</f>
        <v>0.0524377948016445</v>
      </c>
      <c r="N35" s="0" t="n">
        <f aca="false">IF(Matrice_OD!N35&lt;=Param!$B$2,EXP(-(Matrice_OD!N35^2)/Param!$B$5),0)</f>
        <v>0.0511627699802074</v>
      </c>
      <c r="O35" s="0" t="n">
        <f aca="false">IF(Matrice_OD!O35&lt;=Param!$B$2,EXP(-(Matrice_OD!O35^2)/Param!$B$5),0)</f>
        <v>0.0509108844600718</v>
      </c>
      <c r="P35" s="0" t="n">
        <f aca="false">IF(Matrice_OD!P35&lt;=Param!$B$2,EXP(-(Matrice_OD!P35^2)/Param!$B$5),0)</f>
        <v>0.0505349915631274</v>
      </c>
      <c r="Q35" s="0" t="n">
        <f aca="false">IF(Matrice_OD!Q35&lt;=Param!$B$2,EXP(-(Matrice_OD!Q35^2)/Param!$B$5),0)</f>
        <v>0.0491357433729911</v>
      </c>
      <c r="R35" s="0" t="n">
        <f aca="false">IF(Matrice_OD!R35&lt;=Param!$B$2,EXP(-(Matrice_OD!R35^2)/Param!$B$5),0)</f>
        <v>0.048609345972015</v>
      </c>
      <c r="S35" s="0" t="n">
        <f aca="false">IF(Matrice_OD!S35&lt;=Param!$B$2,EXP(-(Matrice_OD!S35^2)/Param!$B$5),0)</f>
        <v>0.0474915420779437</v>
      </c>
      <c r="T35" s="0" t="n">
        <f aca="false">IF(Matrice_OD!T35&lt;=Param!$B$2,EXP(-(Matrice_OD!T35^2)/Param!$B$5),0)</f>
        <v>0.0604597085612728</v>
      </c>
      <c r="U35" s="0" t="n">
        <f aca="false">IF(Matrice_OD!U35&lt;=Param!$B$2,EXP(-(Matrice_OD!U35^2)/Param!$B$5),0)</f>
        <v>0</v>
      </c>
      <c r="V35" s="0" t="n">
        <f aca="false">IF(Matrice_OD!V35&lt;=Param!$B$2,EXP(-(Matrice_OD!V35^2)/Param!$B$5),0)</f>
        <v>0</v>
      </c>
      <c r="W35" s="0" t="n">
        <f aca="false">IF(Matrice_OD!W35&lt;=Param!$B$2,EXP(-(Matrice_OD!W35^2)/Param!$B$5),0)</f>
        <v>0</v>
      </c>
      <c r="X35" s="0" t="n">
        <f aca="false">IF(Matrice_OD!X35&lt;=Param!$B$2,EXP(-(Matrice_OD!X35^2)/Param!$B$5),0)</f>
        <v>0</v>
      </c>
      <c r="Y35" s="0" t="n">
        <f aca="false">IF(Matrice_OD!Y35&lt;=Param!$B$2,EXP(-(Matrice_OD!Y35^2)/Param!$B$5),0)</f>
        <v>0</v>
      </c>
      <c r="Z35" s="0" t="n">
        <f aca="false">IF(Matrice_OD!Z35&lt;=Param!$B$2,EXP(-(Matrice_OD!Z35^2)/Param!$B$5),0)</f>
        <v>0</v>
      </c>
      <c r="AA35" s="0" t="n">
        <f aca="false">IF(Matrice_OD!AA35&lt;=Param!$B$2,EXP(-(Matrice_OD!AA35^2)/Param!$B$5),0)</f>
        <v>0</v>
      </c>
      <c r="AB35" s="0" t="n">
        <f aca="false">IF(Matrice_OD!AB35&lt;=Param!$B$2,EXP(-(Matrice_OD!AB35^2)/Param!$B$5),0)</f>
        <v>0</v>
      </c>
      <c r="AC35" s="0" t="n">
        <f aca="false">IF(Matrice_OD!AC35&lt;=Param!$B$2,EXP(-(Matrice_OD!AC35^2)/Param!$B$5),0)</f>
        <v>0</v>
      </c>
      <c r="AD35" s="0" t="n">
        <f aca="false">IF(Matrice_OD!AD35&lt;=Param!$B$2,EXP(-(Matrice_OD!AD35^2)/Param!$B$5),0)</f>
        <v>0</v>
      </c>
      <c r="AE35" s="0" t="n">
        <f aca="false">IF(Matrice_OD!AE35&lt;=Param!$B$2,EXP(-(Matrice_OD!AE35^2)/Param!$B$5),0)</f>
        <v>0</v>
      </c>
      <c r="AF35" s="0" t="n">
        <f aca="false">IF(Matrice_OD!AF35&lt;=Param!$B$2,EXP(-(Matrice_OD!AF35^2)/Param!$B$5),0)</f>
        <v>0</v>
      </c>
      <c r="AG35" s="0" t="n">
        <f aca="false">IF(Matrice_OD!AG35&lt;=Param!$B$2,EXP(-(Matrice_OD!AG35^2)/Param!$B$5),0)</f>
        <v>0.0723793068565843</v>
      </c>
      <c r="AH35" s="0" t="n">
        <f aca="false">IF(Matrice_OD!AH35&lt;=Param!$B$2,EXP(-(Matrice_OD!AH35^2)/Param!$B$5),0)</f>
        <v>0.0444904339697557</v>
      </c>
      <c r="AI35" s="0" t="n">
        <f aca="false">IF(Matrice_OD!AI35&lt;=Param!$B$2,EXP(-(Matrice_OD!AI35^2)/Param!$B$5),0)</f>
        <v>0.0668013378789367</v>
      </c>
      <c r="AJ35" s="0" t="n">
        <f aca="false">IF(Matrice_OD!AJ35&lt;=Param!$B$2,EXP(-(Matrice_OD!AJ35^2)/Param!$B$5),0)</f>
        <v>0</v>
      </c>
      <c r="AK35" s="0" t="n">
        <f aca="false">IF(Matrice_OD!AK35&lt;=Param!$B$2,EXP(-(Matrice_OD!AK35^2)/Param!$B$5),0)</f>
        <v>0</v>
      </c>
      <c r="AL35" s="0" t="n">
        <f aca="false">IF(Matrice_OD!AL35&lt;=Param!$B$2,EXP(-(Matrice_OD!AL35^2)/Param!$B$5),0)</f>
        <v>0</v>
      </c>
      <c r="AM35" s="0" t="n">
        <f aca="false">IF(Matrice_OD!AM35&lt;=Param!$B$2,EXP(-(Matrice_OD!AM35^2)/Param!$B$5),0)</f>
        <v>0.337653771425949</v>
      </c>
      <c r="AN35" s="0" t="n">
        <f aca="false">IF(Matrice_OD!AN35&lt;=Param!$B$2,EXP(-(Matrice_OD!AN35^2)/Param!$B$5),0)</f>
        <v>0</v>
      </c>
    </row>
    <row r="36" customFormat="false" ht="15" hidden="false" customHeight="true" outlineLevel="0" collapsed="false">
      <c r="A36" s="0" t="s">
        <v>170</v>
      </c>
      <c r="B36" s="0" t="s">
        <v>171</v>
      </c>
      <c r="C36" s="0" t="n">
        <f aca="false">IF(Matrice_OD!C36&lt;=Param!$B$2,EXP(-(Matrice_OD!C36^2)/Param!$B$5),0)</f>
        <v>0.421904754715828</v>
      </c>
      <c r="D36" s="0" t="n">
        <f aca="false">IF(Matrice_OD!D36&lt;=Param!$B$2,EXP(-(Matrice_OD!D36^2)/Param!$B$5),0)</f>
        <v>0.0883426946289972</v>
      </c>
      <c r="E36" s="0" t="n">
        <f aca="false">IF(Matrice_OD!E36&lt;=Param!$B$2,EXP(-(Matrice_OD!E36^2)/Param!$B$5),0)</f>
        <v>0.0785672327223124</v>
      </c>
      <c r="F36" s="0" t="n">
        <f aca="false">IF(Matrice_OD!F36&lt;=Param!$B$2,EXP(-(Matrice_OD!F36^2)/Param!$B$5),0)</f>
        <v>0.0779121050285026</v>
      </c>
      <c r="G36" s="0" t="n">
        <f aca="false">IF(Matrice_OD!G36&lt;=Param!$B$2,EXP(-(Matrice_OD!G36^2)/Param!$B$5),0)</f>
        <v>0.074816911768371</v>
      </c>
      <c r="H36" s="0" t="n">
        <f aca="false">IF(Matrice_OD!H36&lt;=Param!$B$2,EXP(-(Matrice_OD!H36^2)/Param!$B$5),0)</f>
        <v>0.0711572507945774</v>
      </c>
      <c r="I36" s="0" t="n">
        <f aca="false">IF(Matrice_OD!I36&lt;=Param!$B$2,EXP(-(Matrice_OD!I36^2)/Param!$B$5),0)</f>
        <v>0.070443025423518</v>
      </c>
      <c r="J36" s="0" t="n">
        <f aca="false">IF(Matrice_OD!J36&lt;=Param!$B$2,EXP(-(Matrice_OD!J36^2)/Param!$B$5),0)</f>
        <v>0.0687633360451235</v>
      </c>
      <c r="K36" s="0" t="n">
        <f aca="false">IF(Matrice_OD!K36&lt;=Param!$B$2,EXP(-(Matrice_OD!K36^2)/Param!$B$5),0)</f>
        <v>0.0677500476411847</v>
      </c>
      <c r="L36" s="0" t="n">
        <f aca="false">IF(Matrice_OD!L36&lt;=Param!$B$2,EXP(-(Matrice_OD!L36^2)/Param!$B$5),0)</f>
        <v>0.0673270529590517</v>
      </c>
      <c r="M36" s="0" t="n">
        <f aca="false">IF(Matrice_OD!M36&lt;=Param!$B$2,EXP(-(Matrice_OD!M36^2)/Param!$B$5),0)</f>
        <v>0.067168985689842</v>
      </c>
      <c r="N36" s="0" t="n">
        <f aca="false">IF(Matrice_OD!N36&lt;=Param!$B$2,EXP(-(Matrice_OD!N36^2)/Param!$B$5),0)</f>
        <v>0.0656565411585886</v>
      </c>
      <c r="O36" s="0" t="n">
        <f aca="false">IF(Matrice_OD!O36&lt;=Param!$B$2,EXP(-(Matrice_OD!O36^2)/Param!$B$5),0)</f>
        <v>0.0653471188680223</v>
      </c>
      <c r="P36" s="0" t="n">
        <f aca="false">IF(Matrice_OD!P36&lt;=Param!$B$2,EXP(-(Matrice_OD!P36^2)/Param!$B$5),0)</f>
        <v>0.0648340623859351</v>
      </c>
      <c r="Q36" s="0" t="n">
        <f aca="false">IF(Matrice_OD!Q36&lt;=Param!$B$2,EXP(-(Matrice_OD!Q36^2)/Param!$B$5),0)</f>
        <v>0.0631642879833679</v>
      </c>
      <c r="R36" s="0" t="n">
        <f aca="false">IF(Matrice_OD!R36&lt;=Param!$B$2,EXP(-(Matrice_OD!R36^2)/Param!$B$5),0)</f>
        <v>0.0625162420777351</v>
      </c>
      <c r="S36" s="0" t="n">
        <f aca="false">IF(Matrice_OD!S36&lt;=Param!$B$2,EXP(-(Matrice_OD!S36^2)/Param!$B$5),0)</f>
        <v>0.0611389533951331</v>
      </c>
      <c r="T36" s="0" t="n">
        <f aca="false">IF(Matrice_OD!T36&lt;=Param!$B$2,EXP(-(Matrice_OD!T36^2)/Param!$B$5),0)</f>
        <v>0.0769670409479484</v>
      </c>
      <c r="U36" s="0" t="n">
        <f aca="false">IF(Matrice_OD!U36&lt;=Param!$B$2,EXP(-(Matrice_OD!U36^2)/Param!$B$5),0)</f>
        <v>0</v>
      </c>
      <c r="V36" s="0" t="n">
        <f aca="false">IF(Matrice_OD!V36&lt;=Param!$B$2,EXP(-(Matrice_OD!V36^2)/Param!$B$5),0)</f>
        <v>0</v>
      </c>
      <c r="W36" s="0" t="n">
        <f aca="false">IF(Matrice_OD!W36&lt;=Param!$B$2,EXP(-(Matrice_OD!W36^2)/Param!$B$5),0)</f>
        <v>0</v>
      </c>
      <c r="X36" s="0" t="n">
        <f aca="false">IF(Matrice_OD!X36&lt;=Param!$B$2,EXP(-(Matrice_OD!X36^2)/Param!$B$5),0)</f>
        <v>0</v>
      </c>
      <c r="Y36" s="0" t="n">
        <f aca="false">IF(Matrice_OD!Y36&lt;=Param!$B$2,EXP(-(Matrice_OD!Y36^2)/Param!$B$5),0)</f>
        <v>0</v>
      </c>
      <c r="Z36" s="0" t="n">
        <f aca="false">IF(Matrice_OD!Z36&lt;=Param!$B$2,EXP(-(Matrice_OD!Z36^2)/Param!$B$5),0)</f>
        <v>0</v>
      </c>
      <c r="AA36" s="0" t="n">
        <f aca="false">IF(Matrice_OD!AA36&lt;=Param!$B$2,EXP(-(Matrice_OD!AA36^2)/Param!$B$5),0)</f>
        <v>0</v>
      </c>
      <c r="AB36" s="0" t="n">
        <f aca="false">IF(Matrice_OD!AB36&lt;=Param!$B$2,EXP(-(Matrice_OD!AB36^2)/Param!$B$5),0)</f>
        <v>0</v>
      </c>
      <c r="AC36" s="0" t="n">
        <f aca="false">IF(Matrice_OD!AC36&lt;=Param!$B$2,EXP(-(Matrice_OD!AC36^2)/Param!$B$5),0)</f>
        <v>0</v>
      </c>
      <c r="AD36" s="0" t="n">
        <f aca="false">IF(Matrice_OD!AD36&lt;=Param!$B$2,EXP(-(Matrice_OD!AD36^2)/Param!$B$5),0)</f>
        <v>0</v>
      </c>
      <c r="AE36" s="0" t="n">
        <f aca="false">IF(Matrice_OD!AE36&lt;=Param!$B$2,EXP(-(Matrice_OD!AE36^2)/Param!$B$5),0)</f>
        <v>0</v>
      </c>
      <c r="AF36" s="0" t="n">
        <f aca="false">IF(Matrice_OD!AF36&lt;=Param!$B$2,EXP(-(Matrice_OD!AF36^2)/Param!$B$5),0)</f>
        <v>0</v>
      </c>
      <c r="AG36" s="0" t="n">
        <f aca="false">IF(Matrice_OD!AG36&lt;=Param!$B$2,EXP(-(Matrice_OD!AG36^2)/Param!$B$5),0)</f>
        <v>0</v>
      </c>
      <c r="AH36" s="0" t="n">
        <f aca="false">IF(Matrice_OD!AH36&lt;=Param!$B$2,EXP(-(Matrice_OD!AH36^2)/Param!$B$5),0)</f>
        <v>0.0574331246133389</v>
      </c>
      <c r="AI36" s="0" t="n">
        <f aca="false">IF(Matrice_OD!AI36&lt;=Param!$B$2,EXP(-(Matrice_OD!AI36^2)/Param!$B$5),0)</f>
        <v>0.0846644779017611</v>
      </c>
      <c r="AJ36" s="0" t="n">
        <f aca="false">IF(Matrice_OD!AJ36&lt;=Param!$B$2,EXP(-(Matrice_OD!AJ36^2)/Param!$B$5),0)</f>
        <v>0</v>
      </c>
      <c r="AK36" s="0" t="n">
        <f aca="false">IF(Matrice_OD!AK36&lt;=Param!$B$2,EXP(-(Matrice_OD!AK36^2)/Param!$B$5),0)</f>
        <v>0</v>
      </c>
      <c r="AL36" s="0" t="n">
        <f aca="false">IF(Matrice_OD!AL36&lt;=Param!$B$2,EXP(-(Matrice_OD!AL36^2)/Param!$B$5),0)</f>
        <v>0</v>
      </c>
      <c r="AM36" s="0" t="n">
        <f aca="false">IF(Matrice_OD!AM36&lt;=Param!$B$2,EXP(-(Matrice_OD!AM36^2)/Param!$B$5),0)</f>
        <v>0.391739649906691</v>
      </c>
      <c r="AN36" s="0" t="n">
        <f aca="false">IF(Matrice_OD!AN36&lt;=Param!$B$2,EXP(-(Matrice_OD!AN36^2)/Param!$B$5),0)</f>
        <v>0.0507853291567055</v>
      </c>
    </row>
    <row r="37" customFormat="false" ht="15" hidden="false" customHeight="true" outlineLevel="0" collapsed="false">
      <c r="A37" s="0" t="s">
        <v>172</v>
      </c>
      <c r="B37" s="0" t="s">
        <v>173</v>
      </c>
      <c r="C37" s="0" t="n">
        <f aca="false">IF(Matrice_OD!C37&lt;=Param!$B$2,EXP(-(Matrice_OD!C37^2)/Param!$B$5),0)</f>
        <v>0.447251700007961</v>
      </c>
      <c r="D37" s="0" t="n">
        <f aca="false">IF(Matrice_OD!D37&lt;=Param!$B$2,EXP(-(Matrice_OD!D37^2)/Param!$B$5),0)</f>
        <v>0.0975604905406171</v>
      </c>
      <c r="E37" s="0" t="n">
        <f aca="false">IF(Matrice_OD!E37&lt;=Param!$B$2,EXP(-(Matrice_OD!E37^2)/Param!$B$5),0)</f>
        <v>0.0869730679831314</v>
      </c>
      <c r="F37" s="0" t="n">
        <f aca="false">IF(Matrice_OD!F37&lt;=Param!$B$2,EXP(-(Matrice_OD!F37^2)/Param!$B$5),0)</f>
        <v>0.0861980383948936</v>
      </c>
      <c r="G37" s="0" t="n">
        <f aca="false">IF(Matrice_OD!G37&lt;=Param!$B$2,EXP(-(Matrice_OD!G37^2)/Param!$B$5),0)</f>
        <v>0.082902910507504</v>
      </c>
      <c r="H37" s="0" t="n">
        <f aca="false">IF(Matrice_OD!H37&lt;=Param!$B$2,EXP(-(Matrice_OD!H37^2)/Param!$B$5),0)</f>
        <v>0.0789264362851164</v>
      </c>
      <c r="I37" s="0" t="n">
        <f aca="false">IF(Matrice_OD!I37&lt;=Param!$B$2,EXP(-(Matrice_OD!I37^2)/Param!$B$5),0)</f>
        <v>0.0781498232283032</v>
      </c>
      <c r="J37" s="0" t="n">
        <f aca="false">IF(Matrice_OD!J37&lt;=Param!$B$2,EXP(-(Matrice_OD!J37^2)/Param!$B$5),0)</f>
        <v>0.0763226787921844</v>
      </c>
      <c r="K37" s="0" t="n">
        <f aca="false">IF(Matrice_OD!K37&lt;=Param!$B$2,EXP(-(Matrice_OD!K37^2)/Param!$B$5),0)</f>
        <v>0.0751622509423711</v>
      </c>
      <c r="L37" s="0" t="n">
        <f aca="false">IF(Matrice_OD!L37&lt;=Param!$B$2,EXP(-(Matrice_OD!L37^2)/Param!$B$5),0)</f>
        <v>0.074759479945524</v>
      </c>
      <c r="M37" s="0" t="n">
        <f aca="false">IF(Matrice_OD!M37&lt;=Param!$B$2,EXP(-(Matrice_OD!M37^2)/Param!$B$5),0)</f>
        <v>0.0745873979734414</v>
      </c>
      <c r="N37" s="0" t="n">
        <f aca="false">IF(Matrice_OD!N37&lt;=Param!$B$2,EXP(-(Matrice_OD!N37^2)/Param!$B$5),0)</f>
        <v>0.0728841115588434</v>
      </c>
      <c r="O37" s="0" t="n">
        <f aca="false">IF(Matrice_OD!O37&lt;=Param!$B$2,EXP(-(Matrice_OD!O37^2)/Param!$B$5),0)</f>
        <v>0.0725472596502387</v>
      </c>
      <c r="P37" s="0" t="n">
        <f aca="false">IF(Matrice_OD!P37&lt;=Param!$B$2,EXP(-(Matrice_OD!P37^2)/Param!$B$5),0)</f>
        <v>0.0720443456575033</v>
      </c>
      <c r="Q37" s="0" t="n">
        <f aca="false">IF(Matrice_OD!Q37&lt;=Param!$B$2,EXP(-(Matrice_OD!Q37^2)/Param!$B$5),0)</f>
        <v>0.0701698771276235</v>
      </c>
      <c r="R37" s="0" t="n">
        <f aca="false">IF(Matrice_OD!R37&lt;=Param!$B$2,EXP(-(Matrice_OD!R37^2)/Param!$B$5),0)</f>
        <v>0.0694637140134235</v>
      </c>
      <c r="S37" s="0" t="n">
        <f aca="false">IF(Matrice_OD!S37&lt;=Param!$B$2,EXP(-(Matrice_OD!S37^2)/Param!$B$5),0)</f>
        <v>0.0679623550507659</v>
      </c>
      <c r="T37" s="0" t="n">
        <f aca="false">IF(Matrice_OD!T37&lt;=Param!$B$2,EXP(-(Matrice_OD!T37^2)/Param!$B$5),0)</f>
        <v>0.0852369936344889</v>
      </c>
      <c r="U37" s="0" t="n">
        <f aca="false">IF(Matrice_OD!U37&lt;=Param!$B$2,EXP(-(Matrice_OD!U37^2)/Param!$B$5),0)</f>
        <v>0</v>
      </c>
      <c r="V37" s="0" t="n">
        <f aca="false">IF(Matrice_OD!V37&lt;=Param!$B$2,EXP(-(Matrice_OD!V37^2)/Param!$B$5),0)</f>
        <v>0</v>
      </c>
      <c r="W37" s="0" t="n">
        <f aca="false">IF(Matrice_OD!W37&lt;=Param!$B$2,EXP(-(Matrice_OD!W37^2)/Param!$B$5),0)</f>
        <v>0</v>
      </c>
      <c r="X37" s="0" t="n">
        <f aca="false">IF(Matrice_OD!X37&lt;=Param!$B$2,EXP(-(Matrice_OD!X37^2)/Param!$B$5),0)</f>
        <v>0</v>
      </c>
      <c r="Y37" s="0" t="n">
        <f aca="false">IF(Matrice_OD!Y37&lt;=Param!$B$2,EXP(-(Matrice_OD!Y37^2)/Param!$B$5),0)</f>
        <v>0</v>
      </c>
      <c r="Z37" s="0" t="n">
        <f aca="false">IF(Matrice_OD!Z37&lt;=Param!$B$2,EXP(-(Matrice_OD!Z37^2)/Param!$B$5),0)</f>
        <v>0</v>
      </c>
      <c r="AA37" s="0" t="n">
        <f aca="false">IF(Matrice_OD!AA37&lt;=Param!$B$2,EXP(-(Matrice_OD!AA37^2)/Param!$B$5),0)</f>
        <v>0</v>
      </c>
      <c r="AB37" s="0" t="n">
        <f aca="false">IF(Matrice_OD!AB37&lt;=Param!$B$2,EXP(-(Matrice_OD!AB37^2)/Param!$B$5),0)</f>
        <v>0</v>
      </c>
      <c r="AC37" s="0" t="n">
        <f aca="false">IF(Matrice_OD!AC37&lt;=Param!$B$2,EXP(-(Matrice_OD!AC37^2)/Param!$B$5),0)</f>
        <v>0</v>
      </c>
      <c r="AD37" s="0" t="n">
        <f aca="false">IF(Matrice_OD!AD37&lt;=Param!$B$2,EXP(-(Matrice_OD!AD37^2)/Param!$B$5),0)</f>
        <v>0</v>
      </c>
      <c r="AE37" s="0" t="n">
        <f aca="false">IF(Matrice_OD!AE37&lt;=Param!$B$2,EXP(-(Matrice_OD!AE37^2)/Param!$B$5),0)</f>
        <v>0</v>
      </c>
      <c r="AF37" s="0" t="n">
        <f aca="false">IF(Matrice_OD!AF37&lt;=Param!$B$2,EXP(-(Matrice_OD!AF37^2)/Param!$B$5),0)</f>
        <v>0</v>
      </c>
      <c r="AG37" s="0" t="n">
        <f aca="false">IF(Matrice_OD!AG37&lt;=Param!$B$2,EXP(-(Matrice_OD!AG37^2)/Param!$B$5),0)</f>
        <v>0</v>
      </c>
      <c r="AH37" s="0" t="n">
        <f aca="false">IF(Matrice_OD!AH37&lt;=Param!$B$2,EXP(-(Matrice_OD!AH37^2)/Param!$B$5),0)</f>
        <v>0.0639188587727091</v>
      </c>
      <c r="AI37" s="0" t="n">
        <f aca="false">IF(Matrice_OD!AI37&lt;=Param!$B$2,EXP(-(Matrice_OD!AI37^2)/Param!$B$5),0)</f>
        <v>0.0935803290420099</v>
      </c>
      <c r="AJ37" s="0" t="n">
        <f aca="false">IF(Matrice_OD!AJ37&lt;=Param!$B$2,EXP(-(Matrice_OD!AJ37^2)/Param!$B$5),0)</f>
        <v>0</v>
      </c>
      <c r="AK37" s="0" t="n">
        <f aca="false">IF(Matrice_OD!AK37&lt;=Param!$B$2,EXP(-(Matrice_OD!AK37^2)/Param!$B$5),0)</f>
        <v>0</v>
      </c>
      <c r="AL37" s="0" t="n">
        <f aca="false">IF(Matrice_OD!AL37&lt;=Param!$B$2,EXP(-(Matrice_OD!AL37^2)/Param!$B$5),0)</f>
        <v>0</v>
      </c>
      <c r="AM37" s="0" t="n">
        <f aca="false">IF(Matrice_OD!AM37&lt;=Param!$B$2,EXP(-(Matrice_OD!AM37^2)/Param!$B$5),0)</f>
        <v>0.415570245104463</v>
      </c>
      <c r="AN37" s="0" t="n">
        <f aca="false">IF(Matrice_OD!AN37&lt;=Param!$B$2,EXP(-(Matrice_OD!AN37^2)/Param!$B$5),0)</f>
        <v>0</v>
      </c>
    </row>
    <row r="38" customFormat="false" ht="15" hidden="false" customHeight="true" outlineLevel="0" collapsed="false">
      <c r="A38" s="0" t="s">
        <v>174</v>
      </c>
      <c r="B38" s="0" t="s">
        <v>175</v>
      </c>
      <c r="C38" s="0" t="n">
        <f aca="false">IF(Matrice_OD!C38&lt;=Param!$B$2,EXP(-(Matrice_OD!C38^2)/Param!$B$5),0)</f>
        <v>0.0212808568868697</v>
      </c>
      <c r="D38" s="0" t="n">
        <f aca="false">IF(Matrice_OD!D38&lt;=Param!$B$2,EXP(-(Matrice_OD!D38^2)/Param!$B$5),0)</f>
        <v>0</v>
      </c>
      <c r="E38" s="0" t="n">
        <f aca="false">IF(Matrice_OD!E38&lt;=Param!$B$2,EXP(-(Matrice_OD!E38^2)/Param!$B$5),0)</f>
        <v>0</v>
      </c>
      <c r="F38" s="0" t="n">
        <f aca="false">IF(Matrice_OD!F38&lt;=Param!$B$2,EXP(-(Matrice_OD!F38^2)/Param!$B$5),0)</f>
        <v>0</v>
      </c>
      <c r="G38" s="0" t="n">
        <f aca="false">IF(Matrice_OD!G38&lt;=Param!$B$2,EXP(-(Matrice_OD!G38^2)/Param!$B$5),0)</f>
        <v>0</v>
      </c>
      <c r="H38" s="0" t="n">
        <f aca="false">IF(Matrice_OD!H38&lt;=Param!$B$2,EXP(-(Matrice_OD!H38^2)/Param!$B$5),0)</f>
        <v>0</v>
      </c>
      <c r="I38" s="0" t="n">
        <f aca="false">IF(Matrice_OD!I38&lt;=Param!$B$2,EXP(-(Matrice_OD!I38^2)/Param!$B$5),0)</f>
        <v>0</v>
      </c>
      <c r="J38" s="0" t="n">
        <f aca="false">IF(Matrice_OD!J38&lt;=Param!$B$2,EXP(-(Matrice_OD!J38^2)/Param!$B$5),0)</f>
        <v>0</v>
      </c>
      <c r="K38" s="0" t="n">
        <f aca="false">IF(Matrice_OD!K38&lt;=Param!$B$2,EXP(-(Matrice_OD!K38^2)/Param!$B$5),0)</f>
        <v>0</v>
      </c>
      <c r="L38" s="0" t="n">
        <f aca="false">IF(Matrice_OD!L38&lt;=Param!$B$2,EXP(-(Matrice_OD!L38^2)/Param!$B$5),0)</f>
        <v>0</v>
      </c>
      <c r="M38" s="0" t="n">
        <f aca="false">IF(Matrice_OD!M38&lt;=Param!$B$2,EXP(-(Matrice_OD!M38^2)/Param!$B$5),0)</f>
        <v>0</v>
      </c>
      <c r="N38" s="0" t="n">
        <f aca="false">IF(Matrice_OD!N38&lt;=Param!$B$2,EXP(-(Matrice_OD!N38^2)/Param!$B$5),0)</f>
        <v>0</v>
      </c>
      <c r="O38" s="0" t="n">
        <f aca="false">IF(Matrice_OD!O38&lt;=Param!$B$2,EXP(-(Matrice_OD!O38^2)/Param!$B$5),0)</f>
        <v>0</v>
      </c>
      <c r="P38" s="0" t="n">
        <f aca="false">IF(Matrice_OD!P38&lt;=Param!$B$2,EXP(-(Matrice_OD!P38^2)/Param!$B$5),0)</f>
        <v>0</v>
      </c>
      <c r="Q38" s="0" t="n">
        <f aca="false">IF(Matrice_OD!Q38&lt;=Param!$B$2,EXP(-(Matrice_OD!Q38^2)/Param!$B$5),0)</f>
        <v>0</v>
      </c>
      <c r="R38" s="0" t="n">
        <f aca="false">IF(Matrice_OD!R38&lt;=Param!$B$2,EXP(-(Matrice_OD!R38^2)/Param!$B$5),0)</f>
        <v>0</v>
      </c>
      <c r="S38" s="0" t="n">
        <f aca="false">IF(Matrice_OD!S38&lt;=Param!$B$2,EXP(-(Matrice_OD!S38^2)/Param!$B$5),0)</f>
        <v>0</v>
      </c>
      <c r="T38" s="0" t="n">
        <f aca="false">IF(Matrice_OD!T38&lt;=Param!$B$2,EXP(-(Matrice_OD!T38^2)/Param!$B$5),0)</f>
        <v>0</v>
      </c>
      <c r="U38" s="0" t="n">
        <f aca="false">IF(Matrice_OD!U38&lt;=Param!$B$2,EXP(-(Matrice_OD!U38^2)/Param!$B$5),0)</f>
        <v>0</v>
      </c>
      <c r="V38" s="0" t="n">
        <f aca="false">IF(Matrice_OD!V38&lt;=Param!$B$2,EXP(-(Matrice_OD!V38^2)/Param!$B$5),0)</f>
        <v>0</v>
      </c>
      <c r="W38" s="0" t="n">
        <f aca="false">IF(Matrice_OD!W38&lt;=Param!$B$2,EXP(-(Matrice_OD!W38^2)/Param!$B$5),0)</f>
        <v>0</v>
      </c>
      <c r="X38" s="0" t="n">
        <f aca="false">IF(Matrice_OD!X38&lt;=Param!$B$2,EXP(-(Matrice_OD!X38^2)/Param!$B$5),0)</f>
        <v>0</v>
      </c>
      <c r="Y38" s="0" t="n">
        <f aca="false">IF(Matrice_OD!Y38&lt;=Param!$B$2,EXP(-(Matrice_OD!Y38^2)/Param!$B$5),0)</f>
        <v>0</v>
      </c>
      <c r="Z38" s="0" t="n">
        <f aca="false">IF(Matrice_OD!Z38&lt;=Param!$B$2,EXP(-(Matrice_OD!Z38^2)/Param!$B$5),0)</f>
        <v>0</v>
      </c>
      <c r="AA38" s="0" t="n">
        <f aca="false">IF(Matrice_OD!AA38&lt;=Param!$B$2,EXP(-(Matrice_OD!AA38^2)/Param!$B$5),0)</f>
        <v>0</v>
      </c>
      <c r="AB38" s="0" t="n">
        <f aca="false">IF(Matrice_OD!AB38&lt;=Param!$B$2,EXP(-(Matrice_OD!AB38^2)/Param!$B$5),0)</f>
        <v>0</v>
      </c>
      <c r="AC38" s="0" t="n">
        <f aca="false">IF(Matrice_OD!AC38&lt;=Param!$B$2,EXP(-(Matrice_OD!AC38^2)/Param!$B$5),0)</f>
        <v>0</v>
      </c>
      <c r="AD38" s="0" t="n">
        <f aca="false">IF(Matrice_OD!AD38&lt;=Param!$B$2,EXP(-(Matrice_OD!AD38^2)/Param!$B$5),0)</f>
        <v>0</v>
      </c>
      <c r="AE38" s="0" t="n">
        <f aca="false">IF(Matrice_OD!AE38&lt;=Param!$B$2,EXP(-(Matrice_OD!AE38^2)/Param!$B$5),0)</f>
        <v>0</v>
      </c>
      <c r="AF38" s="0" t="n">
        <f aca="false">IF(Matrice_OD!AF38&lt;=Param!$B$2,EXP(-(Matrice_OD!AF38^2)/Param!$B$5),0)</f>
        <v>0</v>
      </c>
      <c r="AG38" s="0" t="n">
        <f aca="false">IF(Matrice_OD!AG38&lt;=Param!$B$2,EXP(-(Matrice_OD!AG38^2)/Param!$B$5),0)</f>
        <v>0.577009171199397</v>
      </c>
      <c r="AH38" s="0" t="n">
        <f aca="false">IF(Matrice_OD!AH38&lt;=Param!$B$2,EXP(-(Matrice_OD!AH38^2)/Param!$B$5),0)</f>
        <v>0</v>
      </c>
      <c r="AI38" s="0" t="n">
        <f aca="false">IF(Matrice_OD!AI38&lt;=Param!$B$2,EXP(-(Matrice_OD!AI38^2)/Param!$B$5),0)</f>
        <v>0</v>
      </c>
      <c r="AJ38" s="0" t="n">
        <f aca="false">IF(Matrice_OD!AJ38&lt;=Param!$B$2,EXP(-(Matrice_OD!AJ38^2)/Param!$B$5),0)</f>
        <v>0</v>
      </c>
      <c r="AK38" s="0" t="n">
        <f aca="false">IF(Matrice_OD!AK38&lt;=Param!$B$2,EXP(-(Matrice_OD!AK38^2)/Param!$B$5),0)</f>
        <v>0</v>
      </c>
      <c r="AL38" s="0" t="n">
        <f aca="false">IF(Matrice_OD!AL38&lt;=Param!$B$2,EXP(-(Matrice_OD!AL38^2)/Param!$B$5),0)</f>
        <v>0</v>
      </c>
      <c r="AM38" s="0" t="n">
        <f aca="false">IF(Matrice_OD!AM38&lt;=Param!$B$2,EXP(-(Matrice_OD!AM38^2)/Param!$B$5),0)</f>
        <v>0.0182777804689111</v>
      </c>
      <c r="AN38" s="0" t="n">
        <f aca="false">IF(Matrice_OD!AN38&lt;=Param!$B$2,EXP(-(Matrice_OD!AN38^2)/Param!$B$5),0)</f>
        <v>0.119734623546289</v>
      </c>
    </row>
    <row r="39" customFormat="false" ht="15" hidden="false" customHeight="true" outlineLevel="0" collapsed="false">
      <c r="A39" s="0" t="s">
        <v>176</v>
      </c>
      <c r="B39" s="0" t="s">
        <v>177</v>
      </c>
      <c r="C39" s="0" t="n">
        <f aca="false">IF(Matrice_OD!C39&lt;=Param!$B$2,EXP(-(Matrice_OD!C39^2)/Param!$B$5),0)</f>
        <v>0.0150391437708659</v>
      </c>
      <c r="D39" s="0" t="n">
        <f aca="false">IF(Matrice_OD!D39&lt;=Param!$B$2,EXP(-(Matrice_OD!D39^2)/Param!$B$5),0)</f>
        <v>0</v>
      </c>
      <c r="E39" s="0" t="n">
        <f aca="false">IF(Matrice_OD!E39&lt;=Param!$B$2,EXP(-(Matrice_OD!E39^2)/Param!$B$5),0)</f>
        <v>0</v>
      </c>
      <c r="F39" s="0" t="n">
        <f aca="false">IF(Matrice_OD!F39&lt;=Param!$B$2,EXP(-(Matrice_OD!F39^2)/Param!$B$5),0)</f>
        <v>0</v>
      </c>
      <c r="G39" s="0" t="n">
        <f aca="false">IF(Matrice_OD!G39&lt;=Param!$B$2,EXP(-(Matrice_OD!G39^2)/Param!$B$5),0)</f>
        <v>0</v>
      </c>
      <c r="H39" s="0" t="n">
        <f aca="false">IF(Matrice_OD!H39&lt;=Param!$B$2,EXP(-(Matrice_OD!H39^2)/Param!$B$5),0)</f>
        <v>0</v>
      </c>
      <c r="I39" s="0" t="n">
        <f aca="false">IF(Matrice_OD!I39&lt;=Param!$B$2,EXP(-(Matrice_OD!I39^2)/Param!$B$5),0)</f>
        <v>0</v>
      </c>
      <c r="J39" s="0" t="n">
        <f aca="false">IF(Matrice_OD!J39&lt;=Param!$B$2,EXP(-(Matrice_OD!J39^2)/Param!$B$5),0)</f>
        <v>0</v>
      </c>
      <c r="K39" s="0" t="n">
        <f aca="false">IF(Matrice_OD!K39&lt;=Param!$B$2,EXP(-(Matrice_OD!K39^2)/Param!$B$5),0)</f>
        <v>0</v>
      </c>
      <c r="L39" s="0" t="n">
        <f aca="false">IF(Matrice_OD!L39&lt;=Param!$B$2,EXP(-(Matrice_OD!L39^2)/Param!$B$5),0)</f>
        <v>0</v>
      </c>
      <c r="M39" s="0" t="n">
        <f aca="false">IF(Matrice_OD!M39&lt;=Param!$B$2,EXP(-(Matrice_OD!M39^2)/Param!$B$5),0)</f>
        <v>0</v>
      </c>
      <c r="N39" s="0" t="n">
        <f aca="false">IF(Matrice_OD!N39&lt;=Param!$B$2,EXP(-(Matrice_OD!N39^2)/Param!$B$5),0)</f>
        <v>0</v>
      </c>
      <c r="O39" s="0" t="n">
        <f aca="false">IF(Matrice_OD!O39&lt;=Param!$B$2,EXP(-(Matrice_OD!O39^2)/Param!$B$5),0)</f>
        <v>0</v>
      </c>
      <c r="P39" s="0" t="n">
        <f aca="false">IF(Matrice_OD!P39&lt;=Param!$B$2,EXP(-(Matrice_OD!P39^2)/Param!$B$5),0)</f>
        <v>0</v>
      </c>
      <c r="Q39" s="0" t="n">
        <f aca="false">IF(Matrice_OD!Q39&lt;=Param!$B$2,EXP(-(Matrice_OD!Q39^2)/Param!$B$5),0)</f>
        <v>0</v>
      </c>
      <c r="R39" s="0" t="n">
        <f aca="false">IF(Matrice_OD!R39&lt;=Param!$B$2,EXP(-(Matrice_OD!R39^2)/Param!$B$5),0)</f>
        <v>0</v>
      </c>
      <c r="S39" s="0" t="n">
        <f aca="false">IF(Matrice_OD!S39&lt;=Param!$B$2,EXP(-(Matrice_OD!S39^2)/Param!$B$5),0)</f>
        <v>0</v>
      </c>
      <c r="T39" s="0" t="n">
        <f aca="false">IF(Matrice_OD!T39&lt;=Param!$B$2,EXP(-(Matrice_OD!T39^2)/Param!$B$5),0)</f>
        <v>0</v>
      </c>
      <c r="U39" s="0" t="n">
        <f aca="false">IF(Matrice_OD!U39&lt;=Param!$B$2,EXP(-(Matrice_OD!U39^2)/Param!$B$5),0)</f>
        <v>0</v>
      </c>
      <c r="V39" s="0" t="n">
        <f aca="false">IF(Matrice_OD!V39&lt;=Param!$B$2,EXP(-(Matrice_OD!V39^2)/Param!$B$5),0)</f>
        <v>0</v>
      </c>
      <c r="W39" s="0" t="n">
        <f aca="false">IF(Matrice_OD!W39&lt;=Param!$B$2,EXP(-(Matrice_OD!W39^2)/Param!$B$5),0)</f>
        <v>0</v>
      </c>
      <c r="X39" s="0" t="n">
        <f aca="false">IF(Matrice_OD!X39&lt;=Param!$B$2,EXP(-(Matrice_OD!X39^2)/Param!$B$5),0)</f>
        <v>0</v>
      </c>
      <c r="Y39" s="0" t="n">
        <f aca="false">IF(Matrice_OD!Y39&lt;=Param!$B$2,EXP(-(Matrice_OD!Y39^2)/Param!$B$5),0)</f>
        <v>0</v>
      </c>
      <c r="Z39" s="0" t="n">
        <f aca="false">IF(Matrice_OD!Z39&lt;=Param!$B$2,EXP(-(Matrice_OD!Z39^2)/Param!$B$5),0)</f>
        <v>0</v>
      </c>
      <c r="AA39" s="0" t="n">
        <f aca="false">IF(Matrice_OD!AA39&lt;=Param!$B$2,EXP(-(Matrice_OD!AA39^2)/Param!$B$5),0)</f>
        <v>0</v>
      </c>
      <c r="AB39" s="0" t="n">
        <f aca="false">IF(Matrice_OD!AB39&lt;=Param!$B$2,EXP(-(Matrice_OD!AB39^2)/Param!$B$5),0)</f>
        <v>0</v>
      </c>
      <c r="AC39" s="0" t="n">
        <f aca="false">IF(Matrice_OD!AC39&lt;=Param!$B$2,EXP(-(Matrice_OD!AC39^2)/Param!$B$5),0)</f>
        <v>0</v>
      </c>
      <c r="AD39" s="0" t="n">
        <f aca="false">IF(Matrice_OD!AD39&lt;=Param!$B$2,EXP(-(Matrice_OD!AD39^2)/Param!$B$5),0)</f>
        <v>0</v>
      </c>
      <c r="AE39" s="0" t="n">
        <f aca="false">IF(Matrice_OD!AE39&lt;=Param!$B$2,EXP(-(Matrice_OD!AE39^2)/Param!$B$5),0)</f>
        <v>0</v>
      </c>
      <c r="AF39" s="0" t="n">
        <f aca="false">IF(Matrice_OD!AF39&lt;=Param!$B$2,EXP(-(Matrice_OD!AF39^2)/Param!$B$5),0)</f>
        <v>0</v>
      </c>
      <c r="AG39" s="0" t="n">
        <f aca="false">IF(Matrice_OD!AG39&lt;=Param!$B$2,EXP(-(Matrice_OD!AG39^2)/Param!$B$5),0)</f>
        <v>0.105918410995279</v>
      </c>
      <c r="AH39" s="0" t="n">
        <f aca="false">IF(Matrice_OD!AH39&lt;=Param!$B$2,EXP(-(Matrice_OD!AH39^2)/Param!$B$5),0)</f>
        <v>0</v>
      </c>
      <c r="AI39" s="0" t="n">
        <f aca="false">IF(Matrice_OD!AI39&lt;=Param!$B$2,EXP(-(Matrice_OD!AI39^2)/Param!$B$5),0)</f>
        <v>0</v>
      </c>
      <c r="AJ39" s="0" t="n">
        <f aca="false">IF(Matrice_OD!AJ39&lt;=Param!$B$2,EXP(-(Matrice_OD!AJ39^2)/Param!$B$5),0)</f>
        <v>0</v>
      </c>
      <c r="AK39" s="0" t="n">
        <f aca="false">IF(Matrice_OD!AK39&lt;=Param!$B$2,EXP(-(Matrice_OD!AK39^2)/Param!$B$5),0)</f>
        <v>0</v>
      </c>
      <c r="AL39" s="0" t="n">
        <f aca="false">IF(Matrice_OD!AL39&lt;=Param!$B$2,EXP(-(Matrice_OD!AL39^2)/Param!$B$5),0)</f>
        <v>0</v>
      </c>
      <c r="AM39" s="0" t="n">
        <f aca="false">IF(Matrice_OD!AM39&lt;=Param!$B$2,EXP(-(Matrice_OD!AM39^2)/Param!$B$5),0)</f>
        <v>0.0127422007925406</v>
      </c>
      <c r="AN39" s="0" t="n">
        <f aca="false">IF(Matrice_OD!AN39&lt;=Param!$B$2,EXP(-(Matrice_OD!AN39^2)/Param!$B$5),0)</f>
        <v>0.25394418448526</v>
      </c>
    </row>
    <row r="40" customFormat="false" ht="15" hidden="false" customHeight="true" outlineLevel="0" collapsed="false">
      <c r="A40" s="0" t="s">
        <v>178</v>
      </c>
      <c r="B40" s="0" t="s">
        <v>179</v>
      </c>
      <c r="C40" s="0" t="n">
        <f aca="false">IF(Matrice_OD!C40&lt;=Param!$B$2,EXP(-(Matrice_OD!C40^2)/Param!$B$5),0)</f>
        <v>0.0978447172844423</v>
      </c>
      <c r="D40" s="0" t="n">
        <f aca="false">IF(Matrice_OD!D40&lt;=Param!$B$2,EXP(-(Matrice_OD!D40^2)/Param!$B$5),0)</f>
        <v>0</v>
      </c>
      <c r="E40" s="0" t="n">
        <f aca="false">IF(Matrice_OD!E40&lt;=Param!$B$2,EXP(-(Matrice_OD!E40^2)/Param!$B$5),0)</f>
        <v>0</v>
      </c>
      <c r="F40" s="0" t="n">
        <f aca="false">IF(Matrice_OD!F40&lt;=Param!$B$2,EXP(-(Matrice_OD!F40^2)/Param!$B$5),0)</f>
        <v>0</v>
      </c>
      <c r="G40" s="0" t="n">
        <f aca="false">IF(Matrice_OD!G40&lt;=Param!$B$2,EXP(-(Matrice_OD!G40^2)/Param!$B$5),0)</f>
        <v>0</v>
      </c>
      <c r="H40" s="0" t="n">
        <f aca="false">IF(Matrice_OD!H40&lt;=Param!$B$2,EXP(-(Matrice_OD!H40^2)/Param!$B$5),0)</f>
        <v>0</v>
      </c>
      <c r="I40" s="0" t="n">
        <f aca="false">IF(Matrice_OD!I40&lt;=Param!$B$2,EXP(-(Matrice_OD!I40^2)/Param!$B$5),0)</f>
        <v>0</v>
      </c>
      <c r="J40" s="0" t="n">
        <f aca="false">IF(Matrice_OD!J40&lt;=Param!$B$2,EXP(-(Matrice_OD!J40^2)/Param!$B$5),0)</f>
        <v>0</v>
      </c>
      <c r="K40" s="0" t="n">
        <f aca="false">IF(Matrice_OD!K40&lt;=Param!$B$2,EXP(-(Matrice_OD!K40^2)/Param!$B$5),0)</f>
        <v>0</v>
      </c>
      <c r="L40" s="0" t="n">
        <f aca="false">IF(Matrice_OD!L40&lt;=Param!$B$2,EXP(-(Matrice_OD!L40^2)/Param!$B$5),0)</f>
        <v>0</v>
      </c>
      <c r="M40" s="0" t="n">
        <f aca="false">IF(Matrice_OD!M40&lt;=Param!$B$2,EXP(-(Matrice_OD!M40^2)/Param!$B$5),0)</f>
        <v>0</v>
      </c>
      <c r="N40" s="0" t="n">
        <f aca="false">IF(Matrice_OD!N40&lt;=Param!$B$2,EXP(-(Matrice_OD!N40^2)/Param!$B$5),0)</f>
        <v>0</v>
      </c>
      <c r="O40" s="0" t="n">
        <f aca="false">IF(Matrice_OD!O40&lt;=Param!$B$2,EXP(-(Matrice_OD!O40^2)/Param!$B$5),0)</f>
        <v>0</v>
      </c>
      <c r="P40" s="0" t="n">
        <f aca="false">IF(Matrice_OD!P40&lt;=Param!$B$2,EXP(-(Matrice_OD!P40^2)/Param!$B$5),0)</f>
        <v>0</v>
      </c>
      <c r="Q40" s="0" t="n">
        <f aca="false">IF(Matrice_OD!Q40&lt;=Param!$B$2,EXP(-(Matrice_OD!Q40^2)/Param!$B$5),0)</f>
        <v>0</v>
      </c>
      <c r="R40" s="0" t="n">
        <f aca="false">IF(Matrice_OD!R40&lt;=Param!$B$2,EXP(-(Matrice_OD!R40^2)/Param!$B$5),0)</f>
        <v>0</v>
      </c>
      <c r="S40" s="0" t="n">
        <f aca="false">IF(Matrice_OD!S40&lt;=Param!$B$2,EXP(-(Matrice_OD!S40^2)/Param!$B$5),0)</f>
        <v>0</v>
      </c>
      <c r="T40" s="0" t="n">
        <f aca="false">IF(Matrice_OD!T40&lt;=Param!$B$2,EXP(-(Matrice_OD!T40^2)/Param!$B$5),0)</f>
        <v>0</v>
      </c>
      <c r="U40" s="0" t="n">
        <f aca="false">IF(Matrice_OD!U40&lt;=Param!$B$2,EXP(-(Matrice_OD!U40^2)/Param!$B$5),0)</f>
        <v>0</v>
      </c>
      <c r="V40" s="0" t="n">
        <f aca="false">IF(Matrice_OD!V40&lt;=Param!$B$2,EXP(-(Matrice_OD!V40^2)/Param!$B$5),0)</f>
        <v>0</v>
      </c>
      <c r="W40" s="0" t="n">
        <f aca="false">IF(Matrice_OD!W40&lt;=Param!$B$2,EXP(-(Matrice_OD!W40^2)/Param!$B$5),0)</f>
        <v>0</v>
      </c>
      <c r="X40" s="0" t="n">
        <f aca="false">IF(Matrice_OD!X40&lt;=Param!$B$2,EXP(-(Matrice_OD!X40^2)/Param!$B$5),0)</f>
        <v>0</v>
      </c>
      <c r="Y40" s="0" t="n">
        <f aca="false">IF(Matrice_OD!Y40&lt;=Param!$B$2,EXP(-(Matrice_OD!Y40^2)/Param!$B$5),0)</f>
        <v>0</v>
      </c>
      <c r="Z40" s="0" t="n">
        <f aca="false">IF(Matrice_OD!Z40&lt;=Param!$B$2,EXP(-(Matrice_OD!Z40^2)/Param!$B$5),0)</f>
        <v>0</v>
      </c>
      <c r="AA40" s="0" t="n">
        <f aca="false">IF(Matrice_OD!AA40&lt;=Param!$B$2,EXP(-(Matrice_OD!AA40^2)/Param!$B$5),0)</f>
        <v>0</v>
      </c>
      <c r="AB40" s="0" t="n">
        <f aca="false">IF(Matrice_OD!AB40&lt;=Param!$B$2,EXP(-(Matrice_OD!AB40^2)/Param!$B$5),0)</f>
        <v>0</v>
      </c>
      <c r="AC40" s="0" t="n">
        <f aca="false">IF(Matrice_OD!AC40&lt;=Param!$B$2,EXP(-(Matrice_OD!AC40^2)/Param!$B$5),0)</f>
        <v>0</v>
      </c>
      <c r="AD40" s="0" t="n">
        <f aca="false">IF(Matrice_OD!AD40&lt;=Param!$B$2,EXP(-(Matrice_OD!AD40^2)/Param!$B$5),0)</f>
        <v>0</v>
      </c>
      <c r="AE40" s="0" t="n">
        <f aca="false">IF(Matrice_OD!AE40&lt;=Param!$B$2,EXP(-(Matrice_OD!AE40^2)/Param!$B$5),0)</f>
        <v>0</v>
      </c>
      <c r="AF40" s="0" t="n">
        <f aca="false">IF(Matrice_OD!AF40&lt;=Param!$B$2,EXP(-(Matrice_OD!AF40^2)/Param!$B$5),0)</f>
        <v>0</v>
      </c>
      <c r="AG40" s="0" t="n">
        <f aca="false">IF(Matrice_OD!AG40&lt;=Param!$B$2,EXP(-(Matrice_OD!AG40^2)/Param!$B$5),0)</f>
        <v>0.0636161500460294</v>
      </c>
      <c r="AH40" s="0" t="n">
        <f aca="false">IF(Matrice_OD!AH40&lt;=Param!$B$2,EXP(-(Matrice_OD!AH40^2)/Param!$B$5),0)</f>
        <v>0</v>
      </c>
      <c r="AI40" s="0" t="n">
        <f aca="false">IF(Matrice_OD!AI40&lt;=Param!$B$2,EXP(-(Matrice_OD!AI40^2)/Param!$B$5),0)</f>
        <v>0</v>
      </c>
      <c r="AJ40" s="0" t="n">
        <f aca="false">IF(Matrice_OD!AJ40&lt;=Param!$B$2,EXP(-(Matrice_OD!AJ40^2)/Param!$B$5),0)</f>
        <v>0</v>
      </c>
      <c r="AK40" s="0" t="n">
        <f aca="false">IF(Matrice_OD!AK40&lt;=Param!$B$2,EXP(-(Matrice_OD!AK40^2)/Param!$B$5),0)</f>
        <v>0</v>
      </c>
      <c r="AL40" s="0" t="n">
        <f aca="false">IF(Matrice_OD!AL40&lt;=Param!$B$2,EXP(-(Matrice_OD!AL40^2)/Param!$B$5),0)</f>
        <v>0</v>
      </c>
      <c r="AM40" s="0" t="n">
        <f aca="false">IF(Matrice_OD!AM40&lt;=Param!$B$2,EXP(-(Matrice_OD!AM40^2)/Param!$B$5),0)</f>
        <v>0.0865848632375855</v>
      </c>
      <c r="AN40" s="0" t="n">
        <f aca="false">IF(Matrice_OD!AN40&lt;=Param!$B$2,EXP(-(Matrice_OD!AN40^2)/Param!$B$5),0)</f>
        <v>0.18705864227078</v>
      </c>
    </row>
    <row r="41" customFormat="false" ht="15" hidden="false" customHeight="true" outlineLevel="0" collapsed="false">
      <c r="A41" s="0" t="s">
        <v>180</v>
      </c>
      <c r="B41" s="0" t="s">
        <v>181</v>
      </c>
      <c r="C41" s="0" t="n">
        <f aca="false">IF(Matrice_OD!C41&lt;=Param!$B$2,EXP(-(Matrice_OD!C41^2)/Param!$B$5),0)</f>
        <v>0.0488517108390952</v>
      </c>
      <c r="D41" s="0" t="n">
        <f aca="false">IF(Matrice_OD!D41&lt;=Param!$B$2,EXP(-(Matrice_OD!D41^2)/Param!$B$5),0)</f>
        <v>0</v>
      </c>
      <c r="E41" s="0" t="n">
        <f aca="false">IF(Matrice_OD!E41&lt;=Param!$B$2,EXP(-(Matrice_OD!E41^2)/Param!$B$5),0)</f>
        <v>0</v>
      </c>
      <c r="F41" s="0" t="n">
        <f aca="false">IF(Matrice_OD!F41&lt;=Param!$B$2,EXP(-(Matrice_OD!F41^2)/Param!$B$5),0)</f>
        <v>0</v>
      </c>
      <c r="G41" s="0" t="n">
        <f aca="false">IF(Matrice_OD!G41&lt;=Param!$B$2,EXP(-(Matrice_OD!G41^2)/Param!$B$5),0)</f>
        <v>0</v>
      </c>
      <c r="H41" s="0" t="n">
        <f aca="false">IF(Matrice_OD!H41&lt;=Param!$B$2,EXP(-(Matrice_OD!H41^2)/Param!$B$5),0)</f>
        <v>0</v>
      </c>
      <c r="I41" s="0" t="n">
        <f aca="false">IF(Matrice_OD!I41&lt;=Param!$B$2,EXP(-(Matrice_OD!I41^2)/Param!$B$5),0)</f>
        <v>0</v>
      </c>
      <c r="J41" s="0" t="n">
        <f aca="false">IF(Matrice_OD!J41&lt;=Param!$B$2,EXP(-(Matrice_OD!J41^2)/Param!$B$5),0)</f>
        <v>0</v>
      </c>
      <c r="K41" s="0" t="n">
        <f aca="false">IF(Matrice_OD!K41&lt;=Param!$B$2,EXP(-(Matrice_OD!K41^2)/Param!$B$5),0)</f>
        <v>0</v>
      </c>
      <c r="L41" s="0" t="n">
        <f aca="false">IF(Matrice_OD!L41&lt;=Param!$B$2,EXP(-(Matrice_OD!L41^2)/Param!$B$5),0)</f>
        <v>0</v>
      </c>
      <c r="M41" s="0" t="n">
        <f aca="false">IF(Matrice_OD!M41&lt;=Param!$B$2,EXP(-(Matrice_OD!M41^2)/Param!$B$5),0)</f>
        <v>0</v>
      </c>
      <c r="N41" s="0" t="n">
        <f aca="false">IF(Matrice_OD!N41&lt;=Param!$B$2,EXP(-(Matrice_OD!N41^2)/Param!$B$5),0)</f>
        <v>0</v>
      </c>
      <c r="O41" s="0" t="n">
        <f aca="false">IF(Matrice_OD!O41&lt;=Param!$B$2,EXP(-(Matrice_OD!O41^2)/Param!$B$5),0)</f>
        <v>0</v>
      </c>
      <c r="P41" s="0" t="n">
        <f aca="false">IF(Matrice_OD!P41&lt;=Param!$B$2,EXP(-(Matrice_OD!P41^2)/Param!$B$5),0)</f>
        <v>0</v>
      </c>
      <c r="Q41" s="0" t="n">
        <f aca="false">IF(Matrice_OD!Q41&lt;=Param!$B$2,EXP(-(Matrice_OD!Q41^2)/Param!$B$5),0)</f>
        <v>0</v>
      </c>
      <c r="R41" s="0" t="n">
        <f aca="false">IF(Matrice_OD!R41&lt;=Param!$B$2,EXP(-(Matrice_OD!R41^2)/Param!$B$5),0)</f>
        <v>0</v>
      </c>
      <c r="S41" s="0" t="n">
        <f aca="false">IF(Matrice_OD!S41&lt;=Param!$B$2,EXP(-(Matrice_OD!S41^2)/Param!$B$5),0)</f>
        <v>0</v>
      </c>
      <c r="T41" s="0" t="n">
        <f aca="false">IF(Matrice_OD!T41&lt;=Param!$B$2,EXP(-(Matrice_OD!T41^2)/Param!$B$5),0)</f>
        <v>0</v>
      </c>
      <c r="U41" s="0" t="n">
        <f aca="false">IF(Matrice_OD!U41&lt;=Param!$B$2,EXP(-(Matrice_OD!U41^2)/Param!$B$5),0)</f>
        <v>0</v>
      </c>
      <c r="V41" s="0" t="n">
        <f aca="false">IF(Matrice_OD!V41&lt;=Param!$B$2,EXP(-(Matrice_OD!V41^2)/Param!$B$5),0)</f>
        <v>0</v>
      </c>
      <c r="W41" s="0" t="n">
        <f aca="false">IF(Matrice_OD!W41&lt;=Param!$B$2,EXP(-(Matrice_OD!W41^2)/Param!$B$5),0)</f>
        <v>0</v>
      </c>
      <c r="X41" s="0" t="n">
        <f aca="false">IF(Matrice_OD!X41&lt;=Param!$B$2,EXP(-(Matrice_OD!X41^2)/Param!$B$5),0)</f>
        <v>0</v>
      </c>
      <c r="Y41" s="0" t="n">
        <f aca="false">IF(Matrice_OD!Y41&lt;=Param!$B$2,EXP(-(Matrice_OD!Y41^2)/Param!$B$5),0)</f>
        <v>0</v>
      </c>
      <c r="Z41" s="0" t="n">
        <f aca="false">IF(Matrice_OD!Z41&lt;=Param!$B$2,EXP(-(Matrice_OD!Z41^2)/Param!$B$5),0)</f>
        <v>0</v>
      </c>
      <c r="AA41" s="0" t="n">
        <f aca="false">IF(Matrice_OD!AA41&lt;=Param!$B$2,EXP(-(Matrice_OD!AA41^2)/Param!$B$5),0)</f>
        <v>0</v>
      </c>
      <c r="AB41" s="0" t="n">
        <f aca="false">IF(Matrice_OD!AB41&lt;=Param!$B$2,EXP(-(Matrice_OD!AB41^2)/Param!$B$5),0)</f>
        <v>0</v>
      </c>
      <c r="AC41" s="0" t="n">
        <f aca="false">IF(Matrice_OD!AC41&lt;=Param!$B$2,EXP(-(Matrice_OD!AC41^2)/Param!$B$5),0)</f>
        <v>0</v>
      </c>
      <c r="AD41" s="0" t="n">
        <f aca="false">IF(Matrice_OD!AD41&lt;=Param!$B$2,EXP(-(Matrice_OD!AD41^2)/Param!$B$5),0)</f>
        <v>0</v>
      </c>
      <c r="AE41" s="0" t="n">
        <f aca="false">IF(Matrice_OD!AE41&lt;=Param!$B$2,EXP(-(Matrice_OD!AE41^2)/Param!$B$5),0)</f>
        <v>0</v>
      </c>
      <c r="AF41" s="0" t="n">
        <f aca="false">IF(Matrice_OD!AF41&lt;=Param!$B$2,EXP(-(Matrice_OD!AF41^2)/Param!$B$5),0)</f>
        <v>0</v>
      </c>
      <c r="AG41" s="0" t="n">
        <f aca="false">IF(Matrice_OD!AG41&lt;=Param!$B$2,EXP(-(Matrice_OD!AG41^2)/Param!$B$5),0)</f>
        <v>0.0399452174914945</v>
      </c>
      <c r="AH41" s="0" t="n">
        <f aca="false">IF(Matrice_OD!AH41&lt;=Param!$B$2,EXP(-(Matrice_OD!AH41^2)/Param!$B$5),0)</f>
        <v>0</v>
      </c>
      <c r="AI41" s="0" t="n">
        <f aca="false">IF(Matrice_OD!AI41&lt;=Param!$B$2,EXP(-(Matrice_OD!AI41^2)/Param!$B$5),0)</f>
        <v>0</v>
      </c>
      <c r="AJ41" s="0" t="n">
        <f aca="false">IF(Matrice_OD!AJ41&lt;=Param!$B$2,EXP(-(Matrice_OD!AJ41^2)/Param!$B$5),0)</f>
        <v>0</v>
      </c>
      <c r="AK41" s="0" t="n">
        <f aca="false">IF(Matrice_OD!AK41&lt;=Param!$B$2,EXP(-(Matrice_OD!AK41^2)/Param!$B$5),0)</f>
        <v>0</v>
      </c>
      <c r="AL41" s="0" t="n">
        <f aca="false">IF(Matrice_OD!AL41&lt;=Param!$B$2,EXP(-(Matrice_OD!AL41^2)/Param!$B$5),0)</f>
        <v>0</v>
      </c>
      <c r="AM41" s="0" t="n">
        <f aca="false">IF(Matrice_OD!AM41&lt;=Param!$B$2,EXP(-(Matrice_OD!AM41^2)/Param!$B$5),0)</f>
        <v>0.0426155307062261</v>
      </c>
      <c r="AN41" s="0" t="n">
        <f aca="false">IF(Matrice_OD!AN41&lt;=Param!$B$2,EXP(-(Matrice_OD!AN41^2)/Param!$B$5),0)</f>
        <v>0.0226940031658278</v>
      </c>
    </row>
    <row r="42" customFormat="false" ht="15" hidden="false" customHeight="true" outlineLevel="0" collapsed="false">
      <c r="A42" s="0" t="s">
        <v>182</v>
      </c>
      <c r="B42" s="0" t="s">
        <v>183</v>
      </c>
      <c r="C42" s="0" t="n">
        <f aca="false">IF(Matrice_OD!C42&lt;=Param!$B$2,EXP(-(Matrice_OD!C42^2)/Param!$B$5),0)</f>
        <v>0.0454345025850746</v>
      </c>
      <c r="D42" s="0" t="n">
        <f aca="false">IF(Matrice_OD!D42&lt;=Param!$B$2,EXP(-(Matrice_OD!D42^2)/Param!$B$5),0)</f>
        <v>0</v>
      </c>
      <c r="E42" s="0" t="n">
        <f aca="false">IF(Matrice_OD!E42&lt;=Param!$B$2,EXP(-(Matrice_OD!E42^2)/Param!$B$5),0)</f>
        <v>0</v>
      </c>
      <c r="F42" s="0" t="n">
        <f aca="false">IF(Matrice_OD!F42&lt;=Param!$B$2,EXP(-(Matrice_OD!F42^2)/Param!$B$5),0)</f>
        <v>0</v>
      </c>
      <c r="G42" s="0" t="n">
        <f aca="false">IF(Matrice_OD!G42&lt;=Param!$B$2,EXP(-(Matrice_OD!G42^2)/Param!$B$5),0)</f>
        <v>0</v>
      </c>
      <c r="H42" s="0" t="n">
        <f aca="false">IF(Matrice_OD!H42&lt;=Param!$B$2,EXP(-(Matrice_OD!H42^2)/Param!$B$5),0)</f>
        <v>0</v>
      </c>
      <c r="I42" s="0" t="n">
        <f aca="false">IF(Matrice_OD!I42&lt;=Param!$B$2,EXP(-(Matrice_OD!I42^2)/Param!$B$5),0)</f>
        <v>0</v>
      </c>
      <c r="J42" s="0" t="n">
        <f aca="false">IF(Matrice_OD!J42&lt;=Param!$B$2,EXP(-(Matrice_OD!J42^2)/Param!$B$5),0)</f>
        <v>0</v>
      </c>
      <c r="K42" s="0" t="n">
        <f aca="false">IF(Matrice_OD!K42&lt;=Param!$B$2,EXP(-(Matrice_OD!K42^2)/Param!$B$5),0)</f>
        <v>0</v>
      </c>
      <c r="L42" s="0" t="n">
        <f aca="false">IF(Matrice_OD!L42&lt;=Param!$B$2,EXP(-(Matrice_OD!L42^2)/Param!$B$5),0)</f>
        <v>0</v>
      </c>
      <c r="M42" s="0" t="n">
        <f aca="false">IF(Matrice_OD!M42&lt;=Param!$B$2,EXP(-(Matrice_OD!M42^2)/Param!$B$5),0)</f>
        <v>0</v>
      </c>
      <c r="N42" s="0" t="n">
        <f aca="false">IF(Matrice_OD!N42&lt;=Param!$B$2,EXP(-(Matrice_OD!N42^2)/Param!$B$5),0)</f>
        <v>0</v>
      </c>
      <c r="O42" s="0" t="n">
        <f aca="false">IF(Matrice_OD!O42&lt;=Param!$B$2,EXP(-(Matrice_OD!O42^2)/Param!$B$5),0)</f>
        <v>0</v>
      </c>
      <c r="P42" s="0" t="n">
        <f aca="false">IF(Matrice_OD!P42&lt;=Param!$B$2,EXP(-(Matrice_OD!P42^2)/Param!$B$5),0)</f>
        <v>0</v>
      </c>
      <c r="Q42" s="0" t="n">
        <f aca="false">IF(Matrice_OD!Q42&lt;=Param!$B$2,EXP(-(Matrice_OD!Q42^2)/Param!$B$5),0)</f>
        <v>0</v>
      </c>
      <c r="R42" s="0" t="n">
        <f aca="false">IF(Matrice_OD!R42&lt;=Param!$B$2,EXP(-(Matrice_OD!R42^2)/Param!$B$5),0)</f>
        <v>0</v>
      </c>
      <c r="S42" s="0" t="n">
        <f aca="false">IF(Matrice_OD!S42&lt;=Param!$B$2,EXP(-(Matrice_OD!S42^2)/Param!$B$5),0)</f>
        <v>0</v>
      </c>
      <c r="T42" s="0" t="n">
        <f aca="false">IF(Matrice_OD!T42&lt;=Param!$B$2,EXP(-(Matrice_OD!T42^2)/Param!$B$5),0)</f>
        <v>0</v>
      </c>
      <c r="U42" s="0" t="n">
        <f aca="false">IF(Matrice_OD!U42&lt;=Param!$B$2,EXP(-(Matrice_OD!U42^2)/Param!$B$5),0)</f>
        <v>0</v>
      </c>
      <c r="V42" s="0" t="n">
        <f aca="false">IF(Matrice_OD!V42&lt;=Param!$B$2,EXP(-(Matrice_OD!V42^2)/Param!$B$5),0)</f>
        <v>0</v>
      </c>
      <c r="W42" s="0" t="n">
        <f aca="false">IF(Matrice_OD!W42&lt;=Param!$B$2,EXP(-(Matrice_OD!W42^2)/Param!$B$5),0)</f>
        <v>0</v>
      </c>
      <c r="X42" s="0" t="n">
        <f aca="false">IF(Matrice_OD!X42&lt;=Param!$B$2,EXP(-(Matrice_OD!X42^2)/Param!$B$5),0)</f>
        <v>0</v>
      </c>
      <c r="Y42" s="0" t="n">
        <f aca="false">IF(Matrice_OD!Y42&lt;=Param!$B$2,EXP(-(Matrice_OD!Y42^2)/Param!$B$5),0)</f>
        <v>0</v>
      </c>
      <c r="Z42" s="0" t="n">
        <f aca="false">IF(Matrice_OD!Z42&lt;=Param!$B$2,EXP(-(Matrice_OD!Z42^2)/Param!$B$5),0)</f>
        <v>0</v>
      </c>
      <c r="AA42" s="0" t="n">
        <f aca="false">IF(Matrice_OD!AA42&lt;=Param!$B$2,EXP(-(Matrice_OD!AA42^2)/Param!$B$5),0)</f>
        <v>0</v>
      </c>
      <c r="AB42" s="0" t="n">
        <f aca="false">IF(Matrice_OD!AB42&lt;=Param!$B$2,EXP(-(Matrice_OD!AB42^2)/Param!$B$5),0)</f>
        <v>0</v>
      </c>
      <c r="AC42" s="0" t="n">
        <f aca="false">IF(Matrice_OD!AC42&lt;=Param!$B$2,EXP(-(Matrice_OD!AC42^2)/Param!$B$5),0)</f>
        <v>0</v>
      </c>
      <c r="AD42" s="0" t="n">
        <f aca="false">IF(Matrice_OD!AD42&lt;=Param!$B$2,EXP(-(Matrice_OD!AD42^2)/Param!$B$5),0)</f>
        <v>0</v>
      </c>
      <c r="AE42" s="0" t="n">
        <f aca="false">IF(Matrice_OD!AE42&lt;=Param!$B$2,EXP(-(Matrice_OD!AE42^2)/Param!$B$5),0)</f>
        <v>0</v>
      </c>
      <c r="AF42" s="0" t="n">
        <f aca="false">IF(Matrice_OD!AF42&lt;=Param!$B$2,EXP(-(Matrice_OD!AF42^2)/Param!$B$5),0)</f>
        <v>0</v>
      </c>
      <c r="AG42" s="0" t="n">
        <f aca="false">IF(Matrice_OD!AG42&lt;=Param!$B$2,EXP(-(Matrice_OD!AG42^2)/Param!$B$5),0)</f>
        <v>0.0191135782997942</v>
      </c>
      <c r="AH42" s="0" t="n">
        <f aca="false">IF(Matrice_OD!AH42&lt;=Param!$B$2,EXP(-(Matrice_OD!AH42^2)/Param!$B$5),0)</f>
        <v>0</v>
      </c>
      <c r="AI42" s="0" t="n">
        <f aca="false">IF(Matrice_OD!AI42&lt;=Param!$B$2,EXP(-(Matrice_OD!AI42^2)/Param!$B$5),0)</f>
        <v>0</v>
      </c>
      <c r="AJ42" s="0" t="n">
        <f aca="false">IF(Matrice_OD!AJ42&lt;=Param!$B$2,EXP(-(Matrice_OD!AJ42^2)/Param!$B$5),0)</f>
        <v>0</v>
      </c>
      <c r="AK42" s="0" t="n">
        <f aca="false">IF(Matrice_OD!AK42&lt;=Param!$B$2,EXP(-(Matrice_OD!AK42^2)/Param!$B$5),0)</f>
        <v>0</v>
      </c>
      <c r="AL42" s="0" t="n">
        <f aca="false">IF(Matrice_OD!AL42&lt;=Param!$B$2,EXP(-(Matrice_OD!AL42^2)/Param!$B$5),0)</f>
        <v>0</v>
      </c>
      <c r="AM42" s="0" t="n">
        <f aca="false">IF(Matrice_OD!AM42&lt;=Param!$B$2,EXP(-(Matrice_OD!AM42^2)/Param!$B$5),0)</f>
        <v>0.0394690606194177</v>
      </c>
      <c r="AN42" s="0" t="n">
        <f aca="false">IF(Matrice_OD!AN42&lt;=Param!$B$2,EXP(-(Matrice_OD!AN42^2)/Param!$B$5),0)</f>
        <v>0.0688707112173117</v>
      </c>
    </row>
    <row r="43" customFormat="false" ht="15" hidden="false" customHeight="true" outlineLevel="0" collapsed="false">
      <c r="A43" s="0" t="s">
        <v>184</v>
      </c>
      <c r="B43" s="0" t="s">
        <v>185</v>
      </c>
      <c r="C43" s="0" t="n">
        <f aca="false">IF(Matrice_OD!C43&lt;=Param!$B$2,EXP(-(Matrice_OD!C43^2)/Param!$B$5),0)</f>
        <v>0</v>
      </c>
      <c r="D43" s="0" t="n">
        <f aca="false">IF(Matrice_OD!D43&lt;=Param!$B$2,EXP(-(Matrice_OD!D43^2)/Param!$B$5),0)</f>
        <v>0</v>
      </c>
      <c r="E43" s="0" t="n">
        <f aca="false">IF(Matrice_OD!E43&lt;=Param!$B$2,EXP(-(Matrice_OD!E43^2)/Param!$B$5),0)</f>
        <v>0</v>
      </c>
      <c r="F43" s="0" t="n">
        <f aca="false">IF(Matrice_OD!F43&lt;=Param!$B$2,EXP(-(Matrice_OD!F43^2)/Param!$B$5),0)</f>
        <v>0</v>
      </c>
      <c r="G43" s="0" t="n">
        <f aca="false">IF(Matrice_OD!G43&lt;=Param!$B$2,EXP(-(Matrice_OD!G43^2)/Param!$B$5),0)</f>
        <v>0</v>
      </c>
      <c r="H43" s="0" t="n">
        <f aca="false">IF(Matrice_OD!H43&lt;=Param!$B$2,EXP(-(Matrice_OD!H43^2)/Param!$B$5),0)</f>
        <v>0</v>
      </c>
      <c r="I43" s="0" t="n">
        <f aca="false">IF(Matrice_OD!I43&lt;=Param!$B$2,EXP(-(Matrice_OD!I43^2)/Param!$B$5),0)</f>
        <v>0</v>
      </c>
      <c r="J43" s="0" t="n">
        <f aca="false">IF(Matrice_OD!J43&lt;=Param!$B$2,EXP(-(Matrice_OD!J43^2)/Param!$B$5),0)</f>
        <v>0</v>
      </c>
      <c r="K43" s="0" t="n">
        <f aca="false">IF(Matrice_OD!K43&lt;=Param!$B$2,EXP(-(Matrice_OD!K43^2)/Param!$B$5),0)</f>
        <v>0</v>
      </c>
      <c r="L43" s="0" t="n">
        <f aca="false">IF(Matrice_OD!L43&lt;=Param!$B$2,EXP(-(Matrice_OD!L43^2)/Param!$B$5),0)</f>
        <v>0</v>
      </c>
      <c r="M43" s="0" t="n">
        <f aca="false">IF(Matrice_OD!M43&lt;=Param!$B$2,EXP(-(Matrice_OD!M43^2)/Param!$B$5),0)</f>
        <v>0</v>
      </c>
      <c r="N43" s="0" t="n">
        <f aca="false">IF(Matrice_OD!N43&lt;=Param!$B$2,EXP(-(Matrice_OD!N43^2)/Param!$B$5),0)</f>
        <v>0</v>
      </c>
      <c r="O43" s="0" t="n">
        <f aca="false">IF(Matrice_OD!O43&lt;=Param!$B$2,EXP(-(Matrice_OD!O43^2)/Param!$B$5),0)</f>
        <v>0</v>
      </c>
      <c r="P43" s="0" t="n">
        <f aca="false">IF(Matrice_OD!P43&lt;=Param!$B$2,EXP(-(Matrice_OD!P43^2)/Param!$B$5),0)</f>
        <v>0</v>
      </c>
      <c r="Q43" s="0" t="n">
        <f aca="false">IF(Matrice_OD!Q43&lt;=Param!$B$2,EXP(-(Matrice_OD!Q43^2)/Param!$B$5),0)</f>
        <v>0</v>
      </c>
      <c r="R43" s="0" t="n">
        <f aca="false">IF(Matrice_OD!R43&lt;=Param!$B$2,EXP(-(Matrice_OD!R43^2)/Param!$B$5),0)</f>
        <v>0</v>
      </c>
      <c r="S43" s="0" t="n">
        <f aca="false">IF(Matrice_OD!S43&lt;=Param!$B$2,EXP(-(Matrice_OD!S43^2)/Param!$B$5),0)</f>
        <v>0</v>
      </c>
      <c r="T43" s="0" t="n">
        <f aca="false">IF(Matrice_OD!T43&lt;=Param!$B$2,EXP(-(Matrice_OD!T43^2)/Param!$B$5),0)</f>
        <v>0</v>
      </c>
      <c r="U43" s="0" t="n">
        <f aca="false">IF(Matrice_OD!U43&lt;=Param!$B$2,EXP(-(Matrice_OD!U43^2)/Param!$B$5),0)</f>
        <v>0</v>
      </c>
      <c r="V43" s="0" t="n">
        <f aca="false">IF(Matrice_OD!V43&lt;=Param!$B$2,EXP(-(Matrice_OD!V43^2)/Param!$B$5),0)</f>
        <v>0</v>
      </c>
      <c r="W43" s="0" t="n">
        <f aca="false">IF(Matrice_OD!W43&lt;=Param!$B$2,EXP(-(Matrice_OD!W43^2)/Param!$B$5),0)</f>
        <v>0</v>
      </c>
      <c r="X43" s="0" t="n">
        <f aca="false">IF(Matrice_OD!X43&lt;=Param!$B$2,EXP(-(Matrice_OD!X43^2)/Param!$B$5),0)</f>
        <v>0</v>
      </c>
      <c r="Y43" s="0" t="n">
        <f aca="false">IF(Matrice_OD!Y43&lt;=Param!$B$2,EXP(-(Matrice_OD!Y43^2)/Param!$B$5),0)</f>
        <v>0</v>
      </c>
      <c r="Z43" s="0" t="n">
        <f aca="false">IF(Matrice_OD!Z43&lt;=Param!$B$2,EXP(-(Matrice_OD!Z43^2)/Param!$B$5),0)</f>
        <v>0</v>
      </c>
      <c r="AA43" s="0" t="n">
        <f aca="false">IF(Matrice_OD!AA43&lt;=Param!$B$2,EXP(-(Matrice_OD!AA43^2)/Param!$B$5),0)</f>
        <v>0</v>
      </c>
      <c r="AB43" s="0" t="n">
        <f aca="false">IF(Matrice_OD!AB43&lt;=Param!$B$2,EXP(-(Matrice_OD!AB43^2)/Param!$B$5),0)</f>
        <v>0</v>
      </c>
      <c r="AC43" s="0" t="n">
        <f aca="false">IF(Matrice_OD!AC43&lt;=Param!$B$2,EXP(-(Matrice_OD!AC43^2)/Param!$B$5),0)</f>
        <v>0</v>
      </c>
      <c r="AD43" s="0" t="n">
        <f aca="false">IF(Matrice_OD!AD43&lt;=Param!$B$2,EXP(-(Matrice_OD!AD43^2)/Param!$B$5),0)</f>
        <v>0</v>
      </c>
      <c r="AE43" s="0" t="n">
        <f aca="false">IF(Matrice_OD!AE43&lt;=Param!$B$2,EXP(-(Matrice_OD!AE43^2)/Param!$B$5),0)</f>
        <v>0</v>
      </c>
      <c r="AF43" s="0" t="n">
        <f aca="false">IF(Matrice_OD!AF43&lt;=Param!$B$2,EXP(-(Matrice_OD!AF43^2)/Param!$B$5),0)</f>
        <v>0</v>
      </c>
      <c r="AG43" s="0" t="n">
        <f aca="false">IF(Matrice_OD!AG43&lt;=Param!$B$2,EXP(-(Matrice_OD!AG43^2)/Param!$B$5),0)</f>
        <v>0.159218835942544</v>
      </c>
      <c r="AH43" s="0" t="n">
        <f aca="false">IF(Matrice_OD!AH43&lt;=Param!$B$2,EXP(-(Matrice_OD!AH43^2)/Param!$B$5),0)</f>
        <v>0</v>
      </c>
      <c r="AI43" s="0" t="n">
        <f aca="false">IF(Matrice_OD!AI43&lt;=Param!$B$2,EXP(-(Matrice_OD!AI43^2)/Param!$B$5),0)</f>
        <v>0</v>
      </c>
      <c r="AJ43" s="0" t="n">
        <f aca="false">IF(Matrice_OD!AJ43&lt;=Param!$B$2,EXP(-(Matrice_OD!AJ43^2)/Param!$B$5),0)</f>
        <v>0</v>
      </c>
      <c r="AK43" s="0" t="n">
        <f aca="false">IF(Matrice_OD!AK43&lt;=Param!$B$2,EXP(-(Matrice_OD!AK43^2)/Param!$B$5),0)</f>
        <v>0</v>
      </c>
      <c r="AL43" s="0" t="n">
        <f aca="false">IF(Matrice_OD!AL43&lt;=Param!$B$2,EXP(-(Matrice_OD!AL43^2)/Param!$B$5),0)</f>
        <v>0</v>
      </c>
      <c r="AM43" s="0" t="n">
        <f aca="false">IF(Matrice_OD!AM43&lt;=Param!$B$2,EXP(-(Matrice_OD!AM43^2)/Param!$B$5),0)</f>
        <v>0</v>
      </c>
      <c r="AN43" s="0" t="n">
        <f aca="false">IF(Matrice_OD!AN43&lt;=Param!$B$2,EXP(-(Matrice_OD!AN43^2)/Param!$B$5),0)</f>
        <v>0.0809256916248691</v>
      </c>
    </row>
    <row r="44" customFormat="false" ht="15" hidden="false" customHeight="true" outlineLevel="0" collapsed="false">
      <c r="A44" s="0" t="s">
        <v>186</v>
      </c>
      <c r="B44" s="0" t="s">
        <v>187</v>
      </c>
      <c r="C44" s="0" t="n">
        <f aca="false">IF(Matrice_OD!C44&lt;=Param!$B$2,EXP(-(Matrice_OD!C44^2)/Param!$B$5),0)</f>
        <v>0</v>
      </c>
      <c r="D44" s="0" t="n">
        <f aca="false">IF(Matrice_OD!D44&lt;=Param!$B$2,EXP(-(Matrice_OD!D44^2)/Param!$B$5),0)</f>
        <v>0</v>
      </c>
      <c r="E44" s="0" t="n">
        <f aca="false">IF(Matrice_OD!E44&lt;=Param!$B$2,EXP(-(Matrice_OD!E44^2)/Param!$B$5),0)</f>
        <v>0</v>
      </c>
      <c r="F44" s="0" t="n">
        <f aca="false">IF(Matrice_OD!F44&lt;=Param!$B$2,EXP(-(Matrice_OD!F44^2)/Param!$B$5),0)</f>
        <v>0</v>
      </c>
      <c r="G44" s="0" t="n">
        <f aca="false">IF(Matrice_OD!G44&lt;=Param!$B$2,EXP(-(Matrice_OD!G44^2)/Param!$B$5),0)</f>
        <v>0</v>
      </c>
      <c r="H44" s="0" t="n">
        <f aca="false">IF(Matrice_OD!H44&lt;=Param!$B$2,EXP(-(Matrice_OD!H44^2)/Param!$B$5),0)</f>
        <v>0</v>
      </c>
      <c r="I44" s="0" t="n">
        <f aca="false">IF(Matrice_OD!I44&lt;=Param!$B$2,EXP(-(Matrice_OD!I44^2)/Param!$B$5),0)</f>
        <v>0</v>
      </c>
      <c r="J44" s="0" t="n">
        <f aca="false">IF(Matrice_OD!J44&lt;=Param!$B$2,EXP(-(Matrice_OD!J44^2)/Param!$B$5),0)</f>
        <v>0</v>
      </c>
      <c r="K44" s="0" t="n">
        <f aca="false">IF(Matrice_OD!K44&lt;=Param!$B$2,EXP(-(Matrice_OD!K44^2)/Param!$B$5),0)</f>
        <v>0</v>
      </c>
      <c r="L44" s="0" t="n">
        <f aca="false">IF(Matrice_OD!L44&lt;=Param!$B$2,EXP(-(Matrice_OD!L44^2)/Param!$B$5),0)</f>
        <v>0</v>
      </c>
      <c r="M44" s="0" t="n">
        <f aca="false">IF(Matrice_OD!M44&lt;=Param!$B$2,EXP(-(Matrice_OD!M44^2)/Param!$B$5),0)</f>
        <v>0</v>
      </c>
      <c r="N44" s="0" t="n">
        <f aca="false">IF(Matrice_OD!N44&lt;=Param!$B$2,EXP(-(Matrice_OD!N44^2)/Param!$B$5),0)</f>
        <v>0</v>
      </c>
      <c r="O44" s="0" t="n">
        <f aca="false">IF(Matrice_OD!O44&lt;=Param!$B$2,EXP(-(Matrice_OD!O44^2)/Param!$B$5),0)</f>
        <v>0</v>
      </c>
      <c r="P44" s="0" t="n">
        <f aca="false">IF(Matrice_OD!P44&lt;=Param!$B$2,EXP(-(Matrice_OD!P44^2)/Param!$B$5),0)</f>
        <v>0</v>
      </c>
      <c r="Q44" s="0" t="n">
        <f aca="false">IF(Matrice_OD!Q44&lt;=Param!$B$2,EXP(-(Matrice_OD!Q44^2)/Param!$B$5),0)</f>
        <v>0</v>
      </c>
      <c r="R44" s="0" t="n">
        <f aca="false">IF(Matrice_OD!R44&lt;=Param!$B$2,EXP(-(Matrice_OD!R44^2)/Param!$B$5),0)</f>
        <v>0</v>
      </c>
      <c r="S44" s="0" t="n">
        <f aca="false">IF(Matrice_OD!S44&lt;=Param!$B$2,EXP(-(Matrice_OD!S44^2)/Param!$B$5),0)</f>
        <v>0</v>
      </c>
      <c r="T44" s="0" t="n">
        <f aca="false">IF(Matrice_OD!T44&lt;=Param!$B$2,EXP(-(Matrice_OD!T44^2)/Param!$B$5),0)</f>
        <v>0</v>
      </c>
      <c r="U44" s="0" t="n">
        <f aca="false">IF(Matrice_OD!U44&lt;=Param!$B$2,EXP(-(Matrice_OD!U44^2)/Param!$B$5),0)</f>
        <v>0</v>
      </c>
      <c r="V44" s="0" t="n">
        <f aca="false">IF(Matrice_OD!V44&lt;=Param!$B$2,EXP(-(Matrice_OD!V44^2)/Param!$B$5),0)</f>
        <v>0</v>
      </c>
      <c r="W44" s="0" t="n">
        <f aca="false">IF(Matrice_OD!W44&lt;=Param!$B$2,EXP(-(Matrice_OD!W44^2)/Param!$B$5),0)</f>
        <v>0</v>
      </c>
      <c r="X44" s="0" t="n">
        <f aca="false">IF(Matrice_OD!X44&lt;=Param!$B$2,EXP(-(Matrice_OD!X44^2)/Param!$B$5),0)</f>
        <v>0</v>
      </c>
      <c r="Y44" s="0" t="n">
        <f aca="false">IF(Matrice_OD!Y44&lt;=Param!$B$2,EXP(-(Matrice_OD!Y44^2)/Param!$B$5),0)</f>
        <v>0</v>
      </c>
      <c r="Z44" s="0" t="n">
        <f aca="false">IF(Matrice_OD!Z44&lt;=Param!$B$2,EXP(-(Matrice_OD!Z44^2)/Param!$B$5),0)</f>
        <v>0</v>
      </c>
      <c r="AA44" s="0" t="n">
        <f aca="false">IF(Matrice_OD!AA44&lt;=Param!$B$2,EXP(-(Matrice_OD!AA44^2)/Param!$B$5),0)</f>
        <v>0</v>
      </c>
      <c r="AB44" s="0" t="n">
        <f aca="false">IF(Matrice_OD!AB44&lt;=Param!$B$2,EXP(-(Matrice_OD!AB44^2)/Param!$B$5),0)</f>
        <v>0</v>
      </c>
      <c r="AC44" s="0" t="n">
        <f aca="false">IF(Matrice_OD!AC44&lt;=Param!$B$2,EXP(-(Matrice_OD!AC44^2)/Param!$B$5),0)</f>
        <v>0</v>
      </c>
      <c r="AD44" s="0" t="n">
        <f aca="false">IF(Matrice_OD!AD44&lt;=Param!$B$2,EXP(-(Matrice_OD!AD44^2)/Param!$B$5),0)</f>
        <v>0</v>
      </c>
      <c r="AE44" s="0" t="n">
        <f aca="false">IF(Matrice_OD!AE44&lt;=Param!$B$2,EXP(-(Matrice_OD!AE44^2)/Param!$B$5),0)</f>
        <v>0</v>
      </c>
      <c r="AF44" s="0" t="n">
        <f aca="false">IF(Matrice_OD!AF44&lt;=Param!$B$2,EXP(-(Matrice_OD!AF44^2)/Param!$B$5),0)</f>
        <v>0</v>
      </c>
      <c r="AG44" s="0" t="n">
        <f aca="false">IF(Matrice_OD!AG44&lt;=Param!$B$2,EXP(-(Matrice_OD!AG44^2)/Param!$B$5),0)</f>
        <v>0.0991317877326102</v>
      </c>
      <c r="AH44" s="0" t="n">
        <f aca="false">IF(Matrice_OD!AH44&lt;=Param!$B$2,EXP(-(Matrice_OD!AH44^2)/Param!$B$5),0)</f>
        <v>0</v>
      </c>
      <c r="AI44" s="0" t="n">
        <f aca="false">IF(Matrice_OD!AI44&lt;=Param!$B$2,EXP(-(Matrice_OD!AI44^2)/Param!$B$5),0)</f>
        <v>0</v>
      </c>
      <c r="AJ44" s="0" t="n">
        <f aca="false">IF(Matrice_OD!AJ44&lt;=Param!$B$2,EXP(-(Matrice_OD!AJ44^2)/Param!$B$5),0)</f>
        <v>0</v>
      </c>
      <c r="AK44" s="0" t="n">
        <f aca="false">IF(Matrice_OD!AK44&lt;=Param!$B$2,EXP(-(Matrice_OD!AK44^2)/Param!$B$5),0)</f>
        <v>0</v>
      </c>
      <c r="AL44" s="0" t="n">
        <f aca="false">IF(Matrice_OD!AL44&lt;=Param!$B$2,EXP(-(Matrice_OD!AL44^2)/Param!$B$5),0)</f>
        <v>0</v>
      </c>
      <c r="AM44" s="0" t="n">
        <f aca="false">IF(Matrice_OD!AM44&lt;=Param!$B$2,EXP(-(Matrice_OD!AM44^2)/Param!$B$5),0)</f>
        <v>0</v>
      </c>
      <c r="AN44" s="0" t="n">
        <f aca="false">IF(Matrice_OD!AN44&lt;=Param!$B$2,EXP(-(Matrice_OD!AN44^2)/Param!$B$5),0)</f>
        <v>0.384537122022325</v>
      </c>
    </row>
    <row r="45" customFormat="false" ht="15" hidden="false" customHeight="true" outlineLevel="0" collapsed="false">
      <c r="A45" s="0" t="s">
        <v>188</v>
      </c>
      <c r="B45" s="0" t="s">
        <v>189</v>
      </c>
      <c r="C45" s="0" t="n">
        <f aca="false">IF(Matrice_OD!C45&lt;=Param!$B$2,EXP(-(Matrice_OD!C45^2)/Param!$B$5),0)</f>
        <v>0</v>
      </c>
      <c r="D45" s="0" t="n">
        <f aca="false">IF(Matrice_OD!D45&lt;=Param!$B$2,EXP(-(Matrice_OD!D45^2)/Param!$B$5),0)</f>
        <v>0</v>
      </c>
      <c r="E45" s="0" t="n">
        <f aca="false">IF(Matrice_OD!E45&lt;=Param!$B$2,EXP(-(Matrice_OD!E45^2)/Param!$B$5),0)</f>
        <v>0</v>
      </c>
      <c r="F45" s="0" t="n">
        <f aca="false">IF(Matrice_OD!F45&lt;=Param!$B$2,EXP(-(Matrice_OD!F45^2)/Param!$B$5),0)</f>
        <v>0</v>
      </c>
      <c r="G45" s="0" t="n">
        <f aca="false">IF(Matrice_OD!G45&lt;=Param!$B$2,EXP(-(Matrice_OD!G45^2)/Param!$B$5),0)</f>
        <v>0</v>
      </c>
      <c r="H45" s="0" t="n">
        <f aca="false">IF(Matrice_OD!H45&lt;=Param!$B$2,EXP(-(Matrice_OD!H45^2)/Param!$B$5),0)</f>
        <v>0</v>
      </c>
      <c r="I45" s="0" t="n">
        <f aca="false">IF(Matrice_OD!I45&lt;=Param!$B$2,EXP(-(Matrice_OD!I45^2)/Param!$B$5),0)</f>
        <v>0</v>
      </c>
      <c r="J45" s="0" t="n">
        <f aca="false">IF(Matrice_OD!J45&lt;=Param!$B$2,EXP(-(Matrice_OD!J45^2)/Param!$B$5),0)</f>
        <v>0</v>
      </c>
      <c r="K45" s="0" t="n">
        <f aca="false">IF(Matrice_OD!K45&lt;=Param!$B$2,EXP(-(Matrice_OD!K45^2)/Param!$B$5),0)</f>
        <v>0</v>
      </c>
      <c r="L45" s="0" t="n">
        <f aca="false">IF(Matrice_OD!L45&lt;=Param!$B$2,EXP(-(Matrice_OD!L45^2)/Param!$B$5),0)</f>
        <v>0</v>
      </c>
      <c r="M45" s="0" t="n">
        <f aca="false">IF(Matrice_OD!M45&lt;=Param!$B$2,EXP(-(Matrice_OD!M45^2)/Param!$B$5),0)</f>
        <v>0</v>
      </c>
      <c r="N45" s="0" t="n">
        <f aca="false">IF(Matrice_OD!N45&lt;=Param!$B$2,EXP(-(Matrice_OD!N45^2)/Param!$B$5),0)</f>
        <v>0</v>
      </c>
      <c r="O45" s="0" t="n">
        <f aca="false">IF(Matrice_OD!O45&lt;=Param!$B$2,EXP(-(Matrice_OD!O45^2)/Param!$B$5),0)</f>
        <v>0</v>
      </c>
      <c r="P45" s="0" t="n">
        <f aca="false">IF(Matrice_OD!P45&lt;=Param!$B$2,EXP(-(Matrice_OD!P45^2)/Param!$B$5),0)</f>
        <v>0</v>
      </c>
      <c r="Q45" s="0" t="n">
        <f aca="false">IF(Matrice_OD!Q45&lt;=Param!$B$2,EXP(-(Matrice_OD!Q45^2)/Param!$B$5),0)</f>
        <v>0</v>
      </c>
      <c r="R45" s="0" t="n">
        <f aca="false">IF(Matrice_OD!R45&lt;=Param!$B$2,EXP(-(Matrice_OD!R45^2)/Param!$B$5),0)</f>
        <v>0</v>
      </c>
      <c r="S45" s="0" t="n">
        <f aca="false">IF(Matrice_OD!S45&lt;=Param!$B$2,EXP(-(Matrice_OD!S45^2)/Param!$B$5),0)</f>
        <v>0</v>
      </c>
      <c r="T45" s="0" t="n">
        <f aca="false">IF(Matrice_OD!T45&lt;=Param!$B$2,EXP(-(Matrice_OD!T45^2)/Param!$B$5),0)</f>
        <v>0</v>
      </c>
      <c r="U45" s="0" t="n">
        <f aca="false">IF(Matrice_OD!U45&lt;=Param!$B$2,EXP(-(Matrice_OD!U45^2)/Param!$B$5),0)</f>
        <v>0</v>
      </c>
      <c r="V45" s="0" t="n">
        <f aca="false">IF(Matrice_OD!V45&lt;=Param!$B$2,EXP(-(Matrice_OD!V45^2)/Param!$B$5),0)</f>
        <v>0</v>
      </c>
      <c r="W45" s="0" t="n">
        <f aca="false">IF(Matrice_OD!W45&lt;=Param!$B$2,EXP(-(Matrice_OD!W45^2)/Param!$B$5),0)</f>
        <v>0</v>
      </c>
      <c r="X45" s="0" t="n">
        <f aca="false">IF(Matrice_OD!X45&lt;=Param!$B$2,EXP(-(Matrice_OD!X45^2)/Param!$B$5),0)</f>
        <v>0</v>
      </c>
      <c r="Y45" s="0" t="n">
        <f aca="false">IF(Matrice_OD!Y45&lt;=Param!$B$2,EXP(-(Matrice_OD!Y45^2)/Param!$B$5),0)</f>
        <v>0</v>
      </c>
      <c r="Z45" s="0" t="n">
        <f aca="false">IF(Matrice_OD!Z45&lt;=Param!$B$2,EXP(-(Matrice_OD!Z45^2)/Param!$B$5),0)</f>
        <v>0</v>
      </c>
      <c r="AA45" s="0" t="n">
        <f aca="false">IF(Matrice_OD!AA45&lt;=Param!$B$2,EXP(-(Matrice_OD!AA45^2)/Param!$B$5),0)</f>
        <v>0</v>
      </c>
      <c r="AB45" s="0" t="n">
        <f aca="false">IF(Matrice_OD!AB45&lt;=Param!$B$2,EXP(-(Matrice_OD!AB45^2)/Param!$B$5),0)</f>
        <v>0</v>
      </c>
      <c r="AC45" s="0" t="n">
        <f aca="false">IF(Matrice_OD!AC45&lt;=Param!$B$2,EXP(-(Matrice_OD!AC45^2)/Param!$B$5),0)</f>
        <v>0</v>
      </c>
      <c r="AD45" s="0" t="n">
        <f aca="false">IF(Matrice_OD!AD45&lt;=Param!$B$2,EXP(-(Matrice_OD!AD45^2)/Param!$B$5),0)</f>
        <v>0</v>
      </c>
      <c r="AE45" s="0" t="n">
        <f aca="false">IF(Matrice_OD!AE45&lt;=Param!$B$2,EXP(-(Matrice_OD!AE45^2)/Param!$B$5),0)</f>
        <v>0</v>
      </c>
      <c r="AF45" s="0" t="n">
        <f aca="false">IF(Matrice_OD!AF45&lt;=Param!$B$2,EXP(-(Matrice_OD!AF45^2)/Param!$B$5),0)</f>
        <v>0</v>
      </c>
      <c r="AG45" s="0" t="n">
        <f aca="false">IF(Matrice_OD!AG45&lt;=Param!$B$2,EXP(-(Matrice_OD!AG45^2)/Param!$B$5),0)</f>
        <v>0</v>
      </c>
      <c r="AH45" s="0" t="n">
        <f aca="false">IF(Matrice_OD!AH45&lt;=Param!$B$2,EXP(-(Matrice_OD!AH45^2)/Param!$B$5),0)</f>
        <v>0</v>
      </c>
      <c r="AI45" s="0" t="n">
        <f aca="false">IF(Matrice_OD!AI45&lt;=Param!$B$2,EXP(-(Matrice_OD!AI45^2)/Param!$B$5),0)</f>
        <v>0</v>
      </c>
      <c r="AJ45" s="0" t="n">
        <f aca="false">IF(Matrice_OD!AJ45&lt;=Param!$B$2,EXP(-(Matrice_OD!AJ45^2)/Param!$B$5),0)</f>
        <v>0</v>
      </c>
      <c r="AK45" s="0" t="n">
        <f aca="false">IF(Matrice_OD!AK45&lt;=Param!$B$2,EXP(-(Matrice_OD!AK45^2)/Param!$B$5),0)</f>
        <v>0</v>
      </c>
      <c r="AL45" s="0" t="n">
        <f aca="false">IF(Matrice_OD!AL45&lt;=Param!$B$2,EXP(-(Matrice_OD!AL45^2)/Param!$B$5),0)</f>
        <v>0</v>
      </c>
      <c r="AM45" s="0" t="n">
        <f aca="false">IF(Matrice_OD!AM45&lt;=Param!$B$2,EXP(-(Matrice_OD!AM45^2)/Param!$B$5),0)</f>
        <v>0</v>
      </c>
      <c r="AN45" s="0" t="n">
        <f aca="false">IF(Matrice_OD!AN45&lt;=Param!$B$2,EXP(-(Matrice_OD!AN45^2)/Param!$B$5),0)</f>
        <v>0.714825439568763</v>
      </c>
    </row>
    <row r="46" customFormat="false" ht="15" hidden="false" customHeight="true" outlineLevel="0" collapsed="false">
      <c r="A46" s="0" t="s">
        <v>190</v>
      </c>
      <c r="B46" s="0" t="s">
        <v>191</v>
      </c>
      <c r="C46" s="0" t="n">
        <f aca="false">IF(Matrice_OD!C46&lt;=Param!$B$2,EXP(-(Matrice_OD!C46^2)/Param!$B$5),0)</f>
        <v>0</v>
      </c>
      <c r="D46" s="0" t="n">
        <f aca="false">IF(Matrice_OD!D46&lt;=Param!$B$2,EXP(-(Matrice_OD!D46^2)/Param!$B$5),0)</f>
        <v>0</v>
      </c>
      <c r="E46" s="0" t="n">
        <f aca="false">IF(Matrice_OD!E46&lt;=Param!$B$2,EXP(-(Matrice_OD!E46^2)/Param!$B$5),0)</f>
        <v>0</v>
      </c>
      <c r="F46" s="0" t="n">
        <f aca="false">IF(Matrice_OD!F46&lt;=Param!$B$2,EXP(-(Matrice_OD!F46^2)/Param!$B$5),0)</f>
        <v>0</v>
      </c>
      <c r="G46" s="0" t="n">
        <f aca="false">IF(Matrice_OD!G46&lt;=Param!$B$2,EXP(-(Matrice_OD!G46^2)/Param!$B$5),0)</f>
        <v>0</v>
      </c>
      <c r="H46" s="0" t="n">
        <f aca="false">IF(Matrice_OD!H46&lt;=Param!$B$2,EXP(-(Matrice_OD!H46^2)/Param!$B$5),0)</f>
        <v>0</v>
      </c>
      <c r="I46" s="0" t="n">
        <f aca="false">IF(Matrice_OD!I46&lt;=Param!$B$2,EXP(-(Matrice_OD!I46^2)/Param!$B$5),0)</f>
        <v>0</v>
      </c>
      <c r="J46" s="0" t="n">
        <f aca="false">IF(Matrice_OD!J46&lt;=Param!$B$2,EXP(-(Matrice_OD!J46^2)/Param!$B$5),0)</f>
        <v>0</v>
      </c>
      <c r="K46" s="0" t="n">
        <f aca="false">IF(Matrice_OD!K46&lt;=Param!$B$2,EXP(-(Matrice_OD!K46^2)/Param!$B$5),0)</f>
        <v>0</v>
      </c>
      <c r="L46" s="0" t="n">
        <f aca="false">IF(Matrice_OD!L46&lt;=Param!$B$2,EXP(-(Matrice_OD!L46^2)/Param!$B$5),0)</f>
        <v>0</v>
      </c>
      <c r="M46" s="0" t="n">
        <f aca="false">IF(Matrice_OD!M46&lt;=Param!$B$2,EXP(-(Matrice_OD!M46^2)/Param!$B$5),0)</f>
        <v>0</v>
      </c>
      <c r="N46" s="0" t="n">
        <f aca="false">IF(Matrice_OD!N46&lt;=Param!$B$2,EXP(-(Matrice_OD!N46^2)/Param!$B$5),0)</f>
        <v>0</v>
      </c>
      <c r="O46" s="0" t="n">
        <f aca="false">IF(Matrice_OD!O46&lt;=Param!$B$2,EXP(-(Matrice_OD!O46^2)/Param!$B$5),0)</f>
        <v>0</v>
      </c>
      <c r="P46" s="0" t="n">
        <f aca="false">IF(Matrice_OD!P46&lt;=Param!$B$2,EXP(-(Matrice_OD!P46^2)/Param!$B$5),0)</f>
        <v>0</v>
      </c>
      <c r="Q46" s="0" t="n">
        <f aca="false">IF(Matrice_OD!Q46&lt;=Param!$B$2,EXP(-(Matrice_OD!Q46^2)/Param!$B$5),0)</f>
        <v>0</v>
      </c>
      <c r="R46" s="0" t="n">
        <f aca="false">IF(Matrice_OD!R46&lt;=Param!$B$2,EXP(-(Matrice_OD!R46^2)/Param!$B$5),0)</f>
        <v>0</v>
      </c>
      <c r="S46" s="0" t="n">
        <f aca="false">IF(Matrice_OD!S46&lt;=Param!$B$2,EXP(-(Matrice_OD!S46^2)/Param!$B$5),0)</f>
        <v>0</v>
      </c>
      <c r="T46" s="0" t="n">
        <f aca="false">IF(Matrice_OD!T46&lt;=Param!$B$2,EXP(-(Matrice_OD!T46^2)/Param!$B$5),0)</f>
        <v>0</v>
      </c>
      <c r="U46" s="0" t="n">
        <f aca="false">IF(Matrice_OD!U46&lt;=Param!$B$2,EXP(-(Matrice_OD!U46^2)/Param!$B$5),0)</f>
        <v>0</v>
      </c>
      <c r="V46" s="0" t="n">
        <f aca="false">IF(Matrice_OD!V46&lt;=Param!$B$2,EXP(-(Matrice_OD!V46^2)/Param!$B$5),0)</f>
        <v>0</v>
      </c>
      <c r="W46" s="0" t="n">
        <f aca="false">IF(Matrice_OD!W46&lt;=Param!$B$2,EXP(-(Matrice_OD!W46^2)/Param!$B$5),0)</f>
        <v>0</v>
      </c>
      <c r="X46" s="0" t="n">
        <f aca="false">IF(Matrice_OD!X46&lt;=Param!$B$2,EXP(-(Matrice_OD!X46^2)/Param!$B$5),0)</f>
        <v>0</v>
      </c>
      <c r="Y46" s="0" t="n">
        <f aca="false">IF(Matrice_OD!Y46&lt;=Param!$B$2,EXP(-(Matrice_OD!Y46^2)/Param!$B$5),0)</f>
        <v>0</v>
      </c>
      <c r="Z46" s="0" t="n">
        <f aca="false">IF(Matrice_OD!Z46&lt;=Param!$B$2,EXP(-(Matrice_OD!Z46^2)/Param!$B$5),0)</f>
        <v>0</v>
      </c>
      <c r="AA46" s="0" t="n">
        <f aca="false">IF(Matrice_OD!AA46&lt;=Param!$B$2,EXP(-(Matrice_OD!AA46^2)/Param!$B$5),0)</f>
        <v>0</v>
      </c>
      <c r="AB46" s="0" t="n">
        <f aca="false">IF(Matrice_OD!AB46&lt;=Param!$B$2,EXP(-(Matrice_OD!AB46^2)/Param!$B$5),0)</f>
        <v>0</v>
      </c>
      <c r="AC46" s="0" t="n">
        <f aca="false">IF(Matrice_OD!AC46&lt;=Param!$B$2,EXP(-(Matrice_OD!AC46^2)/Param!$B$5),0)</f>
        <v>0</v>
      </c>
      <c r="AD46" s="0" t="n">
        <f aca="false">IF(Matrice_OD!AD46&lt;=Param!$B$2,EXP(-(Matrice_OD!AD46^2)/Param!$B$5),0)</f>
        <v>0</v>
      </c>
      <c r="AE46" s="0" t="n">
        <f aca="false">IF(Matrice_OD!AE46&lt;=Param!$B$2,EXP(-(Matrice_OD!AE46^2)/Param!$B$5),0)</f>
        <v>0</v>
      </c>
      <c r="AF46" s="0" t="n">
        <f aca="false">IF(Matrice_OD!AF46&lt;=Param!$B$2,EXP(-(Matrice_OD!AF46^2)/Param!$B$5),0)</f>
        <v>0</v>
      </c>
      <c r="AG46" s="0" t="n">
        <f aca="false">IF(Matrice_OD!AG46&lt;=Param!$B$2,EXP(-(Matrice_OD!AG46^2)/Param!$B$5),0)</f>
        <v>0.0573868445787549</v>
      </c>
      <c r="AH46" s="0" t="n">
        <f aca="false">IF(Matrice_OD!AH46&lt;=Param!$B$2,EXP(-(Matrice_OD!AH46^2)/Param!$B$5),0)</f>
        <v>0</v>
      </c>
      <c r="AI46" s="0" t="n">
        <f aca="false">IF(Matrice_OD!AI46&lt;=Param!$B$2,EXP(-(Matrice_OD!AI46^2)/Param!$B$5),0)</f>
        <v>0</v>
      </c>
      <c r="AJ46" s="0" t="n">
        <f aca="false">IF(Matrice_OD!AJ46&lt;=Param!$B$2,EXP(-(Matrice_OD!AJ46^2)/Param!$B$5),0)</f>
        <v>0</v>
      </c>
      <c r="AK46" s="0" t="n">
        <f aca="false">IF(Matrice_OD!AK46&lt;=Param!$B$2,EXP(-(Matrice_OD!AK46^2)/Param!$B$5),0)</f>
        <v>0</v>
      </c>
      <c r="AL46" s="0" t="n">
        <f aca="false">IF(Matrice_OD!AL46&lt;=Param!$B$2,EXP(-(Matrice_OD!AL46^2)/Param!$B$5),0)</f>
        <v>0</v>
      </c>
      <c r="AM46" s="0" t="n">
        <f aca="false">IF(Matrice_OD!AM46&lt;=Param!$B$2,EXP(-(Matrice_OD!AM46^2)/Param!$B$5),0)</f>
        <v>0</v>
      </c>
      <c r="AN46" s="0" t="n">
        <f aca="false">IF(Matrice_OD!AN46&lt;=Param!$B$2,EXP(-(Matrice_OD!AN46^2)/Param!$B$5),0)</f>
        <v>0.963385266142351</v>
      </c>
    </row>
    <row r="47" customFormat="false" ht="15" hidden="false" customHeight="true" outlineLevel="0" collapsed="false">
      <c r="A47" s="0" t="s">
        <v>192</v>
      </c>
      <c r="B47" s="0" t="s">
        <v>193</v>
      </c>
      <c r="C47" s="0" t="n">
        <f aca="false">IF(Matrice_OD!C47&lt;=Param!$B$2,EXP(-(Matrice_OD!C47^2)/Param!$B$5),0)</f>
        <v>0</v>
      </c>
      <c r="D47" s="0" t="n">
        <f aca="false">IF(Matrice_OD!D47&lt;=Param!$B$2,EXP(-(Matrice_OD!D47^2)/Param!$B$5),0)</f>
        <v>0</v>
      </c>
      <c r="E47" s="0" t="n">
        <f aca="false">IF(Matrice_OD!E47&lt;=Param!$B$2,EXP(-(Matrice_OD!E47^2)/Param!$B$5),0)</f>
        <v>0</v>
      </c>
      <c r="F47" s="0" t="n">
        <f aca="false">IF(Matrice_OD!F47&lt;=Param!$B$2,EXP(-(Matrice_OD!F47^2)/Param!$B$5),0)</f>
        <v>0</v>
      </c>
      <c r="G47" s="0" t="n">
        <f aca="false">IF(Matrice_OD!G47&lt;=Param!$B$2,EXP(-(Matrice_OD!G47^2)/Param!$B$5),0)</f>
        <v>0</v>
      </c>
      <c r="H47" s="0" t="n">
        <f aca="false">IF(Matrice_OD!H47&lt;=Param!$B$2,EXP(-(Matrice_OD!H47^2)/Param!$B$5),0)</f>
        <v>0</v>
      </c>
      <c r="I47" s="0" t="n">
        <f aca="false">IF(Matrice_OD!I47&lt;=Param!$B$2,EXP(-(Matrice_OD!I47^2)/Param!$B$5),0)</f>
        <v>0</v>
      </c>
      <c r="J47" s="0" t="n">
        <f aca="false">IF(Matrice_OD!J47&lt;=Param!$B$2,EXP(-(Matrice_OD!J47^2)/Param!$B$5),0)</f>
        <v>0</v>
      </c>
      <c r="K47" s="0" t="n">
        <f aca="false">IF(Matrice_OD!K47&lt;=Param!$B$2,EXP(-(Matrice_OD!K47^2)/Param!$B$5),0)</f>
        <v>0</v>
      </c>
      <c r="L47" s="0" t="n">
        <f aca="false">IF(Matrice_OD!L47&lt;=Param!$B$2,EXP(-(Matrice_OD!L47^2)/Param!$B$5),0)</f>
        <v>0</v>
      </c>
      <c r="M47" s="0" t="n">
        <f aca="false">IF(Matrice_OD!M47&lt;=Param!$B$2,EXP(-(Matrice_OD!M47^2)/Param!$B$5),0)</f>
        <v>0</v>
      </c>
      <c r="N47" s="0" t="n">
        <f aca="false">IF(Matrice_OD!N47&lt;=Param!$B$2,EXP(-(Matrice_OD!N47^2)/Param!$B$5),0)</f>
        <v>0</v>
      </c>
      <c r="O47" s="0" t="n">
        <f aca="false">IF(Matrice_OD!O47&lt;=Param!$B$2,EXP(-(Matrice_OD!O47^2)/Param!$B$5),0)</f>
        <v>0</v>
      </c>
      <c r="P47" s="0" t="n">
        <f aca="false">IF(Matrice_OD!P47&lt;=Param!$B$2,EXP(-(Matrice_OD!P47^2)/Param!$B$5),0)</f>
        <v>0</v>
      </c>
      <c r="Q47" s="0" t="n">
        <f aca="false">IF(Matrice_OD!Q47&lt;=Param!$B$2,EXP(-(Matrice_OD!Q47^2)/Param!$B$5),0)</f>
        <v>0</v>
      </c>
      <c r="R47" s="0" t="n">
        <f aca="false">IF(Matrice_OD!R47&lt;=Param!$B$2,EXP(-(Matrice_OD!R47^2)/Param!$B$5),0)</f>
        <v>0</v>
      </c>
      <c r="S47" s="0" t="n">
        <f aca="false">IF(Matrice_OD!S47&lt;=Param!$B$2,EXP(-(Matrice_OD!S47^2)/Param!$B$5),0)</f>
        <v>0</v>
      </c>
      <c r="T47" s="0" t="n">
        <f aca="false">IF(Matrice_OD!T47&lt;=Param!$B$2,EXP(-(Matrice_OD!T47^2)/Param!$B$5),0)</f>
        <v>0</v>
      </c>
      <c r="U47" s="0" t="n">
        <f aca="false">IF(Matrice_OD!U47&lt;=Param!$B$2,EXP(-(Matrice_OD!U47^2)/Param!$B$5),0)</f>
        <v>0</v>
      </c>
      <c r="V47" s="0" t="n">
        <f aca="false">IF(Matrice_OD!V47&lt;=Param!$B$2,EXP(-(Matrice_OD!V47^2)/Param!$B$5),0)</f>
        <v>0</v>
      </c>
      <c r="W47" s="0" t="n">
        <f aca="false">IF(Matrice_OD!W47&lt;=Param!$B$2,EXP(-(Matrice_OD!W47^2)/Param!$B$5),0)</f>
        <v>0</v>
      </c>
      <c r="X47" s="0" t="n">
        <f aca="false">IF(Matrice_OD!X47&lt;=Param!$B$2,EXP(-(Matrice_OD!X47^2)/Param!$B$5),0)</f>
        <v>0</v>
      </c>
      <c r="Y47" s="0" t="n">
        <f aca="false">IF(Matrice_OD!Y47&lt;=Param!$B$2,EXP(-(Matrice_OD!Y47^2)/Param!$B$5),0)</f>
        <v>0</v>
      </c>
      <c r="Z47" s="0" t="n">
        <f aca="false">IF(Matrice_OD!Z47&lt;=Param!$B$2,EXP(-(Matrice_OD!Z47^2)/Param!$B$5),0)</f>
        <v>0</v>
      </c>
      <c r="AA47" s="0" t="n">
        <f aca="false">IF(Matrice_OD!AA47&lt;=Param!$B$2,EXP(-(Matrice_OD!AA47^2)/Param!$B$5),0)</f>
        <v>0</v>
      </c>
      <c r="AB47" s="0" t="n">
        <f aca="false">IF(Matrice_OD!AB47&lt;=Param!$B$2,EXP(-(Matrice_OD!AB47^2)/Param!$B$5),0)</f>
        <v>0</v>
      </c>
      <c r="AC47" s="0" t="n">
        <f aca="false">IF(Matrice_OD!AC47&lt;=Param!$B$2,EXP(-(Matrice_OD!AC47^2)/Param!$B$5),0)</f>
        <v>0</v>
      </c>
      <c r="AD47" s="0" t="n">
        <f aca="false">IF(Matrice_OD!AD47&lt;=Param!$B$2,EXP(-(Matrice_OD!AD47^2)/Param!$B$5),0)</f>
        <v>0</v>
      </c>
      <c r="AE47" s="0" t="n">
        <f aca="false">IF(Matrice_OD!AE47&lt;=Param!$B$2,EXP(-(Matrice_OD!AE47^2)/Param!$B$5),0)</f>
        <v>0</v>
      </c>
      <c r="AF47" s="0" t="n">
        <f aca="false">IF(Matrice_OD!AF47&lt;=Param!$B$2,EXP(-(Matrice_OD!AF47^2)/Param!$B$5),0)</f>
        <v>0</v>
      </c>
      <c r="AG47" s="0" t="n">
        <f aca="false">IF(Matrice_OD!AG47&lt;=Param!$B$2,EXP(-(Matrice_OD!AG47^2)/Param!$B$5),0)</f>
        <v>0</v>
      </c>
      <c r="AH47" s="0" t="n">
        <f aca="false">IF(Matrice_OD!AH47&lt;=Param!$B$2,EXP(-(Matrice_OD!AH47^2)/Param!$B$5),0)</f>
        <v>0</v>
      </c>
      <c r="AI47" s="0" t="n">
        <f aca="false">IF(Matrice_OD!AI47&lt;=Param!$B$2,EXP(-(Matrice_OD!AI47^2)/Param!$B$5),0)</f>
        <v>0</v>
      </c>
      <c r="AJ47" s="0" t="n">
        <f aca="false">IF(Matrice_OD!AJ47&lt;=Param!$B$2,EXP(-(Matrice_OD!AJ47^2)/Param!$B$5),0)</f>
        <v>0</v>
      </c>
      <c r="AK47" s="0" t="n">
        <f aca="false">IF(Matrice_OD!AK47&lt;=Param!$B$2,EXP(-(Matrice_OD!AK47^2)/Param!$B$5),0)</f>
        <v>0</v>
      </c>
      <c r="AL47" s="0" t="n">
        <f aca="false">IF(Matrice_OD!AL47&lt;=Param!$B$2,EXP(-(Matrice_OD!AL47^2)/Param!$B$5),0)</f>
        <v>0</v>
      </c>
      <c r="AM47" s="0" t="n">
        <f aca="false">IF(Matrice_OD!AM47&lt;=Param!$B$2,EXP(-(Matrice_OD!AM47^2)/Param!$B$5),0)</f>
        <v>0</v>
      </c>
      <c r="AN47" s="0" t="n">
        <f aca="false">IF(Matrice_OD!AN47&lt;=Param!$B$2,EXP(-(Matrice_OD!AN47^2)/Param!$B$5),0)</f>
        <v>0.474716763313502</v>
      </c>
    </row>
    <row r="48" customFormat="false" ht="15" hidden="false" customHeight="true" outlineLevel="0" collapsed="false">
      <c r="A48" s="0" t="s">
        <v>194</v>
      </c>
      <c r="B48" s="0" t="s">
        <v>195</v>
      </c>
      <c r="C48" s="0" t="n">
        <f aca="false">IF(Matrice_OD!C48&lt;=Param!$B$2,EXP(-(Matrice_OD!C48^2)/Param!$B$5),0)</f>
        <v>0</v>
      </c>
      <c r="D48" s="0" t="n">
        <f aca="false">IF(Matrice_OD!D48&lt;=Param!$B$2,EXP(-(Matrice_OD!D48^2)/Param!$B$5),0)</f>
        <v>0</v>
      </c>
      <c r="E48" s="0" t="n">
        <f aca="false">IF(Matrice_OD!E48&lt;=Param!$B$2,EXP(-(Matrice_OD!E48^2)/Param!$B$5),0)</f>
        <v>0</v>
      </c>
      <c r="F48" s="0" t="n">
        <f aca="false">IF(Matrice_OD!F48&lt;=Param!$B$2,EXP(-(Matrice_OD!F48^2)/Param!$B$5),0)</f>
        <v>0</v>
      </c>
      <c r="G48" s="0" t="n">
        <f aca="false">IF(Matrice_OD!G48&lt;=Param!$B$2,EXP(-(Matrice_OD!G48^2)/Param!$B$5),0)</f>
        <v>0</v>
      </c>
      <c r="H48" s="0" t="n">
        <f aca="false">IF(Matrice_OD!H48&lt;=Param!$B$2,EXP(-(Matrice_OD!H48^2)/Param!$B$5),0)</f>
        <v>0</v>
      </c>
      <c r="I48" s="0" t="n">
        <f aca="false">IF(Matrice_OD!I48&lt;=Param!$B$2,EXP(-(Matrice_OD!I48^2)/Param!$B$5),0)</f>
        <v>0</v>
      </c>
      <c r="J48" s="0" t="n">
        <f aca="false">IF(Matrice_OD!J48&lt;=Param!$B$2,EXP(-(Matrice_OD!J48^2)/Param!$B$5),0)</f>
        <v>0</v>
      </c>
      <c r="K48" s="0" t="n">
        <f aca="false">IF(Matrice_OD!K48&lt;=Param!$B$2,EXP(-(Matrice_OD!K48^2)/Param!$B$5),0)</f>
        <v>0</v>
      </c>
      <c r="L48" s="0" t="n">
        <f aca="false">IF(Matrice_OD!L48&lt;=Param!$B$2,EXP(-(Matrice_OD!L48^2)/Param!$B$5),0)</f>
        <v>0</v>
      </c>
      <c r="M48" s="0" t="n">
        <f aca="false">IF(Matrice_OD!M48&lt;=Param!$B$2,EXP(-(Matrice_OD!M48^2)/Param!$B$5),0)</f>
        <v>0</v>
      </c>
      <c r="N48" s="0" t="n">
        <f aca="false">IF(Matrice_OD!N48&lt;=Param!$B$2,EXP(-(Matrice_OD!N48^2)/Param!$B$5),0)</f>
        <v>0</v>
      </c>
      <c r="O48" s="0" t="n">
        <f aca="false">IF(Matrice_OD!O48&lt;=Param!$B$2,EXP(-(Matrice_OD!O48^2)/Param!$B$5),0)</f>
        <v>0</v>
      </c>
      <c r="P48" s="0" t="n">
        <f aca="false">IF(Matrice_OD!P48&lt;=Param!$B$2,EXP(-(Matrice_OD!P48^2)/Param!$B$5),0)</f>
        <v>0</v>
      </c>
      <c r="Q48" s="0" t="n">
        <f aca="false">IF(Matrice_OD!Q48&lt;=Param!$B$2,EXP(-(Matrice_OD!Q48^2)/Param!$B$5),0)</f>
        <v>0</v>
      </c>
      <c r="R48" s="0" t="n">
        <f aca="false">IF(Matrice_OD!R48&lt;=Param!$B$2,EXP(-(Matrice_OD!R48^2)/Param!$B$5),0)</f>
        <v>0</v>
      </c>
      <c r="S48" s="0" t="n">
        <f aca="false">IF(Matrice_OD!S48&lt;=Param!$B$2,EXP(-(Matrice_OD!S48^2)/Param!$B$5),0)</f>
        <v>0</v>
      </c>
      <c r="T48" s="0" t="n">
        <f aca="false">IF(Matrice_OD!T48&lt;=Param!$B$2,EXP(-(Matrice_OD!T48^2)/Param!$B$5),0)</f>
        <v>0</v>
      </c>
      <c r="U48" s="0" t="n">
        <f aca="false">IF(Matrice_OD!U48&lt;=Param!$B$2,EXP(-(Matrice_OD!U48^2)/Param!$B$5),0)</f>
        <v>0</v>
      </c>
      <c r="V48" s="0" t="n">
        <f aca="false">IF(Matrice_OD!V48&lt;=Param!$B$2,EXP(-(Matrice_OD!V48^2)/Param!$B$5),0)</f>
        <v>0</v>
      </c>
      <c r="W48" s="0" t="n">
        <f aca="false">IF(Matrice_OD!W48&lt;=Param!$B$2,EXP(-(Matrice_OD!W48^2)/Param!$B$5),0)</f>
        <v>0</v>
      </c>
      <c r="X48" s="0" t="n">
        <f aca="false">IF(Matrice_OD!X48&lt;=Param!$B$2,EXP(-(Matrice_OD!X48^2)/Param!$B$5),0)</f>
        <v>0</v>
      </c>
      <c r="Y48" s="0" t="n">
        <f aca="false">IF(Matrice_OD!Y48&lt;=Param!$B$2,EXP(-(Matrice_OD!Y48^2)/Param!$B$5),0)</f>
        <v>0</v>
      </c>
      <c r="Z48" s="0" t="n">
        <f aca="false">IF(Matrice_OD!Z48&lt;=Param!$B$2,EXP(-(Matrice_OD!Z48^2)/Param!$B$5),0)</f>
        <v>0</v>
      </c>
      <c r="AA48" s="0" t="n">
        <f aca="false">IF(Matrice_OD!AA48&lt;=Param!$B$2,EXP(-(Matrice_OD!AA48^2)/Param!$B$5),0)</f>
        <v>0</v>
      </c>
      <c r="AB48" s="0" t="n">
        <f aca="false">IF(Matrice_OD!AB48&lt;=Param!$B$2,EXP(-(Matrice_OD!AB48^2)/Param!$B$5),0)</f>
        <v>0</v>
      </c>
      <c r="AC48" s="0" t="n">
        <f aca="false">IF(Matrice_OD!AC48&lt;=Param!$B$2,EXP(-(Matrice_OD!AC48^2)/Param!$B$5),0)</f>
        <v>0</v>
      </c>
      <c r="AD48" s="0" t="n">
        <f aca="false">IF(Matrice_OD!AD48&lt;=Param!$B$2,EXP(-(Matrice_OD!AD48^2)/Param!$B$5),0)</f>
        <v>0</v>
      </c>
      <c r="AE48" s="0" t="n">
        <f aca="false">IF(Matrice_OD!AE48&lt;=Param!$B$2,EXP(-(Matrice_OD!AE48^2)/Param!$B$5),0)</f>
        <v>0</v>
      </c>
      <c r="AF48" s="0" t="n">
        <f aca="false">IF(Matrice_OD!AF48&lt;=Param!$B$2,EXP(-(Matrice_OD!AF48^2)/Param!$B$5),0)</f>
        <v>0</v>
      </c>
      <c r="AG48" s="0" t="n">
        <f aca="false">IF(Matrice_OD!AG48&lt;=Param!$B$2,EXP(-(Matrice_OD!AG48^2)/Param!$B$5),0)</f>
        <v>0</v>
      </c>
      <c r="AH48" s="0" t="n">
        <f aca="false">IF(Matrice_OD!AH48&lt;=Param!$B$2,EXP(-(Matrice_OD!AH48^2)/Param!$B$5),0)</f>
        <v>0</v>
      </c>
      <c r="AI48" s="0" t="n">
        <f aca="false">IF(Matrice_OD!AI48&lt;=Param!$B$2,EXP(-(Matrice_OD!AI48^2)/Param!$B$5),0)</f>
        <v>0</v>
      </c>
      <c r="AJ48" s="0" t="n">
        <f aca="false">IF(Matrice_OD!AJ48&lt;=Param!$B$2,EXP(-(Matrice_OD!AJ48^2)/Param!$B$5),0)</f>
        <v>0</v>
      </c>
      <c r="AK48" s="0" t="n">
        <f aca="false">IF(Matrice_OD!AK48&lt;=Param!$B$2,EXP(-(Matrice_OD!AK48^2)/Param!$B$5),0)</f>
        <v>0</v>
      </c>
      <c r="AL48" s="0" t="n">
        <f aca="false">IF(Matrice_OD!AL48&lt;=Param!$B$2,EXP(-(Matrice_OD!AL48^2)/Param!$B$5),0)</f>
        <v>0</v>
      </c>
      <c r="AM48" s="0" t="n">
        <f aca="false">IF(Matrice_OD!AM48&lt;=Param!$B$2,EXP(-(Matrice_OD!AM48^2)/Param!$B$5),0)</f>
        <v>0</v>
      </c>
      <c r="AN48" s="0" t="n">
        <f aca="false">IF(Matrice_OD!AN48&lt;=Param!$B$2,EXP(-(Matrice_OD!AN48^2)/Param!$B$5),0)</f>
        <v>0.145762042229318</v>
      </c>
    </row>
    <row r="49" customFormat="false" ht="15" hidden="false" customHeight="true" outlineLevel="0" collapsed="false">
      <c r="A49" s="0" t="s">
        <v>196</v>
      </c>
      <c r="B49" s="0" t="s">
        <v>197</v>
      </c>
      <c r="C49" s="0" t="n">
        <f aca="false">IF(Matrice_OD!C49&lt;=Param!$B$2,EXP(-(Matrice_OD!C49^2)/Param!$B$5),0)</f>
        <v>0</v>
      </c>
      <c r="D49" s="0" t="n">
        <f aca="false">IF(Matrice_OD!D49&lt;=Param!$B$2,EXP(-(Matrice_OD!D49^2)/Param!$B$5),0)</f>
        <v>0</v>
      </c>
      <c r="E49" s="0" t="n">
        <f aca="false">IF(Matrice_OD!E49&lt;=Param!$B$2,EXP(-(Matrice_OD!E49^2)/Param!$B$5),0)</f>
        <v>0</v>
      </c>
      <c r="F49" s="0" t="n">
        <f aca="false">IF(Matrice_OD!F49&lt;=Param!$B$2,EXP(-(Matrice_OD!F49^2)/Param!$B$5),0)</f>
        <v>0</v>
      </c>
      <c r="G49" s="0" t="n">
        <f aca="false">IF(Matrice_OD!G49&lt;=Param!$B$2,EXP(-(Matrice_OD!G49^2)/Param!$B$5),0)</f>
        <v>0</v>
      </c>
      <c r="H49" s="0" t="n">
        <f aca="false">IF(Matrice_OD!H49&lt;=Param!$B$2,EXP(-(Matrice_OD!H49^2)/Param!$B$5),0)</f>
        <v>0</v>
      </c>
      <c r="I49" s="0" t="n">
        <f aca="false">IF(Matrice_OD!I49&lt;=Param!$B$2,EXP(-(Matrice_OD!I49^2)/Param!$B$5),0)</f>
        <v>0</v>
      </c>
      <c r="J49" s="0" t="n">
        <f aca="false">IF(Matrice_OD!J49&lt;=Param!$B$2,EXP(-(Matrice_OD!J49^2)/Param!$B$5),0)</f>
        <v>0</v>
      </c>
      <c r="K49" s="0" t="n">
        <f aca="false">IF(Matrice_OD!K49&lt;=Param!$B$2,EXP(-(Matrice_OD!K49^2)/Param!$B$5),0)</f>
        <v>0</v>
      </c>
      <c r="L49" s="0" t="n">
        <f aca="false">IF(Matrice_OD!L49&lt;=Param!$B$2,EXP(-(Matrice_OD!L49^2)/Param!$B$5),0)</f>
        <v>0</v>
      </c>
      <c r="M49" s="0" t="n">
        <f aca="false">IF(Matrice_OD!M49&lt;=Param!$B$2,EXP(-(Matrice_OD!M49^2)/Param!$B$5),0)</f>
        <v>0</v>
      </c>
      <c r="N49" s="0" t="n">
        <f aca="false">IF(Matrice_OD!N49&lt;=Param!$B$2,EXP(-(Matrice_OD!N49^2)/Param!$B$5),0)</f>
        <v>0</v>
      </c>
      <c r="O49" s="0" t="n">
        <f aca="false">IF(Matrice_OD!O49&lt;=Param!$B$2,EXP(-(Matrice_OD!O49^2)/Param!$B$5),0)</f>
        <v>0</v>
      </c>
      <c r="P49" s="0" t="n">
        <f aca="false">IF(Matrice_OD!P49&lt;=Param!$B$2,EXP(-(Matrice_OD!P49^2)/Param!$B$5),0)</f>
        <v>0</v>
      </c>
      <c r="Q49" s="0" t="n">
        <f aca="false">IF(Matrice_OD!Q49&lt;=Param!$B$2,EXP(-(Matrice_OD!Q49^2)/Param!$B$5),0)</f>
        <v>0</v>
      </c>
      <c r="R49" s="0" t="n">
        <f aca="false">IF(Matrice_OD!R49&lt;=Param!$B$2,EXP(-(Matrice_OD!R49^2)/Param!$B$5),0)</f>
        <v>0</v>
      </c>
      <c r="S49" s="0" t="n">
        <f aca="false">IF(Matrice_OD!S49&lt;=Param!$B$2,EXP(-(Matrice_OD!S49^2)/Param!$B$5),0)</f>
        <v>0</v>
      </c>
      <c r="T49" s="0" t="n">
        <f aca="false">IF(Matrice_OD!T49&lt;=Param!$B$2,EXP(-(Matrice_OD!T49^2)/Param!$B$5),0)</f>
        <v>0</v>
      </c>
      <c r="U49" s="0" t="n">
        <f aca="false">IF(Matrice_OD!U49&lt;=Param!$B$2,EXP(-(Matrice_OD!U49^2)/Param!$B$5),0)</f>
        <v>0</v>
      </c>
      <c r="V49" s="0" t="n">
        <f aca="false">IF(Matrice_OD!V49&lt;=Param!$B$2,EXP(-(Matrice_OD!V49^2)/Param!$B$5),0)</f>
        <v>0</v>
      </c>
      <c r="W49" s="0" t="n">
        <f aca="false">IF(Matrice_OD!W49&lt;=Param!$B$2,EXP(-(Matrice_OD!W49^2)/Param!$B$5),0)</f>
        <v>0</v>
      </c>
      <c r="X49" s="0" t="n">
        <f aca="false">IF(Matrice_OD!X49&lt;=Param!$B$2,EXP(-(Matrice_OD!X49^2)/Param!$B$5),0)</f>
        <v>0</v>
      </c>
      <c r="Y49" s="0" t="n">
        <f aca="false">IF(Matrice_OD!Y49&lt;=Param!$B$2,EXP(-(Matrice_OD!Y49^2)/Param!$B$5),0)</f>
        <v>0</v>
      </c>
      <c r="Z49" s="0" t="n">
        <f aca="false">IF(Matrice_OD!Z49&lt;=Param!$B$2,EXP(-(Matrice_OD!Z49^2)/Param!$B$5),0)</f>
        <v>0</v>
      </c>
      <c r="AA49" s="0" t="n">
        <f aca="false">IF(Matrice_OD!AA49&lt;=Param!$B$2,EXP(-(Matrice_OD!AA49^2)/Param!$B$5),0)</f>
        <v>0</v>
      </c>
      <c r="AB49" s="0" t="n">
        <f aca="false">IF(Matrice_OD!AB49&lt;=Param!$B$2,EXP(-(Matrice_OD!AB49^2)/Param!$B$5),0)</f>
        <v>0</v>
      </c>
      <c r="AC49" s="0" t="n">
        <f aca="false">IF(Matrice_OD!AC49&lt;=Param!$B$2,EXP(-(Matrice_OD!AC49^2)/Param!$B$5),0)</f>
        <v>0</v>
      </c>
      <c r="AD49" s="0" t="n">
        <f aca="false">IF(Matrice_OD!AD49&lt;=Param!$B$2,EXP(-(Matrice_OD!AD49^2)/Param!$B$5),0)</f>
        <v>0</v>
      </c>
      <c r="AE49" s="0" t="n">
        <f aca="false">IF(Matrice_OD!AE49&lt;=Param!$B$2,EXP(-(Matrice_OD!AE49^2)/Param!$B$5),0)</f>
        <v>0</v>
      </c>
      <c r="AF49" s="0" t="n">
        <f aca="false">IF(Matrice_OD!AF49&lt;=Param!$B$2,EXP(-(Matrice_OD!AF49^2)/Param!$B$5),0)</f>
        <v>0</v>
      </c>
      <c r="AG49" s="0" t="n">
        <f aca="false">IF(Matrice_OD!AG49&lt;=Param!$B$2,EXP(-(Matrice_OD!AG49^2)/Param!$B$5),0)</f>
        <v>0</v>
      </c>
      <c r="AH49" s="0" t="n">
        <f aca="false">IF(Matrice_OD!AH49&lt;=Param!$B$2,EXP(-(Matrice_OD!AH49^2)/Param!$B$5),0)</f>
        <v>0</v>
      </c>
      <c r="AI49" s="0" t="n">
        <f aca="false">IF(Matrice_OD!AI49&lt;=Param!$B$2,EXP(-(Matrice_OD!AI49^2)/Param!$B$5),0)</f>
        <v>0</v>
      </c>
      <c r="AJ49" s="0" t="n">
        <f aca="false">IF(Matrice_OD!AJ49&lt;=Param!$B$2,EXP(-(Matrice_OD!AJ49^2)/Param!$B$5),0)</f>
        <v>0</v>
      </c>
      <c r="AK49" s="0" t="n">
        <f aca="false">IF(Matrice_OD!AK49&lt;=Param!$B$2,EXP(-(Matrice_OD!AK49^2)/Param!$B$5),0)</f>
        <v>0</v>
      </c>
      <c r="AL49" s="0" t="n">
        <f aca="false">IF(Matrice_OD!AL49&lt;=Param!$B$2,EXP(-(Matrice_OD!AL49^2)/Param!$B$5),0)</f>
        <v>0</v>
      </c>
      <c r="AM49" s="0" t="n">
        <f aca="false">IF(Matrice_OD!AM49&lt;=Param!$B$2,EXP(-(Matrice_OD!AM49^2)/Param!$B$5),0)</f>
        <v>0</v>
      </c>
      <c r="AN49" s="0" t="n">
        <f aca="false">IF(Matrice_OD!AN49&lt;=Param!$B$2,EXP(-(Matrice_OD!AN49^2)/Param!$B$5),0)</f>
        <v>0.0499548636338805</v>
      </c>
    </row>
    <row r="50" customFormat="false" ht="15" hidden="false" customHeight="true" outlineLevel="0" collapsed="false">
      <c r="A50" s="0" t="s">
        <v>198</v>
      </c>
      <c r="B50" s="0" t="s">
        <v>199</v>
      </c>
      <c r="C50" s="0" t="n">
        <f aca="false">IF(Matrice_OD!C50&lt;=Param!$B$2,EXP(-(Matrice_OD!C50^2)/Param!$B$5),0)</f>
        <v>0</v>
      </c>
      <c r="D50" s="0" t="n">
        <f aca="false">IF(Matrice_OD!D50&lt;=Param!$B$2,EXP(-(Matrice_OD!D50^2)/Param!$B$5),0)</f>
        <v>0</v>
      </c>
      <c r="E50" s="0" t="n">
        <f aca="false">IF(Matrice_OD!E50&lt;=Param!$B$2,EXP(-(Matrice_OD!E50^2)/Param!$B$5),0)</f>
        <v>0</v>
      </c>
      <c r="F50" s="0" t="n">
        <f aca="false">IF(Matrice_OD!F50&lt;=Param!$B$2,EXP(-(Matrice_OD!F50^2)/Param!$B$5),0)</f>
        <v>0</v>
      </c>
      <c r="G50" s="0" t="n">
        <f aca="false">IF(Matrice_OD!G50&lt;=Param!$B$2,EXP(-(Matrice_OD!G50^2)/Param!$B$5),0)</f>
        <v>0</v>
      </c>
      <c r="H50" s="0" t="n">
        <f aca="false">IF(Matrice_OD!H50&lt;=Param!$B$2,EXP(-(Matrice_OD!H50^2)/Param!$B$5),0)</f>
        <v>0</v>
      </c>
      <c r="I50" s="0" t="n">
        <f aca="false">IF(Matrice_OD!I50&lt;=Param!$B$2,EXP(-(Matrice_OD!I50^2)/Param!$B$5),0)</f>
        <v>0</v>
      </c>
      <c r="J50" s="0" t="n">
        <f aca="false">IF(Matrice_OD!J50&lt;=Param!$B$2,EXP(-(Matrice_OD!J50^2)/Param!$B$5),0)</f>
        <v>0</v>
      </c>
      <c r="K50" s="0" t="n">
        <f aca="false">IF(Matrice_OD!K50&lt;=Param!$B$2,EXP(-(Matrice_OD!K50^2)/Param!$B$5),0)</f>
        <v>0</v>
      </c>
      <c r="L50" s="0" t="n">
        <f aca="false">IF(Matrice_OD!L50&lt;=Param!$B$2,EXP(-(Matrice_OD!L50^2)/Param!$B$5),0)</f>
        <v>0</v>
      </c>
      <c r="M50" s="0" t="n">
        <f aca="false">IF(Matrice_OD!M50&lt;=Param!$B$2,EXP(-(Matrice_OD!M50^2)/Param!$B$5),0)</f>
        <v>0</v>
      </c>
      <c r="N50" s="0" t="n">
        <f aca="false">IF(Matrice_OD!N50&lt;=Param!$B$2,EXP(-(Matrice_OD!N50^2)/Param!$B$5),0)</f>
        <v>0</v>
      </c>
      <c r="O50" s="0" t="n">
        <f aca="false">IF(Matrice_OD!O50&lt;=Param!$B$2,EXP(-(Matrice_OD!O50^2)/Param!$B$5),0)</f>
        <v>0</v>
      </c>
      <c r="P50" s="0" t="n">
        <f aca="false">IF(Matrice_OD!P50&lt;=Param!$B$2,EXP(-(Matrice_OD!P50^2)/Param!$B$5),0)</f>
        <v>0</v>
      </c>
      <c r="Q50" s="0" t="n">
        <f aca="false">IF(Matrice_OD!Q50&lt;=Param!$B$2,EXP(-(Matrice_OD!Q50^2)/Param!$B$5),0)</f>
        <v>0</v>
      </c>
      <c r="R50" s="0" t="n">
        <f aca="false">IF(Matrice_OD!R50&lt;=Param!$B$2,EXP(-(Matrice_OD!R50^2)/Param!$B$5),0)</f>
        <v>0</v>
      </c>
      <c r="S50" s="0" t="n">
        <f aca="false">IF(Matrice_OD!S50&lt;=Param!$B$2,EXP(-(Matrice_OD!S50^2)/Param!$B$5),0)</f>
        <v>0</v>
      </c>
      <c r="T50" s="0" t="n">
        <f aca="false">IF(Matrice_OD!T50&lt;=Param!$B$2,EXP(-(Matrice_OD!T50^2)/Param!$B$5),0)</f>
        <v>0</v>
      </c>
      <c r="U50" s="0" t="n">
        <f aca="false">IF(Matrice_OD!U50&lt;=Param!$B$2,EXP(-(Matrice_OD!U50^2)/Param!$B$5),0)</f>
        <v>0</v>
      </c>
      <c r="V50" s="0" t="n">
        <f aca="false">IF(Matrice_OD!V50&lt;=Param!$B$2,EXP(-(Matrice_OD!V50^2)/Param!$B$5),0)</f>
        <v>0</v>
      </c>
      <c r="W50" s="0" t="n">
        <f aca="false">IF(Matrice_OD!W50&lt;=Param!$B$2,EXP(-(Matrice_OD!W50^2)/Param!$B$5),0)</f>
        <v>0</v>
      </c>
      <c r="X50" s="0" t="n">
        <f aca="false">IF(Matrice_OD!X50&lt;=Param!$B$2,EXP(-(Matrice_OD!X50^2)/Param!$B$5),0)</f>
        <v>0</v>
      </c>
      <c r="Y50" s="0" t="n">
        <f aca="false">IF(Matrice_OD!Y50&lt;=Param!$B$2,EXP(-(Matrice_OD!Y50^2)/Param!$B$5),0)</f>
        <v>0</v>
      </c>
      <c r="Z50" s="0" t="n">
        <f aca="false">IF(Matrice_OD!Z50&lt;=Param!$B$2,EXP(-(Matrice_OD!Z50^2)/Param!$B$5),0)</f>
        <v>0</v>
      </c>
      <c r="AA50" s="0" t="n">
        <f aca="false">IF(Matrice_OD!AA50&lt;=Param!$B$2,EXP(-(Matrice_OD!AA50^2)/Param!$B$5),0)</f>
        <v>0</v>
      </c>
      <c r="AB50" s="0" t="n">
        <f aca="false">IF(Matrice_OD!AB50&lt;=Param!$B$2,EXP(-(Matrice_OD!AB50^2)/Param!$B$5),0)</f>
        <v>0</v>
      </c>
      <c r="AC50" s="0" t="n">
        <f aca="false">IF(Matrice_OD!AC50&lt;=Param!$B$2,EXP(-(Matrice_OD!AC50^2)/Param!$B$5),0)</f>
        <v>0</v>
      </c>
      <c r="AD50" s="0" t="n">
        <f aca="false">IF(Matrice_OD!AD50&lt;=Param!$B$2,EXP(-(Matrice_OD!AD50^2)/Param!$B$5),0)</f>
        <v>0</v>
      </c>
      <c r="AE50" s="0" t="n">
        <f aca="false">IF(Matrice_OD!AE50&lt;=Param!$B$2,EXP(-(Matrice_OD!AE50^2)/Param!$B$5),0)</f>
        <v>0</v>
      </c>
      <c r="AF50" s="0" t="n">
        <f aca="false">IF(Matrice_OD!AF50&lt;=Param!$B$2,EXP(-(Matrice_OD!AF50^2)/Param!$B$5),0)</f>
        <v>0</v>
      </c>
      <c r="AG50" s="0" t="n">
        <f aca="false">IF(Matrice_OD!AG50&lt;=Param!$B$2,EXP(-(Matrice_OD!AG50^2)/Param!$B$5),0)</f>
        <v>0</v>
      </c>
      <c r="AH50" s="0" t="n">
        <f aca="false">IF(Matrice_OD!AH50&lt;=Param!$B$2,EXP(-(Matrice_OD!AH50^2)/Param!$B$5),0)</f>
        <v>0</v>
      </c>
      <c r="AI50" s="0" t="n">
        <f aca="false">IF(Matrice_OD!AI50&lt;=Param!$B$2,EXP(-(Matrice_OD!AI50^2)/Param!$B$5),0)</f>
        <v>0</v>
      </c>
      <c r="AJ50" s="0" t="n">
        <f aca="false">IF(Matrice_OD!AJ50&lt;=Param!$B$2,EXP(-(Matrice_OD!AJ50^2)/Param!$B$5),0)</f>
        <v>0</v>
      </c>
      <c r="AK50" s="0" t="n">
        <f aca="false">IF(Matrice_OD!AK50&lt;=Param!$B$2,EXP(-(Matrice_OD!AK50^2)/Param!$B$5),0)</f>
        <v>0</v>
      </c>
      <c r="AL50" s="0" t="n">
        <f aca="false">IF(Matrice_OD!AL50&lt;=Param!$B$2,EXP(-(Matrice_OD!AL50^2)/Param!$B$5),0)</f>
        <v>0</v>
      </c>
      <c r="AM50" s="0" t="n">
        <f aca="false">IF(Matrice_OD!AM50&lt;=Param!$B$2,EXP(-(Matrice_OD!AM50^2)/Param!$B$5),0)</f>
        <v>0</v>
      </c>
      <c r="AN50" s="0" t="n">
        <f aca="false">IF(Matrice_OD!AN50&lt;=Param!$B$2,EXP(-(Matrice_OD!AN50^2)/Param!$B$5),0)</f>
        <v>0</v>
      </c>
    </row>
    <row r="51" customFormat="false" ht="15" hidden="false" customHeight="true" outlineLevel="0" collapsed="false">
      <c r="A51" s="0" t="s">
        <v>200</v>
      </c>
      <c r="B51" s="0" t="s">
        <v>201</v>
      </c>
      <c r="C51" s="0" t="n">
        <f aca="false">IF(Matrice_OD!C51&lt;=Param!$B$2,EXP(-(Matrice_OD!C51^2)/Param!$B$5),0)</f>
        <v>0</v>
      </c>
      <c r="D51" s="0" t="n">
        <f aca="false">IF(Matrice_OD!D51&lt;=Param!$B$2,EXP(-(Matrice_OD!D51^2)/Param!$B$5),0)</f>
        <v>0</v>
      </c>
      <c r="E51" s="0" t="n">
        <f aca="false">IF(Matrice_OD!E51&lt;=Param!$B$2,EXP(-(Matrice_OD!E51^2)/Param!$B$5),0)</f>
        <v>0</v>
      </c>
      <c r="F51" s="0" t="n">
        <f aca="false">IF(Matrice_OD!F51&lt;=Param!$B$2,EXP(-(Matrice_OD!F51^2)/Param!$B$5),0)</f>
        <v>0</v>
      </c>
      <c r="G51" s="0" t="n">
        <f aca="false">IF(Matrice_OD!G51&lt;=Param!$B$2,EXP(-(Matrice_OD!G51^2)/Param!$B$5),0)</f>
        <v>0</v>
      </c>
      <c r="H51" s="0" t="n">
        <f aca="false">IF(Matrice_OD!H51&lt;=Param!$B$2,EXP(-(Matrice_OD!H51^2)/Param!$B$5),0)</f>
        <v>0</v>
      </c>
      <c r="I51" s="0" t="n">
        <f aca="false">IF(Matrice_OD!I51&lt;=Param!$B$2,EXP(-(Matrice_OD!I51^2)/Param!$B$5),0)</f>
        <v>0</v>
      </c>
      <c r="J51" s="0" t="n">
        <f aca="false">IF(Matrice_OD!J51&lt;=Param!$B$2,EXP(-(Matrice_OD!J51^2)/Param!$B$5),0)</f>
        <v>0</v>
      </c>
      <c r="K51" s="0" t="n">
        <f aca="false">IF(Matrice_OD!K51&lt;=Param!$B$2,EXP(-(Matrice_OD!K51^2)/Param!$B$5),0)</f>
        <v>0</v>
      </c>
      <c r="L51" s="0" t="n">
        <f aca="false">IF(Matrice_OD!L51&lt;=Param!$B$2,EXP(-(Matrice_OD!L51^2)/Param!$B$5),0)</f>
        <v>0</v>
      </c>
      <c r="M51" s="0" t="n">
        <f aca="false">IF(Matrice_OD!M51&lt;=Param!$B$2,EXP(-(Matrice_OD!M51^2)/Param!$B$5),0)</f>
        <v>0</v>
      </c>
      <c r="N51" s="0" t="n">
        <f aca="false">IF(Matrice_OD!N51&lt;=Param!$B$2,EXP(-(Matrice_OD!N51^2)/Param!$B$5),0)</f>
        <v>0</v>
      </c>
      <c r="O51" s="0" t="n">
        <f aca="false">IF(Matrice_OD!O51&lt;=Param!$B$2,EXP(-(Matrice_OD!O51^2)/Param!$B$5),0)</f>
        <v>0</v>
      </c>
      <c r="P51" s="0" t="n">
        <f aca="false">IF(Matrice_OD!P51&lt;=Param!$B$2,EXP(-(Matrice_OD!P51^2)/Param!$B$5),0)</f>
        <v>0</v>
      </c>
      <c r="Q51" s="0" t="n">
        <f aca="false">IF(Matrice_OD!Q51&lt;=Param!$B$2,EXP(-(Matrice_OD!Q51^2)/Param!$B$5),0)</f>
        <v>0</v>
      </c>
      <c r="R51" s="0" t="n">
        <f aca="false">IF(Matrice_OD!R51&lt;=Param!$B$2,EXP(-(Matrice_OD!R51^2)/Param!$B$5),0)</f>
        <v>0</v>
      </c>
      <c r="S51" s="0" t="n">
        <f aca="false">IF(Matrice_OD!S51&lt;=Param!$B$2,EXP(-(Matrice_OD!S51^2)/Param!$B$5),0)</f>
        <v>0</v>
      </c>
      <c r="T51" s="0" t="n">
        <f aca="false">IF(Matrice_OD!T51&lt;=Param!$B$2,EXP(-(Matrice_OD!T51^2)/Param!$B$5),0)</f>
        <v>0</v>
      </c>
      <c r="U51" s="0" t="n">
        <f aca="false">IF(Matrice_OD!U51&lt;=Param!$B$2,EXP(-(Matrice_OD!U51^2)/Param!$B$5),0)</f>
        <v>0</v>
      </c>
      <c r="V51" s="0" t="n">
        <f aca="false">IF(Matrice_OD!V51&lt;=Param!$B$2,EXP(-(Matrice_OD!V51^2)/Param!$B$5),0)</f>
        <v>0</v>
      </c>
      <c r="W51" s="0" t="n">
        <f aca="false">IF(Matrice_OD!W51&lt;=Param!$B$2,EXP(-(Matrice_OD!W51^2)/Param!$B$5),0)</f>
        <v>0</v>
      </c>
      <c r="X51" s="0" t="n">
        <f aca="false">IF(Matrice_OD!X51&lt;=Param!$B$2,EXP(-(Matrice_OD!X51^2)/Param!$B$5),0)</f>
        <v>0</v>
      </c>
      <c r="Y51" s="0" t="n">
        <f aca="false">IF(Matrice_OD!Y51&lt;=Param!$B$2,EXP(-(Matrice_OD!Y51^2)/Param!$B$5),0)</f>
        <v>0</v>
      </c>
      <c r="Z51" s="0" t="n">
        <f aca="false">IF(Matrice_OD!Z51&lt;=Param!$B$2,EXP(-(Matrice_OD!Z51^2)/Param!$B$5),0)</f>
        <v>0</v>
      </c>
      <c r="AA51" s="0" t="n">
        <f aca="false">IF(Matrice_OD!AA51&lt;=Param!$B$2,EXP(-(Matrice_OD!AA51^2)/Param!$B$5),0)</f>
        <v>0</v>
      </c>
      <c r="AB51" s="0" t="n">
        <f aca="false">IF(Matrice_OD!AB51&lt;=Param!$B$2,EXP(-(Matrice_OD!AB51^2)/Param!$B$5),0)</f>
        <v>0</v>
      </c>
      <c r="AC51" s="0" t="n">
        <f aca="false">IF(Matrice_OD!AC51&lt;=Param!$B$2,EXP(-(Matrice_OD!AC51^2)/Param!$B$5),0)</f>
        <v>0</v>
      </c>
      <c r="AD51" s="0" t="n">
        <f aca="false">IF(Matrice_OD!AD51&lt;=Param!$B$2,EXP(-(Matrice_OD!AD51^2)/Param!$B$5),0)</f>
        <v>0</v>
      </c>
      <c r="AE51" s="0" t="n">
        <f aca="false">IF(Matrice_OD!AE51&lt;=Param!$B$2,EXP(-(Matrice_OD!AE51^2)/Param!$B$5),0)</f>
        <v>0</v>
      </c>
      <c r="AF51" s="0" t="n">
        <f aca="false">IF(Matrice_OD!AF51&lt;=Param!$B$2,EXP(-(Matrice_OD!AF51^2)/Param!$B$5),0)</f>
        <v>0</v>
      </c>
      <c r="AG51" s="0" t="n">
        <f aca="false">IF(Matrice_OD!AG51&lt;=Param!$B$2,EXP(-(Matrice_OD!AG51^2)/Param!$B$5),0)</f>
        <v>0</v>
      </c>
      <c r="AH51" s="0" t="n">
        <f aca="false">IF(Matrice_OD!AH51&lt;=Param!$B$2,EXP(-(Matrice_OD!AH51^2)/Param!$B$5),0)</f>
        <v>0</v>
      </c>
      <c r="AI51" s="0" t="n">
        <f aca="false">IF(Matrice_OD!AI51&lt;=Param!$B$2,EXP(-(Matrice_OD!AI51^2)/Param!$B$5),0)</f>
        <v>0</v>
      </c>
      <c r="AJ51" s="0" t="n">
        <f aca="false">IF(Matrice_OD!AJ51&lt;=Param!$B$2,EXP(-(Matrice_OD!AJ51^2)/Param!$B$5),0)</f>
        <v>0</v>
      </c>
      <c r="AK51" s="0" t="n">
        <f aca="false">IF(Matrice_OD!AK51&lt;=Param!$B$2,EXP(-(Matrice_OD!AK51^2)/Param!$B$5),0)</f>
        <v>0</v>
      </c>
      <c r="AL51" s="0" t="n">
        <f aca="false">IF(Matrice_OD!AL51&lt;=Param!$B$2,EXP(-(Matrice_OD!AL51^2)/Param!$B$5),0)</f>
        <v>0</v>
      </c>
      <c r="AM51" s="0" t="n">
        <f aca="false">IF(Matrice_OD!AM51&lt;=Param!$B$2,EXP(-(Matrice_OD!AM51^2)/Param!$B$5),0)</f>
        <v>0</v>
      </c>
      <c r="AN51" s="0" t="n">
        <f aca="false">IF(Matrice_OD!AN51&lt;=Param!$B$2,EXP(-(Matrice_OD!AN51^2)/Param!$B$5),0)</f>
        <v>0.217506181937883</v>
      </c>
    </row>
    <row r="52" customFormat="false" ht="15" hidden="false" customHeight="true" outlineLevel="0" collapsed="false">
      <c r="A52" s="0" t="s">
        <v>202</v>
      </c>
      <c r="B52" s="0" t="s">
        <v>203</v>
      </c>
      <c r="C52" s="0" t="n">
        <f aca="false">IF(Matrice_OD!C52&lt;=Param!$B$2,EXP(-(Matrice_OD!C52^2)/Param!$B$5),0)</f>
        <v>0</v>
      </c>
      <c r="D52" s="0" t="n">
        <f aca="false">IF(Matrice_OD!D52&lt;=Param!$B$2,EXP(-(Matrice_OD!D52^2)/Param!$B$5),0)</f>
        <v>0</v>
      </c>
      <c r="E52" s="0" t="n">
        <f aca="false">IF(Matrice_OD!E52&lt;=Param!$B$2,EXP(-(Matrice_OD!E52^2)/Param!$B$5),0)</f>
        <v>0</v>
      </c>
      <c r="F52" s="0" t="n">
        <f aca="false">IF(Matrice_OD!F52&lt;=Param!$B$2,EXP(-(Matrice_OD!F52^2)/Param!$B$5),0)</f>
        <v>0</v>
      </c>
      <c r="G52" s="0" t="n">
        <f aca="false">IF(Matrice_OD!G52&lt;=Param!$B$2,EXP(-(Matrice_OD!G52^2)/Param!$B$5),0)</f>
        <v>0</v>
      </c>
      <c r="H52" s="0" t="n">
        <f aca="false">IF(Matrice_OD!H52&lt;=Param!$B$2,EXP(-(Matrice_OD!H52^2)/Param!$B$5),0)</f>
        <v>0</v>
      </c>
      <c r="I52" s="0" t="n">
        <f aca="false">IF(Matrice_OD!I52&lt;=Param!$B$2,EXP(-(Matrice_OD!I52^2)/Param!$B$5),0)</f>
        <v>0</v>
      </c>
      <c r="J52" s="0" t="n">
        <f aca="false">IF(Matrice_OD!J52&lt;=Param!$B$2,EXP(-(Matrice_OD!J52^2)/Param!$B$5),0)</f>
        <v>0</v>
      </c>
      <c r="K52" s="0" t="n">
        <f aca="false">IF(Matrice_OD!K52&lt;=Param!$B$2,EXP(-(Matrice_OD!K52^2)/Param!$B$5),0)</f>
        <v>0</v>
      </c>
      <c r="L52" s="0" t="n">
        <f aca="false">IF(Matrice_OD!L52&lt;=Param!$B$2,EXP(-(Matrice_OD!L52^2)/Param!$B$5),0)</f>
        <v>0</v>
      </c>
      <c r="M52" s="0" t="n">
        <f aca="false">IF(Matrice_OD!M52&lt;=Param!$B$2,EXP(-(Matrice_OD!M52^2)/Param!$B$5),0)</f>
        <v>0</v>
      </c>
      <c r="N52" s="0" t="n">
        <f aca="false">IF(Matrice_OD!N52&lt;=Param!$B$2,EXP(-(Matrice_OD!N52^2)/Param!$B$5),0)</f>
        <v>0</v>
      </c>
      <c r="O52" s="0" t="n">
        <f aca="false">IF(Matrice_OD!O52&lt;=Param!$B$2,EXP(-(Matrice_OD!O52^2)/Param!$B$5),0)</f>
        <v>0</v>
      </c>
      <c r="P52" s="0" t="n">
        <f aca="false">IF(Matrice_OD!P52&lt;=Param!$B$2,EXP(-(Matrice_OD!P52^2)/Param!$B$5),0)</f>
        <v>0</v>
      </c>
      <c r="Q52" s="0" t="n">
        <f aca="false">IF(Matrice_OD!Q52&lt;=Param!$B$2,EXP(-(Matrice_OD!Q52^2)/Param!$B$5),0)</f>
        <v>0</v>
      </c>
      <c r="R52" s="0" t="n">
        <f aca="false">IF(Matrice_OD!R52&lt;=Param!$B$2,EXP(-(Matrice_OD!R52^2)/Param!$B$5),0)</f>
        <v>0</v>
      </c>
      <c r="S52" s="0" t="n">
        <f aca="false">IF(Matrice_OD!S52&lt;=Param!$B$2,EXP(-(Matrice_OD!S52^2)/Param!$B$5),0)</f>
        <v>0</v>
      </c>
      <c r="T52" s="0" t="n">
        <f aca="false">IF(Matrice_OD!T52&lt;=Param!$B$2,EXP(-(Matrice_OD!T52^2)/Param!$B$5),0)</f>
        <v>0</v>
      </c>
      <c r="U52" s="0" t="n">
        <f aca="false">IF(Matrice_OD!U52&lt;=Param!$B$2,EXP(-(Matrice_OD!U52^2)/Param!$B$5),0)</f>
        <v>0</v>
      </c>
      <c r="V52" s="0" t="n">
        <f aca="false">IF(Matrice_OD!V52&lt;=Param!$B$2,EXP(-(Matrice_OD!V52^2)/Param!$B$5),0)</f>
        <v>0</v>
      </c>
      <c r="W52" s="0" t="n">
        <f aca="false">IF(Matrice_OD!W52&lt;=Param!$B$2,EXP(-(Matrice_OD!W52^2)/Param!$B$5),0)</f>
        <v>0</v>
      </c>
      <c r="X52" s="0" t="n">
        <f aca="false">IF(Matrice_OD!X52&lt;=Param!$B$2,EXP(-(Matrice_OD!X52^2)/Param!$B$5),0)</f>
        <v>0</v>
      </c>
      <c r="Y52" s="0" t="n">
        <f aca="false">IF(Matrice_OD!Y52&lt;=Param!$B$2,EXP(-(Matrice_OD!Y52^2)/Param!$B$5),0)</f>
        <v>0</v>
      </c>
      <c r="Z52" s="0" t="n">
        <f aca="false">IF(Matrice_OD!Z52&lt;=Param!$B$2,EXP(-(Matrice_OD!Z52^2)/Param!$B$5),0)</f>
        <v>0</v>
      </c>
      <c r="AA52" s="0" t="n">
        <f aca="false">IF(Matrice_OD!AA52&lt;=Param!$B$2,EXP(-(Matrice_OD!AA52^2)/Param!$B$5),0)</f>
        <v>0</v>
      </c>
      <c r="AB52" s="0" t="n">
        <f aca="false">IF(Matrice_OD!AB52&lt;=Param!$B$2,EXP(-(Matrice_OD!AB52^2)/Param!$B$5),0)</f>
        <v>0</v>
      </c>
      <c r="AC52" s="0" t="n">
        <f aca="false">IF(Matrice_OD!AC52&lt;=Param!$B$2,EXP(-(Matrice_OD!AC52^2)/Param!$B$5),0)</f>
        <v>0</v>
      </c>
      <c r="AD52" s="0" t="n">
        <f aca="false">IF(Matrice_OD!AD52&lt;=Param!$B$2,EXP(-(Matrice_OD!AD52^2)/Param!$B$5),0)</f>
        <v>0</v>
      </c>
      <c r="AE52" s="0" t="n">
        <f aca="false">IF(Matrice_OD!AE52&lt;=Param!$B$2,EXP(-(Matrice_OD!AE52^2)/Param!$B$5),0)</f>
        <v>0</v>
      </c>
      <c r="AF52" s="0" t="n">
        <f aca="false">IF(Matrice_OD!AF52&lt;=Param!$B$2,EXP(-(Matrice_OD!AF52^2)/Param!$B$5),0)</f>
        <v>0</v>
      </c>
      <c r="AG52" s="0" t="n">
        <f aca="false">IF(Matrice_OD!AG52&lt;=Param!$B$2,EXP(-(Matrice_OD!AG52^2)/Param!$B$5),0)</f>
        <v>0</v>
      </c>
      <c r="AH52" s="0" t="n">
        <f aca="false">IF(Matrice_OD!AH52&lt;=Param!$B$2,EXP(-(Matrice_OD!AH52^2)/Param!$B$5),0)</f>
        <v>0</v>
      </c>
      <c r="AI52" s="0" t="n">
        <f aca="false">IF(Matrice_OD!AI52&lt;=Param!$B$2,EXP(-(Matrice_OD!AI52^2)/Param!$B$5),0)</f>
        <v>0</v>
      </c>
      <c r="AJ52" s="0" t="n">
        <f aca="false">IF(Matrice_OD!AJ52&lt;=Param!$B$2,EXP(-(Matrice_OD!AJ52^2)/Param!$B$5),0)</f>
        <v>0</v>
      </c>
      <c r="AK52" s="0" t="n">
        <f aca="false">IF(Matrice_OD!AK52&lt;=Param!$B$2,EXP(-(Matrice_OD!AK52^2)/Param!$B$5),0)</f>
        <v>0</v>
      </c>
      <c r="AL52" s="0" t="n">
        <f aca="false">IF(Matrice_OD!AL52&lt;=Param!$B$2,EXP(-(Matrice_OD!AL52^2)/Param!$B$5),0)</f>
        <v>0</v>
      </c>
      <c r="AM52" s="0" t="n">
        <f aca="false">IF(Matrice_OD!AM52&lt;=Param!$B$2,EXP(-(Matrice_OD!AM52^2)/Param!$B$5),0)</f>
        <v>0</v>
      </c>
      <c r="AN52" s="0" t="n">
        <f aca="false">IF(Matrice_OD!AN52&lt;=Param!$B$2,EXP(-(Matrice_OD!AN52^2)/Param!$B$5),0)</f>
        <v>0.672838929400109</v>
      </c>
    </row>
    <row r="53" customFormat="false" ht="15" hidden="false" customHeight="true" outlineLevel="0" collapsed="false">
      <c r="A53" s="0" t="s">
        <v>204</v>
      </c>
      <c r="B53" s="0" t="s">
        <v>205</v>
      </c>
      <c r="C53" s="0" t="n">
        <f aca="false">IF(Matrice_OD!C53&lt;=Param!$B$2,EXP(-(Matrice_OD!C53^2)/Param!$B$5),0)</f>
        <v>0</v>
      </c>
      <c r="D53" s="0" t="n">
        <f aca="false">IF(Matrice_OD!D53&lt;=Param!$B$2,EXP(-(Matrice_OD!D53^2)/Param!$B$5),0)</f>
        <v>0</v>
      </c>
      <c r="E53" s="0" t="n">
        <f aca="false">IF(Matrice_OD!E53&lt;=Param!$B$2,EXP(-(Matrice_OD!E53^2)/Param!$B$5),0)</f>
        <v>0</v>
      </c>
      <c r="F53" s="0" t="n">
        <f aca="false">IF(Matrice_OD!F53&lt;=Param!$B$2,EXP(-(Matrice_OD!F53^2)/Param!$B$5),0)</f>
        <v>0</v>
      </c>
      <c r="G53" s="0" t="n">
        <f aca="false">IF(Matrice_OD!G53&lt;=Param!$B$2,EXP(-(Matrice_OD!G53^2)/Param!$B$5),0)</f>
        <v>0</v>
      </c>
      <c r="H53" s="0" t="n">
        <f aca="false">IF(Matrice_OD!H53&lt;=Param!$B$2,EXP(-(Matrice_OD!H53^2)/Param!$B$5),0)</f>
        <v>0</v>
      </c>
      <c r="I53" s="0" t="n">
        <f aca="false">IF(Matrice_OD!I53&lt;=Param!$B$2,EXP(-(Matrice_OD!I53^2)/Param!$B$5),0)</f>
        <v>0</v>
      </c>
      <c r="J53" s="0" t="n">
        <f aca="false">IF(Matrice_OD!J53&lt;=Param!$B$2,EXP(-(Matrice_OD!J53^2)/Param!$B$5),0)</f>
        <v>0</v>
      </c>
      <c r="K53" s="0" t="n">
        <f aca="false">IF(Matrice_OD!K53&lt;=Param!$B$2,EXP(-(Matrice_OD!K53^2)/Param!$B$5),0)</f>
        <v>0</v>
      </c>
      <c r="L53" s="0" t="n">
        <f aca="false">IF(Matrice_OD!L53&lt;=Param!$B$2,EXP(-(Matrice_OD!L53^2)/Param!$B$5),0)</f>
        <v>0</v>
      </c>
      <c r="M53" s="0" t="n">
        <f aca="false">IF(Matrice_OD!M53&lt;=Param!$B$2,EXP(-(Matrice_OD!M53^2)/Param!$B$5),0)</f>
        <v>0</v>
      </c>
      <c r="N53" s="0" t="n">
        <f aca="false">IF(Matrice_OD!N53&lt;=Param!$B$2,EXP(-(Matrice_OD!N53^2)/Param!$B$5),0)</f>
        <v>0</v>
      </c>
      <c r="O53" s="0" t="n">
        <f aca="false">IF(Matrice_OD!O53&lt;=Param!$B$2,EXP(-(Matrice_OD!O53^2)/Param!$B$5),0)</f>
        <v>0</v>
      </c>
      <c r="P53" s="0" t="n">
        <f aca="false">IF(Matrice_OD!P53&lt;=Param!$B$2,EXP(-(Matrice_OD!P53^2)/Param!$B$5),0)</f>
        <v>0</v>
      </c>
      <c r="Q53" s="0" t="n">
        <f aca="false">IF(Matrice_OD!Q53&lt;=Param!$B$2,EXP(-(Matrice_OD!Q53^2)/Param!$B$5),0)</f>
        <v>0</v>
      </c>
      <c r="R53" s="0" t="n">
        <f aca="false">IF(Matrice_OD!R53&lt;=Param!$B$2,EXP(-(Matrice_OD!R53^2)/Param!$B$5),0)</f>
        <v>0</v>
      </c>
      <c r="S53" s="0" t="n">
        <f aca="false">IF(Matrice_OD!S53&lt;=Param!$B$2,EXP(-(Matrice_OD!S53^2)/Param!$B$5),0)</f>
        <v>0</v>
      </c>
      <c r="T53" s="0" t="n">
        <f aca="false">IF(Matrice_OD!T53&lt;=Param!$B$2,EXP(-(Matrice_OD!T53^2)/Param!$B$5),0)</f>
        <v>0</v>
      </c>
      <c r="U53" s="0" t="n">
        <f aca="false">IF(Matrice_OD!U53&lt;=Param!$B$2,EXP(-(Matrice_OD!U53^2)/Param!$B$5),0)</f>
        <v>0</v>
      </c>
      <c r="V53" s="0" t="n">
        <f aca="false">IF(Matrice_OD!V53&lt;=Param!$B$2,EXP(-(Matrice_OD!V53^2)/Param!$B$5),0)</f>
        <v>0</v>
      </c>
      <c r="W53" s="0" t="n">
        <f aca="false">IF(Matrice_OD!W53&lt;=Param!$B$2,EXP(-(Matrice_OD!W53^2)/Param!$B$5),0)</f>
        <v>0</v>
      </c>
      <c r="X53" s="0" t="n">
        <f aca="false">IF(Matrice_OD!X53&lt;=Param!$B$2,EXP(-(Matrice_OD!X53^2)/Param!$B$5),0)</f>
        <v>0</v>
      </c>
      <c r="Y53" s="0" t="n">
        <f aca="false">IF(Matrice_OD!Y53&lt;=Param!$B$2,EXP(-(Matrice_OD!Y53^2)/Param!$B$5),0)</f>
        <v>0</v>
      </c>
      <c r="Z53" s="0" t="n">
        <f aca="false">IF(Matrice_OD!Z53&lt;=Param!$B$2,EXP(-(Matrice_OD!Z53^2)/Param!$B$5),0)</f>
        <v>0</v>
      </c>
      <c r="AA53" s="0" t="n">
        <f aca="false">IF(Matrice_OD!AA53&lt;=Param!$B$2,EXP(-(Matrice_OD!AA53^2)/Param!$B$5),0)</f>
        <v>0</v>
      </c>
      <c r="AB53" s="0" t="n">
        <f aca="false">IF(Matrice_OD!AB53&lt;=Param!$B$2,EXP(-(Matrice_OD!AB53^2)/Param!$B$5),0)</f>
        <v>0</v>
      </c>
      <c r="AC53" s="0" t="n">
        <f aca="false">IF(Matrice_OD!AC53&lt;=Param!$B$2,EXP(-(Matrice_OD!AC53^2)/Param!$B$5),0)</f>
        <v>0</v>
      </c>
      <c r="AD53" s="0" t="n">
        <f aca="false">IF(Matrice_OD!AD53&lt;=Param!$B$2,EXP(-(Matrice_OD!AD53^2)/Param!$B$5),0)</f>
        <v>0</v>
      </c>
      <c r="AE53" s="0" t="n">
        <f aca="false">IF(Matrice_OD!AE53&lt;=Param!$B$2,EXP(-(Matrice_OD!AE53^2)/Param!$B$5),0)</f>
        <v>0</v>
      </c>
      <c r="AF53" s="0" t="n">
        <f aca="false">IF(Matrice_OD!AF53&lt;=Param!$B$2,EXP(-(Matrice_OD!AF53^2)/Param!$B$5),0)</f>
        <v>0</v>
      </c>
      <c r="AG53" s="0" t="n">
        <f aca="false">IF(Matrice_OD!AG53&lt;=Param!$B$2,EXP(-(Matrice_OD!AG53^2)/Param!$B$5),0)</f>
        <v>0</v>
      </c>
      <c r="AH53" s="0" t="n">
        <f aca="false">IF(Matrice_OD!AH53&lt;=Param!$B$2,EXP(-(Matrice_OD!AH53^2)/Param!$B$5),0)</f>
        <v>0</v>
      </c>
      <c r="AI53" s="0" t="n">
        <f aca="false">IF(Matrice_OD!AI53&lt;=Param!$B$2,EXP(-(Matrice_OD!AI53^2)/Param!$B$5),0)</f>
        <v>0</v>
      </c>
      <c r="AJ53" s="0" t="n">
        <f aca="false">IF(Matrice_OD!AJ53&lt;=Param!$B$2,EXP(-(Matrice_OD!AJ53^2)/Param!$B$5),0)</f>
        <v>0</v>
      </c>
      <c r="AK53" s="0" t="n">
        <f aca="false">IF(Matrice_OD!AK53&lt;=Param!$B$2,EXP(-(Matrice_OD!AK53^2)/Param!$B$5),0)</f>
        <v>0</v>
      </c>
      <c r="AL53" s="0" t="n">
        <f aca="false">IF(Matrice_OD!AL53&lt;=Param!$B$2,EXP(-(Matrice_OD!AL53^2)/Param!$B$5),0)</f>
        <v>0</v>
      </c>
      <c r="AM53" s="0" t="n">
        <f aca="false">IF(Matrice_OD!AM53&lt;=Param!$B$2,EXP(-(Matrice_OD!AM53^2)/Param!$B$5),0)</f>
        <v>0</v>
      </c>
      <c r="AN53" s="0" t="n">
        <f aca="false">IF(Matrice_OD!AN53&lt;=Param!$B$2,EXP(-(Matrice_OD!AN53^2)/Param!$B$5),0)</f>
        <v>0.640353449106476</v>
      </c>
    </row>
    <row r="54" customFormat="false" ht="15" hidden="false" customHeight="true" outlineLevel="0" collapsed="false">
      <c r="A54" s="0" t="s">
        <v>206</v>
      </c>
      <c r="B54" s="0" t="s">
        <v>207</v>
      </c>
      <c r="C54" s="0" t="n">
        <f aca="false">IF(Matrice_OD!C54&lt;=Param!$B$2,EXP(-(Matrice_OD!C54^2)/Param!$B$5),0)</f>
        <v>0</v>
      </c>
      <c r="D54" s="0" t="n">
        <f aca="false">IF(Matrice_OD!D54&lt;=Param!$B$2,EXP(-(Matrice_OD!D54^2)/Param!$B$5),0)</f>
        <v>0</v>
      </c>
      <c r="E54" s="0" t="n">
        <f aca="false">IF(Matrice_OD!E54&lt;=Param!$B$2,EXP(-(Matrice_OD!E54^2)/Param!$B$5),0)</f>
        <v>0</v>
      </c>
      <c r="F54" s="0" t="n">
        <f aca="false">IF(Matrice_OD!F54&lt;=Param!$B$2,EXP(-(Matrice_OD!F54^2)/Param!$B$5),0)</f>
        <v>0</v>
      </c>
      <c r="G54" s="0" t="n">
        <f aca="false">IF(Matrice_OD!G54&lt;=Param!$B$2,EXP(-(Matrice_OD!G54^2)/Param!$B$5),0)</f>
        <v>0</v>
      </c>
      <c r="H54" s="0" t="n">
        <f aca="false">IF(Matrice_OD!H54&lt;=Param!$B$2,EXP(-(Matrice_OD!H54^2)/Param!$B$5),0)</f>
        <v>0</v>
      </c>
      <c r="I54" s="0" t="n">
        <f aca="false">IF(Matrice_OD!I54&lt;=Param!$B$2,EXP(-(Matrice_OD!I54^2)/Param!$B$5),0)</f>
        <v>0</v>
      </c>
      <c r="J54" s="0" t="n">
        <f aca="false">IF(Matrice_OD!J54&lt;=Param!$B$2,EXP(-(Matrice_OD!J54^2)/Param!$B$5),0)</f>
        <v>0</v>
      </c>
      <c r="K54" s="0" t="n">
        <f aca="false">IF(Matrice_OD!K54&lt;=Param!$B$2,EXP(-(Matrice_OD!K54^2)/Param!$B$5),0)</f>
        <v>0</v>
      </c>
      <c r="L54" s="0" t="n">
        <f aca="false">IF(Matrice_OD!L54&lt;=Param!$B$2,EXP(-(Matrice_OD!L54^2)/Param!$B$5),0)</f>
        <v>0</v>
      </c>
      <c r="M54" s="0" t="n">
        <f aca="false">IF(Matrice_OD!M54&lt;=Param!$B$2,EXP(-(Matrice_OD!M54^2)/Param!$B$5),0)</f>
        <v>0</v>
      </c>
      <c r="N54" s="0" t="n">
        <f aca="false">IF(Matrice_OD!N54&lt;=Param!$B$2,EXP(-(Matrice_OD!N54^2)/Param!$B$5),0)</f>
        <v>0</v>
      </c>
      <c r="O54" s="0" t="n">
        <f aca="false">IF(Matrice_OD!O54&lt;=Param!$B$2,EXP(-(Matrice_OD!O54^2)/Param!$B$5),0)</f>
        <v>0</v>
      </c>
      <c r="P54" s="0" t="n">
        <f aca="false">IF(Matrice_OD!P54&lt;=Param!$B$2,EXP(-(Matrice_OD!P54^2)/Param!$B$5),0)</f>
        <v>0</v>
      </c>
      <c r="Q54" s="0" t="n">
        <f aca="false">IF(Matrice_OD!Q54&lt;=Param!$B$2,EXP(-(Matrice_OD!Q54^2)/Param!$B$5),0)</f>
        <v>0</v>
      </c>
      <c r="R54" s="0" t="n">
        <f aca="false">IF(Matrice_OD!R54&lt;=Param!$B$2,EXP(-(Matrice_OD!R54^2)/Param!$B$5),0)</f>
        <v>0</v>
      </c>
      <c r="S54" s="0" t="n">
        <f aca="false">IF(Matrice_OD!S54&lt;=Param!$B$2,EXP(-(Matrice_OD!S54^2)/Param!$B$5),0)</f>
        <v>0</v>
      </c>
      <c r="T54" s="0" t="n">
        <f aca="false">IF(Matrice_OD!T54&lt;=Param!$B$2,EXP(-(Matrice_OD!T54^2)/Param!$B$5),0)</f>
        <v>0</v>
      </c>
      <c r="U54" s="0" t="n">
        <f aca="false">IF(Matrice_OD!U54&lt;=Param!$B$2,EXP(-(Matrice_OD!U54^2)/Param!$B$5),0)</f>
        <v>0</v>
      </c>
      <c r="V54" s="0" t="n">
        <f aca="false">IF(Matrice_OD!V54&lt;=Param!$B$2,EXP(-(Matrice_OD!V54^2)/Param!$B$5),0)</f>
        <v>0</v>
      </c>
      <c r="W54" s="0" t="n">
        <f aca="false">IF(Matrice_OD!W54&lt;=Param!$B$2,EXP(-(Matrice_OD!W54^2)/Param!$B$5),0)</f>
        <v>0</v>
      </c>
      <c r="X54" s="0" t="n">
        <f aca="false">IF(Matrice_OD!X54&lt;=Param!$B$2,EXP(-(Matrice_OD!X54^2)/Param!$B$5),0)</f>
        <v>0</v>
      </c>
      <c r="Y54" s="0" t="n">
        <f aca="false">IF(Matrice_OD!Y54&lt;=Param!$B$2,EXP(-(Matrice_OD!Y54^2)/Param!$B$5),0)</f>
        <v>0</v>
      </c>
      <c r="Z54" s="0" t="n">
        <f aca="false">IF(Matrice_OD!Z54&lt;=Param!$B$2,EXP(-(Matrice_OD!Z54^2)/Param!$B$5),0)</f>
        <v>0</v>
      </c>
      <c r="AA54" s="0" t="n">
        <f aca="false">IF(Matrice_OD!AA54&lt;=Param!$B$2,EXP(-(Matrice_OD!AA54^2)/Param!$B$5),0)</f>
        <v>0</v>
      </c>
      <c r="AB54" s="0" t="n">
        <f aca="false">IF(Matrice_OD!AB54&lt;=Param!$B$2,EXP(-(Matrice_OD!AB54^2)/Param!$B$5),0)</f>
        <v>0</v>
      </c>
      <c r="AC54" s="0" t="n">
        <f aca="false">IF(Matrice_OD!AC54&lt;=Param!$B$2,EXP(-(Matrice_OD!AC54^2)/Param!$B$5),0)</f>
        <v>0</v>
      </c>
      <c r="AD54" s="0" t="n">
        <f aca="false">IF(Matrice_OD!AD54&lt;=Param!$B$2,EXP(-(Matrice_OD!AD54^2)/Param!$B$5),0)</f>
        <v>0</v>
      </c>
      <c r="AE54" s="0" t="n">
        <f aca="false">IF(Matrice_OD!AE54&lt;=Param!$B$2,EXP(-(Matrice_OD!AE54^2)/Param!$B$5),0)</f>
        <v>0</v>
      </c>
      <c r="AF54" s="0" t="n">
        <f aca="false">IF(Matrice_OD!AF54&lt;=Param!$B$2,EXP(-(Matrice_OD!AF54^2)/Param!$B$5),0)</f>
        <v>0</v>
      </c>
      <c r="AG54" s="0" t="n">
        <f aca="false">IF(Matrice_OD!AG54&lt;=Param!$B$2,EXP(-(Matrice_OD!AG54^2)/Param!$B$5),0)</f>
        <v>0</v>
      </c>
      <c r="AH54" s="0" t="n">
        <f aca="false">IF(Matrice_OD!AH54&lt;=Param!$B$2,EXP(-(Matrice_OD!AH54^2)/Param!$B$5),0)</f>
        <v>0</v>
      </c>
      <c r="AI54" s="0" t="n">
        <f aca="false">IF(Matrice_OD!AI54&lt;=Param!$B$2,EXP(-(Matrice_OD!AI54^2)/Param!$B$5),0)</f>
        <v>0</v>
      </c>
      <c r="AJ54" s="0" t="n">
        <f aca="false">IF(Matrice_OD!AJ54&lt;=Param!$B$2,EXP(-(Matrice_OD!AJ54^2)/Param!$B$5),0)</f>
        <v>0</v>
      </c>
      <c r="AK54" s="0" t="n">
        <f aca="false">IF(Matrice_OD!AK54&lt;=Param!$B$2,EXP(-(Matrice_OD!AK54^2)/Param!$B$5),0)</f>
        <v>0</v>
      </c>
      <c r="AL54" s="0" t="n">
        <f aca="false">IF(Matrice_OD!AL54&lt;=Param!$B$2,EXP(-(Matrice_OD!AL54^2)/Param!$B$5),0)</f>
        <v>0</v>
      </c>
      <c r="AM54" s="0" t="n">
        <f aca="false">IF(Matrice_OD!AM54&lt;=Param!$B$2,EXP(-(Matrice_OD!AM54^2)/Param!$B$5),0)</f>
        <v>0</v>
      </c>
      <c r="AN54" s="0" t="n">
        <f aca="false">IF(Matrice_OD!AN54&lt;=Param!$B$2,EXP(-(Matrice_OD!AN54^2)/Param!$B$5),0)</f>
        <v>0</v>
      </c>
    </row>
    <row r="55" customFormat="false" ht="15" hidden="false" customHeight="true" outlineLevel="0" collapsed="false">
      <c r="A55" s="0" t="s">
        <v>208</v>
      </c>
      <c r="B55" s="0" t="s">
        <v>209</v>
      </c>
      <c r="C55" s="0" t="n">
        <f aca="false">IF(Matrice_OD!C55&lt;=Param!$B$2,EXP(-(Matrice_OD!C55^2)/Param!$B$5),0)</f>
        <v>0.15433413777722</v>
      </c>
      <c r="D55" s="0" t="n">
        <f aca="false">IF(Matrice_OD!D55&lt;=Param!$B$2,EXP(-(Matrice_OD!D55^2)/Param!$B$5),0)</f>
        <v>0.142130508116449</v>
      </c>
      <c r="E55" s="0" t="n">
        <f aca="false">IF(Matrice_OD!E55&lt;=Param!$B$2,EXP(-(Matrice_OD!E55^2)/Param!$B$5),0)</f>
        <v>0.127925794665297</v>
      </c>
      <c r="F55" s="0" t="n">
        <f aca="false">IF(Matrice_OD!F55&lt;=Param!$B$2,EXP(-(Matrice_OD!F55^2)/Param!$B$5),0)</f>
        <v>0.126966243828693</v>
      </c>
      <c r="G55" s="0" t="n">
        <f aca="false">IF(Matrice_OD!G55&lt;=Param!$B$2,EXP(-(Matrice_OD!G55^2)/Param!$B$5),0)</f>
        <v>0.122419267844787</v>
      </c>
      <c r="H55" s="0" t="n">
        <f aca="false">IF(Matrice_OD!H55&lt;=Param!$B$2,EXP(-(Matrice_OD!H55^2)/Param!$B$5),0)</f>
        <v>0.11701346157969</v>
      </c>
      <c r="I55" s="0" t="n">
        <f aca="false">IF(Matrice_OD!I55&lt;=Param!$B$2,EXP(-(Matrice_OD!I55^2)/Param!$B$5),0)</f>
        <v>0.115954604784211</v>
      </c>
      <c r="J55" s="0" t="n">
        <f aca="false">IF(Matrice_OD!J55&lt;=Param!$B$2,EXP(-(Matrice_OD!J55^2)/Param!$B$5),0)</f>
        <v>0.113459344881916</v>
      </c>
      <c r="K55" s="0" t="n">
        <f aca="false">IF(Matrice_OD!K55&lt;=Param!$B$2,EXP(-(Matrice_OD!K55^2)/Param!$B$5),0)</f>
        <v>0.111950560323012</v>
      </c>
      <c r="L55" s="0" t="n">
        <f aca="false">IF(Matrice_OD!L55&lt;=Param!$B$2,EXP(-(Matrice_OD!L55^2)/Param!$B$5),0)</f>
        <v>0.111319933512094</v>
      </c>
      <c r="M55" s="0" t="n">
        <f aca="false">IF(Matrice_OD!M55&lt;=Param!$B$2,EXP(-(Matrice_OD!M55^2)/Param!$B$5),0)</f>
        <v>0.111084156967373</v>
      </c>
      <c r="N55" s="0" t="n">
        <f aca="false">IF(Matrice_OD!N55&lt;=Param!$B$2,EXP(-(Matrice_OD!N55^2)/Param!$B$5),0)</f>
        <v>0.108824830651587</v>
      </c>
      <c r="O55" s="0" t="n">
        <f aca="false">IF(Matrice_OD!O55&lt;=Param!$B$2,EXP(-(Matrice_OD!O55^2)/Param!$B$5),0)</f>
        <v>0.108361858373206</v>
      </c>
      <c r="P55" s="0" t="n">
        <f aca="false">IF(Matrice_OD!P55&lt;=Param!$B$2,EXP(-(Matrice_OD!P55^2)/Param!$B$5),0)</f>
        <v>0.10759363195424</v>
      </c>
      <c r="Q55" s="0" t="n">
        <f aca="false">IF(Matrice_OD!Q55&lt;=Param!$B$2,EXP(-(Matrice_OD!Q55^2)/Param!$B$5),0)</f>
        <v>0.105088438337967</v>
      </c>
      <c r="R55" s="0" t="n">
        <f aca="false">IF(Matrice_OD!R55&lt;=Param!$B$2,EXP(-(Matrice_OD!R55^2)/Param!$B$5),0)</f>
        <v>0.104114095586248</v>
      </c>
      <c r="S55" s="0" t="n">
        <f aca="false">IF(Matrice_OD!S55&lt;=Param!$B$2,EXP(-(Matrice_OD!S55^2)/Param!$B$5),0)</f>
        <v>0.102039424374581</v>
      </c>
      <c r="T55" s="0" t="n">
        <f aca="false">IF(Matrice_OD!T55&lt;=Param!$B$2,EXP(-(Matrice_OD!T55^2)/Param!$B$5),0)</f>
        <v>0.016621249894693</v>
      </c>
      <c r="U55" s="0" t="n">
        <f aca="false">IF(Matrice_OD!U55&lt;=Param!$B$2,EXP(-(Matrice_OD!U55^2)/Param!$B$5),0)</f>
        <v>0</v>
      </c>
      <c r="V55" s="0" t="n">
        <f aca="false">IF(Matrice_OD!V55&lt;=Param!$B$2,EXP(-(Matrice_OD!V55^2)/Param!$B$5),0)</f>
        <v>0</v>
      </c>
      <c r="W55" s="0" t="n">
        <f aca="false">IF(Matrice_OD!W55&lt;=Param!$B$2,EXP(-(Matrice_OD!W55^2)/Param!$B$5),0)</f>
        <v>0</v>
      </c>
      <c r="X55" s="0" t="n">
        <f aca="false">IF(Matrice_OD!X55&lt;=Param!$B$2,EXP(-(Matrice_OD!X55^2)/Param!$B$5),0)</f>
        <v>0</v>
      </c>
      <c r="Y55" s="0" t="n">
        <f aca="false">IF(Matrice_OD!Y55&lt;=Param!$B$2,EXP(-(Matrice_OD!Y55^2)/Param!$B$5),0)</f>
        <v>0</v>
      </c>
      <c r="Z55" s="0" t="n">
        <f aca="false">IF(Matrice_OD!Z55&lt;=Param!$B$2,EXP(-(Matrice_OD!Z55^2)/Param!$B$5),0)</f>
        <v>0</v>
      </c>
      <c r="AA55" s="0" t="n">
        <f aca="false">IF(Matrice_OD!AA55&lt;=Param!$B$2,EXP(-(Matrice_OD!AA55^2)/Param!$B$5),0)</f>
        <v>0</v>
      </c>
      <c r="AB55" s="0" t="n">
        <f aca="false">IF(Matrice_OD!AB55&lt;=Param!$B$2,EXP(-(Matrice_OD!AB55^2)/Param!$B$5),0)</f>
        <v>0</v>
      </c>
      <c r="AC55" s="0" t="n">
        <f aca="false">IF(Matrice_OD!AC55&lt;=Param!$B$2,EXP(-(Matrice_OD!AC55^2)/Param!$B$5),0)</f>
        <v>0</v>
      </c>
      <c r="AD55" s="0" t="n">
        <f aca="false">IF(Matrice_OD!AD55&lt;=Param!$B$2,EXP(-(Matrice_OD!AD55^2)/Param!$B$5),0)</f>
        <v>0</v>
      </c>
      <c r="AE55" s="0" t="n">
        <f aca="false">IF(Matrice_OD!AE55&lt;=Param!$B$2,EXP(-(Matrice_OD!AE55^2)/Param!$B$5),0)</f>
        <v>0</v>
      </c>
      <c r="AF55" s="0" t="n">
        <f aca="false">IF(Matrice_OD!AF55&lt;=Param!$B$2,EXP(-(Matrice_OD!AF55^2)/Param!$B$5),0)</f>
        <v>0</v>
      </c>
      <c r="AG55" s="0" t="n">
        <f aca="false">IF(Matrice_OD!AG55&lt;=Param!$B$2,EXP(-(Matrice_OD!AG55^2)/Param!$B$5),0)</f>
        <v>0.666772650545938</v>
      </c>
      <c r="AH55" s="0" t="n">
        <f aca="false">IF(Matrice_OD!AH55&lt;=Param!$B$2,EXP(-(Matrice_OD!AH55^2)/Param!$B$5),0)</f>
        <v>0.0964300616562779</v>
      </c>
      <c r="AI55" s="0" t="n">
        <f aca="false">IF(Matrice_OD!AI55&lt;=Param!$B$2,EXP(-(Matrice_OD!AI55^2)/Param!$B$5),0)</f>
        <v>0.0187539227802322</v>
      </c>
      <c r="AJ55" s="0" t="n">
        <f aca="false">IF(Matrice_OD!AJ55&lt;=Param!$B$2,EXP(-(Matrice_OD!AJ55^2)/Param!$B$5),0)</f>
        <v>0</v>
      </c>
      <c r="AK55" s="0" t="n">
        <f aca="false">IF(Matrice_OD!AK55&lt;=Param!$B$2,EXP(-(Matrice_OD!AK55^2)/Param!$B$5),0)</f>
        <v>0</v>
      </c>
      <c r="AL55" s="0" t="n">
        <f aca="false">IF(Matrice_OD!AL55&lt;=Param!$B$2,EXP(-(Matrice_OD!AL55^2)/Param!$B$5),0)</f>
        <v>0</v>
      </c>
      <c r="AM55" s="0" t="n">
        <f aca="false">IF(Matrice_OD!AM55&lt;=Param!$B$2,EXP(-(Matrice_OD!AM55^2)/Param!$B$5),0)</f>
        <v>0.138195476336394</v>
      </c>
      <c r="AN55" s="0" t="n">
        <f aca="false">IF(Matrice_OD!AN55&lt;=Param!$B$2,EXP(-(Matrice_OD!AN55^2)/Param!$B$5),0)</f>
        <v>0</v>
      </c>
    </row>
    <row r="56" customFormat="false" ht="15" hidden="false" customHeight="true" outlineLevel="0" collapsed="false">
      <c r="A56" s="0" t="s">
        <v>210</v>
      </c>
      <c r="B56" s="0" t="s">
        <v>211</v>
      </c>
      <c r="C56" s="0" t="n">
        <f aca="false">IF(Matrice_OD!C56&lt;=Param!$B$2,EXP(-(Matrice_OD!C56^2)/Param!$B$5),0)</f>
        <v>0.0583183110946967</v>
      </c>
      <c r="D56" s="0" t="n">
        <f aca="false">IF(Matrice_OD!D56&lt;=Param!$B$2,EXP(-(Matrice_OD!D56^2)/Param!$B$5),0)</f>
        <v>0.222411093038484</v>
      </c>
      <c r="E56" s="0" t="n">
        <f aca="false">IF(Matrice_OD!E56&lt;=Param!$B$2,EXP(-(Matrice_OD!E56^2)/Param!$B$5),0)</f>
        <v>0.226203609626012</v>
      </c>
      <c r="F56" s="0" t="n">
        <f aca="false">IF(Matrice_OD!F56&lt;=Param!$B$2,EXP(-(Matrice_OD!F56^2)/Param!$B$5),0)</f>
        <v>0.241662785918357</v>
      </c>
      <c r="G56" s="0" t="n">
        <f aca="false">IF(Matrice_OD!G56&lt;=Param!$B$2,EXP(-(Matrice_OD!G56^2)/Param!$B$5),0)</f>
        <v>0.246500638973197</v>
      </c>
      <c r="H56" s="0" t="n">
        <f aca="false">IF(Matrice_OD!H56&lt;=Param!$B$2,EXP(-(Matrice_OD!H56^2)/Param!$B$5),0)</f>
        <v>0.255080021220264</v>
      </c>
      <c r="I56" s="0" t="n">
        <f aca="false">IF(Matrice_OD!I56&lt;=Param!$B$2,EXP(-(Matrice_OD!I56^2)/Param!$B$5),0)</f>
        <v>0.272353903988212</v>
      </c>
      <c r="J56" s="0" t="n">
        <f aca="false">IF(Matrice_OD!J56&lt;=Param!$B$2,EXP(-(Matrice_OD!J56^2)/Param!$B$5),0)</f>
        <v>0.262107102883366</v>
      </c>
      <c r="K56" s="0" t="n">
        <f aca="false">IF(Matrice_OD!K56&lt;=Param!$B$2,EXP(-(Matrice_OD!K56^2)/Param!$B$5),0)</f>
        <v>0.252105313973322</v>
      </c>
      <c r="L56" s="0" t="n">
        <f aca="false">IF(Matrice_OD!L56&lt;=Param!$B$2,EXP(-(Matrice_OD!L56^2)/Param!$B$5),0)</f>
        <v>0.281935076387827</v>
      </c>
      <c r="M56" s="0" t="n">
        <f aca="false">IF(Matrice_OD!M56&lt;=Param!$B$2,EXP(-(Matrice_OD!M56^2)/Param!$B$5),0)</f>
        <v>0.24873282997661</v>
      </c>
      <c r="N56" s="0" t="n">
        <f aca="false">IF(Matrice_OD!N56&lt;=Param!$B$2,EXP(-(Matrice_OD!N56^2)/Param!$B$5),0)</f>
        <v>0.249152803215893</v>
      </c>
      <c r="O56" s="0" t="n">
        <f aca="false">IF(Matrice_OD!O56&lt;=Param!$B$2,EXP(-(Matrice_OD!O56^2)/Param!$B$5),0)</f>
        <v>0.281481448851755</v>
      </c>
      <c r="P56" s="0" t="n">
        <f aca="false">IF(Matrice_OD!P56&lt;=Param!$B$2,EXP(-(Matrice_OD!P56^2)/Param!$B$5),0)</f>
        <v>0.273837619710419</v>
      </c>
      <c r="Q56" s="0" t="n">
        <f aca="false">IF(Matrice_OD!Q56&lt;=Param!$B$2,EXP(-(Matrice_OD!Q56^2)/Param!$B$5),0)</f>
        <v>0.287566094369938</v>
      </c>
      <c r="R56" s="0" t="n">
        <f aca="false">IF(Matrice_OD!R56&lt;=Param!$B$2,EXP(-(Matrice_OD!R56^2)/Param!$B$5),0)</f>
        <v>0.269548511723464</v>
      </c>
      <c r="S56" s="0" t="n">
        <f aca="false">IF(Matrice_OD!S56&lt;=Param!$B$2,EXP(-(Matrice_OD!S56^2)/Param!$B$5),0)</f>
        <v>0.288638951506778</v>
      </c>
      <c r="T56" s="0" t="n">
        <f aca="false">IF(Matrice_OD!T56&lt;=Param!$B$2,EXP(-(Matrice_OD!T56^2)/Param!$B$5),0)</f>
        <v>0.0153206018793711</v>
      </c>
      <c r="U56" s="0" t="n">
        <f aca="false">IF(Matrice_OD!U56&lt;=Param!$B$2,EXP(-(Matrice_OD!U56^2)/Param!$B$5),0)</f>
        <v>0</v>
      </c>
      <c r="V56" s="0" t="n">
        <f aca="false">IF(Matrice_OD!V56&lt;=Param!$B$2,EXP(-(Matrice_OD!V56^2)/Param!$B$5),0)</f>
        <v>0</v>
      </c>
      <c r="W56" s="0" t="n">
        <f aca="false">IF(Matrice_OD!W56&lt;=Param!$B$2,EXP(-(Matrice_OD!W56^2)/Param!$B$5),0)</f>
        <v>0</v>
      </c>
      <c r="X56" s="0" t="n">
        <f aca="false">IF(Matrice_OD!X56&lt;=Param!$B$2,EXP(-(Matrice_OD!X56^2)/Param!$B$5),0)</f>
        <v>0</v>
      </c>
      <c r="Y56" s="0" t="n">
        <f aca="false">IF(Matrice_OD!Y56&lt;=Param!$B$2,EXP(-(Matrice_OD!Y56^2)/Param!$B$5),0)</f>
        <v>0</v>
      </c>
      <c r="Z56" s="0" t="n">
        <f aca="false">IF(Matrice_OD!Z56&lt;=Param!$B$2,EXP(-(Matrice_OD!Z56^2)/Param!$B$5),0)</f>
        <v>0</v>
      </c>
      <c r="AA56" s="0" t="n">
        <f aca="false">IF(Matrice_OD!AA56&lt;=Param!$B$2,EXP(-(Matrice_OD!AA56^2)/Param!$B$5),0)</f>
        <v>0</v>
      </c>
      <c r="AB56" s="0" t="n">
        <f aca="false">IF(Matrice_OD!AB56&lt;=Param!$B$2,EXP(-(Matrice_OD!AB56^2)/Param!$B$5),0)</f>
        <v>0</v>
      </c>
      <c r="AC56" s="0" t="n">
        <f aca="false">IF(Matrice_OD!AC56&lt;=Param!$B$2,EXP(-(Matrice_OD!AC56^2)/Param!$B$5),0)</f>
        <v>0</v>
      </c>
      <c r="AD56" s="0" t="n">
        <f aca="false">IF(Matrice_OD!AD56&lt;=Param!$B$2,EXP(-(Matrice_OD!AD56^2)/Param!$B$5),0)</f>
        <v>0</v>
      </c>
      <c r="AE56" s="0" t="n">
        <f aca="false">IF(Matrice_OD!AE56&lt;=Param!$B$2,EXP(-(Matrice_OD!AE56^2)/Param!$B$5),0)</f>
        <v>0</v>
      </c>
      <c r="AF56" s="0" t="n">
        <f aca="false">IF(Matrice_OD!AF56&lt;=Param!$B$2,EXP(-(Matrice_OD!AF56^2)/Param!$B$5),0)</f>
        <v>0</v>
      </c>
      <c r="AG56" s="0" t="n">
        <f aca="false">IF(Matrice_OD!AG56&lt;=Param!$B$2,EXP(-(Matrice_OD!AG56^2)/Param!$B$5),0)</f>
        <v>0.0694096337972817</v>
      </c>
      <c r="AH56" s="0" t="n">
        <f aca="false">IF(Matrice_OD!AH56&lt;=Param!$B$2,EXP(-(Matrice_OD!AH56^2)/Param!$B$5),0)</f>
        <v>0.295748427697716</v>
      </c>
      <c r="AI56" s="0" t="n">
        <f aca="false">IF(Matrice_OD!AI56&lt;=Param!$B$2,EXP(-(Matrice_OD!AI56^2)/Param!$B$5),0)</f>
        <v>0.0139996733079469</v>
      </c>
      <c r="AJ56" s="0" t="n">
        <f aca="false">IF(Matrice_OD!AJ56&lt;=Param!$B$2,EXP(-(Matrice_OD!AJ56^2)/Param!$B$5),0)</f>
        <v>0</v>
      </c>
      <c r="AK56" s="0" t="n">
        <f aca="false">IF(Matrice_OD!AK56&lt;=Param!$B$2,EXP(-(Matrice_OD!AK56^2)/Param!$B$5),0)</f>
        <v>0</v>
      </c>
      <c r="AL56" s="0" t="n">
        <f aca="false">IF(Matrice_OD!AL56&lt;=Param!$B$2,EXP(-(Matrice_OD!AL56^2)/Param!$B$5),0)</f>
        <v>0</v>
      </c>
      <c r="AM56" s="0" t="n">
        <f aca="false">IF(Matrice_OD!AM56&lt;=Param!$B$2,EXP(-(Matrice_OD!AM56^2)/Param!$B$5),0)</f>
        <v>0.0512048515162703</v>
      </c>
      <c r="AN56" s="0" t="n">
        <f aca="false">IF(Matrice_OD!AN56&lt;=Param!$B$2,EXP(-(Matrice_OD!AN56^2)/Param!$B$5),0)</f>
        <v>0</v>
      </c>
    </row>
    <row r="57" customFormat="false" ht="15" hidden="false" customHeight="true" outlineLevel="0" collapsed="false">
      <c r="A57" s="0" t="s">
        <v>212</v>
      </c>
      <c r="B57" s="0" t="s">
        <v>213</v>
      </c>
      <c r="C57" s="0" t="n">
        <f aca="false">IF(Matrice_OD!C57&lt;=Param!$B$2,EXP(-(Matrice_OD!C57^2)/Param!$B$5),0)</f>
        <v>0.213179666165273</v>
      </c>
      <c r="D57" s="0" t="n">
        <f aca="false">IF(Matrice_OD!D57&lt;=Param!$B$2,EXP(-(Matrice_OD!D57^2)/Param!$B$5),0)</f>
        <v>0.42508717267268</v>
      </c>
      <c r="E57" s="0" t="n">
        <f aca="false">IF(Matrice_OD!E57&lt;=Param!$B$2,EXP(-(Matrice_OD!E57^2)/Param!$B$5),0)</f>
        <v>0.396272965044005</v>
      </c>
      <c r="F57" s="0" t="n">
        <f aca="false">IF(Matrice_OD!F57&lt;=Param!$B$2,EXP(-(Matrice_OD!F57^2)/Param!$B$5),0)</f>
        <v>0.39427533093765</v>
      </c>
      <c r="G57" s="0" t="n">
        <f aca="false">IF(Matrice_OD!G57&lt;=Param!$B$2,EXP(-(Matrice_OD!G57^2)/Param!$B$5),0)</f>
        <v>0.384716414079239</v>
      </c>
      <c r="H57" s="0" t="n">
        <f aca="false">IF(Matrice_OD!H57&lt;=Param!$B$2,EXP(-(Matrice_OD!H57^2)/Param!$B$5),0)</f>
        <v>0.37314627547777</v>
      </c>
      <c r="I57" s="0" t="n">
        <f aca="false">IF(Matrice_OD!I57&lt;=Param!$B$2,EXP(-(Matrice_OD!I57^2)/Param!$B$5),0)</f>
        <v>0.370852962869104</v>
      </c>
      <c r="J57" s="0" t="n">
        <f aca="false">IF(Matrice_OD!J57&lt;=Param!$B$2,EXP(-(Matrice_OD!J57^2)/Param!$B$5),0)</f>
        <v>0.365412672787418</v>
      </c>
      <c r="K57" s="0" t="n">
        <f aca="false">IF(Matrice_OD!K57&lt;=Param!$B$2,EXP(-(Matrice_OD!K57^2)/Param!$B$5),0)</f>
        <v>0.362098265460111</v>
      </c>
      <c r="L57" s="0" t="n">
        <f aca="false">IF(Matrice_OD!L57&lt;=Param!$B$2,EXP(-(Matrice_OD!L57^2)/Param!$B$5),0)</f>
        <v>0.360707305486475</v>
      </c>
      <c r="M57" s="0" t="n">
        <f aca="false">IF(Matrice_OD!M57&lt;=Param!$B$2,EXP(-(Matrice_OD!M57^2)/Param!$B$5),0)</f>
        <v>0.360186398373372</v>
      </c>
      <c r="N57" s="0" t="n">
        <f aca="false">IF(Matrice_OD!N57&lt;=Param!$B$2,EXP(-(Matrice_OD!N57^2)/Param!$B$5),0)</f>
        <v>0.355170845093644</v>
      </c>
      <c r="O57" s="0" t="n">
        <f aca="false">IF(Matrice_OD!O57&lt;=Param!$B$2,EXP(-(Matrice_OD!O57^2)/Param!$B$5),0)</f>
        <v>0.354137668268291</v>
      </c>
      <c r="P57" s="0" t="n">
        <f aca="false">IF(Matrice_OD!P57&lt;=Param!$B$2,EXP(-(Matrice_OD!P57^2)/Param!$B$5),0)</f>
        <v>0.35241917554811</v>
      </c>
      <c r="Q57" s="0" t="n">
        <f aca="false">IF(Matrice_OD!Q57&lt;=Param!$B$2,EXP(-(Matrice_OD!Q57^2)/Param!$B$5),0)</f>
        <v>0.346779118473667</v>
      </c>
      <c r="R57" s="0" t="n">
        <f aca="false">IF(Matrice_OD!R57&lt;=Param!$B$2,EXP(-(Matrice_OD!R57^2)/Param!$B$5),0)</f>
        <v>0.344570426142235</v>
      </c>
      <c r="S57" s="0" t="n">
        <f aca="false">IF(Matrice_OD!S57&lt;=Param!$B$2,EXP(-(Matrice_OD!S57^2)/Param!$B$5),0)</f>
        <v>0.339838723831169</v>
      </c>
      <c r="T57" s="0" t="n">
        <f aca="false">IF(Matrice_OD!T57&lt;=Param!$B$2,EXP(-(Matrice_OD!T57^2)/Param!$B$5),0)</f>
        <v>0.0592147097606823</v>
      </c>
      <c r="U57" s="0" t="n">
        <f aca="false">IF(Matrice_OD!U57&lt;=Param!$B$2,EXP(-(Matrice_OD!U57^2)/Param!$B$5),0)</f>
        <v>0</v>
      </c>
      <c r="V57" s="0" t="n">
        <f aca="false">IF(Matrice_OD!V57&lt;=Param!$B$2,EXP(-(Matrice_OD!V57^2)/Param!$B$5),0)</f>
        <v>0</v>
      </c>
      <c r="W57" s="0" t="n">
        <f aca="false">IF(Matrice_OD!W57&lt;=Param!$B$2,EXP(-(Matrice_OD!W57^2)/Param!$B$5),0)</f>
        <v>0</v>
      </c>
      <c r="X57" s="0" t="n">
        <f aca="false">IF(Matrice_OD!X57&lt;=Param!$B$2,EXP(-(Matrice_OD!X57^2)/Param!$B$5),0)</f>
        <v>0</v>
      </c>
      <c r="Y57" s="0" t="n">
        <f aca="false">IF(Matrice_OD!Y57&lt;=Param!$B$2,EXP(-(Matrice_OD!Y57^2)/Param!$B$5),0)</f>
        <v>0</v>
      </c>
      <c r="Z57" s="0" t="n">
        <f aca="false">IF(Matrice_OD!Z57&lt;=Param!$B$2,EXP(-(Matrice_OD!Z57^2)/Param!$B$5),0)</f>
        <v>0</v>
      </c>
      <c r="AA57" s="0" t="n">
        <f aca="false">IF(Matrice_OD!AA57&lt;=Param!$B$2,EXP(-(Matrice_OD!AA57^2)/Param!$B$5),0)</f>
        <v>0</v>
      </c>
      <c r="AB57" s="0" t="n">
        <f aca="false">IF(Matrice_OD!AB57&lt;=Param!$B$2,EXP(-(Matrice_OD!AB57^2)/Param!$B$5),0)</f>
        <v>0</v>
      </c>
      <c r="AC57" s="0" t="n">
        <f aca="false">IF(Matrice_OD!AC57&lt;=Param!$B$2,EXP(-(Matrice_OD!AC57^2)/Param!$B$5),0)</f>
        <v>0</v>
      </c>
      <c r="AD57" s="0" t="n">
        <f aca="false">IF(Matrice_OD!AD57&lt;=Param!$B$2,EXP(-(Matrice_OD!AD57^2)/Param!$B$5),0)</f>
        <v>0</v>
      </c>
      <c r="AE57" s="0" t="n">
        <f aca="false">IF(Matrice_OD!AE57&lt;=Param!$B$2,EXP(-(Matrice_OD!AE57^2)/Param!$B$5),0)</f>
        <v>0</v>
      </c>
      <c r="AF57" s="0" t="n">
        <f aca="false">IF(Matrice_OD!AF57&lt;=Param!$B$2,EXP(-(Matrice_OD!AF57^2)/Param!$B$5),0)</f>
        <v>0</v>
      </c>
      <c r="AG57" s="0" t="n">
        <f aca="false">IF(Matrice_OD!AG57&lt;=Param!$B$2,EXP(-(Matrice_OD!AG57^2)/Param!$B$5),0)</f>
        <v>0.236886882396533</v>
      </c>
      <c r="AH57" s="0" t="n">
        <f aca="false">IF(Matrice_OD!AH57&lt;=Param!$B$2,EXP(-(Matrice_OD!AH57^2)/Param!$B$5),0)</f>
        <v>0.326843703926105</v>
      </c>
      <c r="AI57" s="0" t="n">
        <f aca="false">IF(Matrice_OD!AI57&lt;=Param!$B$2,EXP(-(Matrice_OD!AI57^2)/Param!$B$5),0)</f>
        <v>0.0549776844710006</v>
      </c>
      <c r="AJ57" s="0" t="n">
        <f aca="false">IF(Matrice_OD!AJ57&lt;=Param!$B$2,EXP(-(Matrice_OD!AJ57^2)/Param!$B$5),0)</f>
        <v>0</v>
      </c>
      <c r="AK57" s="0" t="n">
        <f aca="false">IF(Matrice_OD!AK57&lt;=Param!$B$2,EXP(-(Matrice_OD!AK57^2)/Param!$B$5),0)</f>
        <v>0</v>
      </c>
      <c r="AL57" s="0" t="n">
        <f aca="false">IF(Matrice_OD!AL57&lt;=Param!$B$2,EXP(-(Matrice_OD!AL57^2)/Param!$B$5),0)</f>
        <v>0</v>
      </c>
      <c r="AM57" s="0" t="n">
        <f aca="false">IF(Matrice_OD!AM57&lt;=Param!$B$2,EXP(-(Matrice_OD!AM57^2)/Param!$B$5),0)</f>
        <v>0.192896104300937</v>
      </c>
      <c r="AN57" s="0" t="n">
        <f aca="false">IF(Matrice_OD!AN57&lt;=Param!$B$2,EXP(-(Matrice_OD!AN57^2)/Param!$B$5),0)</f>
        <v>0</v>
      </c>
    </row>
    <row r="58" customFormat="false" ht="15" hidden="false" customHeight="true" outlineLevel="0" collapsed="false">
      <c r="A58" s="0" t="s">
        <v>214</v>
      </c>
      <c r="B58" s="0" t="s">
        <v>215</v>
      </c>
      <c r="C58" s="0" t="n">
        <f aca="false">IF(Matrice_OD!C58&lt;=Param!$B$2,EXP(-(Matrice_OD!C58^2)/Param!$B$5),0)</f>
        <v>0</v>
      </c>
      <c r="D58" s="0" t="n">
        <f aca="false">IF(Matrice_OD!D58&lt;=Param!$B$2,EXP(-(Matrice_OD!D58^2)/Param!$B$5),0)</f>
        <v>0</v>
      </c>
      <c r="E58" s="0" t="n">
        <f aca="false">IF(Matrice_OD!E58&lt;=Param!$B$2,EXP(-(Matrice_OD!E58^2)/Param!$B$5),0)</f>
        <v>0</v>
      </c>
      <c r="F58" s="0" t="n">
        <f aca="false">IF(Matrice_OD!F58&lt;=Param!$B$2,EXP(-(Matrice_OD!F58^2)/Param!$B$5),0)</f>
        <v>0</v>
      </c>
      <c r="G58" s="0" t="n">
        <f aca="false">IF(Matrice_OD!G58&lt;=Param!$B$2,EXP(-(Matrice_OD!G58^2)/Param!$B$5),0)</f>
        <v>0</v>
      </c>
      <c r="H58" s="0" t="n">
        <f aca="false">IF(Matrice_OD!H58&lt;=Param!$B$2,EXP(-(Matrice_OD!H58^2)/Param!$B$5),0)</f>
        <v>0</v>
      </c>
      <c r="I58" s="0" t="n">
        <f aca="false">IF(Matrice_OD!I58&lt;=Param!$B$2,EXP(-(Matrice_OD!I58^2)/Param!$B$5),0)</f>
        <v>0</v>
      </c>
      <c r="J58" s="0" t="n">
        <f aca="false">IF(Matrice_OD!J58&lt;=Param!$B$2,EXP(-(Matrice_OD!J58^2)/Param!$B$5),0)</f>
        <v>0</v>
      </c>
      <c r="K58" s="0" t="n">
        <f aca="false">IF(Matrice_OD!K58&lt;=Param!$B$2,EXP(-(Matrice_OD!K58^2)/Param!$B$5),0)</f>
        <v>0</v>
      </c>
      <c r="L58" s="0" t="n">
        <f aca="false">IF(Matrice_OD!L58&lt;=Param!$B$2,EXP(-(Matrice_OD!L58^2)/Param!$B$5),0)</f>
        <v>0</v>
      </c>
      <c r="M58" s="0" t="n">
        <f aca="false">IF(Matrice_OD!M58&lt;=Param!$B$2,EXP(-(Matrice_OD!M58^2)/Param!$B$5),0)</f>
        <v>0</v>
      </c>
      <c r="N58" s="0" t="n">
        <f aca="false">IF(Matrice_OD!N58&lt;=Param!$B$2,EXP(-(Matrice_OD!N58^2)/Param!$B$5),0)</f>
        <v>0</v>
      </c>
      <c r="O58" s="0" t="n">
        <f aca="false">IF(Matrice_OD!O58&lt;=Param!$B$2,EXP(-(Matrice_OD!O58^2)/Param!$B$5),0)</f>
        <v>0</v>
      </c>
      <c r="P58" s="0" t="n">
        <f aca="false">IF(Matrice_OD!P58&lt;=Param!$B$2,EXP(-(Matrice_OD!P58^2)/Param!$B$5),0)</f>
        <v>0</v>
      </c>
      <c r="Q58" s="0" t="n">
        <f aca="false">IF(Matrice_OD!Q58&lt;=Param!$B$2,EXP(-(Matrice_OD!Q58^2)/Param!$B$5),0)</f>
        <v>0</v>
      </c>
      <c r="R58" s="0" t="n">
        <f aca="false">IF(Matrice_OD!R58&lt;=Param!$B$2,EXP(-(Matrice_OD!R58^2)/Param!$B$5),0)</f>
        <v>0</v>
      </c>
      <c r="S58" s="0" t="n">
        <f aca="false">IF(Matrice_OD!S58&lt;=Param!$B$2,EXP(-(Matrice_OD!S58^2)/Param!$B$5),0)</f>
        <v>0</v>
      </c>
      <c r="T58" s="0" t="n">
        <f aca="false">IF(Matrice_OD!T58&lt;=Param!$B$2,EXP(-(Matrice_OD!T58^2)/Param!$B$5),0)</f>
        <v>0</v>
      </c>
      <c r="U58" s="0" t="n">
        <f aca="false">IF(Matrice_OD!U58&lt;=Param!$B$2,EXP(-(Matrice_OD!U58^2)/Param!$B$5),0)</f>
        <v>0</v>
      </c>
      <c r="V58" s="0" t="n">
        <f aca="false">IF(Matrice_OD!V58&lt;=Param!$B$2,EXP(-(Matrice_OD!V58^2)/Param!$B$5),0)</f>
        <v>0</v>
      </c>
      <c r="W58" s="0" t="n">
        <f aca="false">IF(Matrice_OD!W58&lt;=Param!$B$2,EXP(-(Matrice_OD!W58^2)/Param!$B$5),0)</f>
        <v>0</v>
      </c>
      <c r="X58" s="0" t="n">
        <f aca="false">IF(Matrice_OD!X58&lt;=Param!$B$2,EXP(-(Matrice_OD!X58^2)/Param!$B$5),0)</f>
        <v>0</v>
      </c>
      <c r="Y58" s="0" t="n">
        <f aca="false">IF(Matrice_OD!Y58&lt;=Param!$B$2,EXP(-(Matrice_OD!Y58^2)/Param!$B$5),0)</f>
        <v>0</v>
      </c>
      <c r="Z58" s="0" t="n">
        <f aca="false">IF(Matrice_OD!Z58&lt;=Param!$B$2,EXP(-(Matrice_OD!Z58^2)/Param!$B$5),0)</f>
        <v>0</v>
      </c>
      <c r="AA58" s="0" t="n">
        <f aca="false">IF(Matrice_OD!AA58&lt;=Param!$B$2,EXP(-(Matrice_OD!AA58^2)/Param!$B$5),0)</f>
        <v>0</v>
      </c>
      <c r="AB58" s="0" t="n">
        <f aca="false">IF(Matrice_OD!AB58&lt;=Param!$B$2,EXP(-(Matrice_OD!AB58^2)/Param!$B$5),0)</f>
        <v>0</v>
      </c>
      <c r="AC58" s="0" t="n">
        <f aca="false">IF(Matrice_OD!AC58&lt;=Param!$B$2,EXP(-(Matrice_OD!AC58^2)/Param!$B$5),0)</f>
        <v>0</v>
      </c>
      <c r="AD58" s="0" t="n">
        <f aca="false">IF(Matrice_OD!AD58&lt;=Param!$B$2,EXP(-(Matrice_OD!AD58^2)/Param!$B$5),0)</f>
        <v>0</v>
      </c>
      <c r="AE58" s="0" t="n">
        <f aca="false">IF(Matrice_OD!AE58&lt;=Param!$B$2,EXP(-(Matrice_OD!AE58^2)/Param!$B$5),0)</f>
        <v>0</v>
      </c>
      <c r="AF58" s="0" t="n">
        <f aca="false">IF(Matrice_OD!AF58&lt;=Param!$B$2,EXP(-(Matrice_OD!AF58^2)/Param!$B$5),0)</f>
        <v>0</v>
      </c>
      <c r="AG58" s="0" t="n">
        <f aca="false">IF(Matrice_OD!AG58&lt;=Param!$B$2,EXP(-(Matrice_OD!AG58^2)/Param!$B$5),0)</f>
        <v>0</v>
      </c>
      <c r="AH58" s="0" t="n">
        <f aca="false">IF(Matrice_OD!AH58&lt;=Param!$B$2,EXP(-(Matrice_OD!AH58^2)/Param!$B$5),0)</f>
        <v>0</v>
      </c>
      <c r="AI58" s="0" t="n">
        <f aca="false">IF(Matrice_OD!AI58&lt;=Param!$B$2,EXP(-(Matrice_OD!AI58^2)/Param!$B$5),0)</f>
        <v>0</v>
      </c>
      <c r="AJ58" s="0" t="n">
        <f aca="false">IF(Matrice_OD!AJ58&lt;=Param!$B$2,EXP(-(Matrice_OD!AJ58^2)/Param!$B$5),0)</f>
        <v>0</v>
      </c>
      <c r="AK58" s="0" t="n">
        <f aca="false">IF(Matrice_OD!AK58&lt;=Param!$B$2,EXP(-(Matrice_OD!AK58^2)/Param!$B$5),0)</f>
        <v>0</v>
      </c>
      <c r="AL58" s="0" t="n">
        <f aca="false">IF(Matrice_OD!AL58&lt;=Param!$B$2,EXP(-(Matrice_OD!AL58^2)/Param!$B$5),0)</f>
        <v>0</v>
      </c>
      <c r="AM58" s="0" t="n">
        <f aca="false">IF(Matrice_OD!AM58&lt;=Param!$B$2,EXP(-(Matrice_OD!AM58^2)/Param!$B$5),0)</f>
        <v>0</v>
      </c>
      <c r="AN58" s="0" t="n">
        <f aca="false">IF(Matrice_OD!AN58&lt;=Param!$B$2,EXP(-(Matrice_OD!AN58^2)/Param!$B$5),0)</f>
        <v>0</v>
      </c>
    </row>
    <row r="59" customFormat="false" ht="15" hidden="false" customHeight="true" outlineLevel="0" collapsed="false">
      <c r="A59" s="0" t="s">
        <v>216</v>
      </c>
      <c r="B59" s="0" t="s">
        <v>217</v>
      </c>
      <c r="C59" s="0" t="n">
        <f aca="false">IF(Matrice_OD!C59&lt;=Param!$B$2,EXP(-(Matrice_OD!C59^2)/Param!$B$5),0)</f>
        <v>0</v>
      </c>
      <c r="D59" s="0" t="n">
        <f aca="false">IF(Matrice_OD!D59&lt;=Param!$B$2,EXP(-(Matrice_OD!D59^2)/Param!$B$5),0)</f>
        <v>0</v>
      </c>
      <c r="E59" s="0" t="n">
        <f aca="false">IF(Matrice_OD!E59&lt;=Param!$B$2,EXP(-(Matrice_OD!E59^2)/Param!$B$5),0)</f>
        <v>0</v>
      </c>
      <c r="F59" s="0" t="n">
        <f aca="false">IF(Matrice_OD!F59&lt;=Param!$B$2,EXP(-(Matrice_OD!F59^2)/Param!$B$5),0)</f>
        <v>0</v>
      </c>
      <c r="G59" s="0" t="n">
        <f aca="false">IF(Matrice_OD!G59&lt;=Param!$B$2,EXP(-(Matrice_OD!G59^2)/Param!$B$5),0)</f>
        <v>0</v>
      </c>
      <c r="H59" s="0" t="n">
        <f aca="false">IF(Matrice_OD!H59&lt;=Param!$B$2,EXP(-(Matrice_OD!H59^2)/Param!$B$5),0)</f>
        <v>0</v>
      </c>
      <c r="I59" s="0" t="n">
        <f aca="false">IF(Matrice_OD!I59&lt;=Param!$B$2,EXP(-(Matrice_OD!I59^2)/Param!$B$5),0)</f>
        <v>0</v>
      </c>
      <c r="J59" s="0" t="n">
        <f aca="false">IF(Matrice_OD!J59&lt;=Param!$B$2,EXP(-(Matrice_OD!J59^2)/Param!$B$5),0)</f>
        <v>0</v>
      </c>
      <c r="K59" s="0" t="n">
        <f aca="false">IF(Matrice_OD!K59&lt;=Param!$B$2,EXP(-(Matrice_OD!K59^2)/Param!$B$5),0)</f>
        <v>0</v>
      </c>
      <c r="L59" s="0" t="n">
        <f aca="false">IF(Matrice_OD!L59&lt;=Param!$B$2,EXP(-(Matrice_OD!L59^2)/Param!$B$5),0)</f>
        <v>0</v>
      </c>
      <c r="M59" s="0" t="n">
        <f aca="false">IF(Matrice_OD!M59&lt;=Param!$B$2,EXP(-(Matrice_OD!M59^2)/Param!$B$5),0)</f>
        <v>0</v>
      </c>
      <c r="N59" s="0" t="n">
        <f aca="false">IF(Matrice_OD!N59&lt;=Param!$B$2,EXP(-(Matrice_OD!N59^2)/Param!$B$5),0)</f>
        <v>0</v>
      </c>
      <c r="O59" s="0" t="n">
        <f aca="false">IF(Matrice_OD!O59&lt;=Param!$B$2,EXP(-(Matrice_OD!O59^2)/Param!$B$5),0)</f>
        <v>0</v>
      </c>
      <c r="P59" s="0" t="n">
        <f aca="false">IF(Matrice_OD!P59&lt;=Param!$B$2,EXP(-(Matrice_OD!P59^2)/Param!$B$5),0)</f>
        <v>0</v>
      </c>
      <c r="Q59" s="0" t="n">
        <f aca="false">IF(Matrice_OD!Q59&lt;=Param!$B$2,EXP(-(Matrice_OD!Q59^2)/Param!$B$5),0)</f>
        <v>0</v>
      </c>
      <c r="R59" s="0" t="n">
        <f aca="false">IF(Matrice_OD!R59&lt;=Param!$B$2,EXP(-(Matrice_OD!R59^2)/Param!$B$5),0)</f>
        <v>0</v>
      </c>
      <c r="S59" s="0" t="n">
        <f aca="false">IF(Matrice_OD!S59&lt;=Param!$B$2,EXP(-(Matrice_OD!S59^2)/Param!$B$5),0)</f>
        <v>0</v>
      </c>
      <c r="T59" s="0" t="n">
        <f aca="false">IF(Matrice_OD!T59&lt;=Param!$B$2,EXP(-(Matrice_OD!T59^2)/Param!$B$5),0)</f>
        <v>0</v>
      </c>
      <c r="U59" s="0" t="n">
        <f aca="false">IF(Matrice_OD!U59&lt;=Param!$B$2,EXP(-(Matrice_OD!U59^2)/Param!$B$5),0)</f>
        <v>0</v>
      </c>
      <c r="V59" s="0" t="n">
        <f aca="false">IF(Matrice_OD!V59&lt;=Param!$B$2,EXP(-(Matrice_OD!V59^2)/Param!$B$5),0)</f>
        <v>0</v>
      </c>
      <c r="W59" s="0" t="n">
        <f aca="false">IF(Matrice_OD!W59&lt;=Param!$B$2,EXP(-(Matrice_OD!W59^2)/Param!$B$5),0)</f>
        <v>0</v>
      </c>
      <c r="X59" s="0" t="n">
        <f aca="false">IF(Matrice_OD!X59&lt;=Param!$B$2,EXP(-(Matrice_OD!X59^2)/Param!$B$5),0)</f>
        <v>0</v>
      </c>
      <c r="Y59" s="0" t="n">
        <f aca="false">IF(Matrice_OD!Y59&lt;=Param!$B$2,EXP(-(Matrice_OD!Y59^2)/Param!$B$5),0)</f>
        <v>0</v>
      </c>
      <c r="Z59" s="0" t="n">
        <f aca="false">IF(Matrice_OD!Z59&lt;=Param!$B$2,EXP(-(Matrice_OD!Z59^2)/Param!$B$5),0)</f>
        <v>0</v>
      </c>
      <c r="AA59" s="0" t="n">
        <f aca="false">IF(Matrice_OD!AA59&lt;=Param!$B$2,EXP(-(Matrice_OD!AA59^2)/Param!$B$5),0)</f>
        <v>0</v>
      </c>
      <c r="AB59" s="0" t="n">
        <f aca="false">IF(Matrice_OD!AB59&lt;=Param!$B$2,EXP(-(Matrice_OD!AB59^2)/Param!$B$5),0)</f>
        <v>0</v>
      </c>
      <c r="AC59" s="0" t="n">
        <f aca="false">IF(Matrice_OD!AC59&lt;=Param!$B$2,EXP(-(Matrice_OD!AC59^2)/Param!$B$5),0)</f>
        <v>0</v>
      </c>
      <c r="AD59" s="0" t="n">
        <f aca="false">IF(Matrice_OD!AD59&lt;=Param!$B$2,EXP(-(Matrice_OD!AD59^2)/Param!$B$5),0)</f>
        <v>0</v>
      </c>
      <c r="AE59" s="0" t="n">
        <f aca="false">IF(Matrice_OD!AE59&lt;=Param!$B$2,EXP(-(Matrice_OD!AE59^2)/Param!$B$5),0)</f>
        <v>0</v>
      </c>
      <c r="AF59" s="0" t="n">
        <f aca="false">IF(Matrice_OD!AF59&lt;=Param!$B$2,EXP(-(Matrice_OD!AF59^2)/Param!$B$5),0)</f>
        <v>0</v>
      </c>
      <c r="AG59" s="0" t="n">
        <f aca="false">IF(Matrice_OD!AG59&lt;=Param!$B$2,EXP(-(Matrice_OD!AG59^2)/Param!$B$5),0)</f>
        <v>0</v>
      </c>
      <c r="AH59" s="0" t="n">
        <f aca="false">IF(Matrice_OD!AH59&lt;=Param!$B$2,EXP(-(Matrice_OD!AH59^2)/Param!$B$5),0)</f>
        <v>0</v>
      </c>
      <c r="AI59" s="0" t="n">
        <f aca="false">IF(Matrice_OD!AI59&lt;=Param!$B$2,EXP(-(Matrice_OD!AI59^2)/Param!$B$5),0)</f>
        <v>0</v>
      </c>
      <c r="AJ59" s="0" t="n">
        <f aca="false">IF(Matrice_OD!AJ59&lt;=Param!$B$2,EXP(-(Matrice_OD!AJ59^2)/Param!$B$5),0)</f>
        <v>0</v>
      </c>
      <c r="AK59" s="0" t="n">
        <f aca="false">IF(Matrice_OD!AK59&lt;=Param!$B$2,EXP(-(Matrice_OD!AK59^2)/Param!$B$5),0)</f>
        <v>0</v>
      </c>
      <c r="AL59" s="0" t="n">
        <f aca="false">IF(Matrice_OD!AL59&lt;=Param!$B$2,EXP(-(Matrice_OD!AL59^2)/Param!$B$5),0)</f>
        <v>0</v>
      </c>
      <c r="AM59" s="0" t="n">
        <f aca="false">IF(Matrice_OD!AM59&lt;=Param!$B$2,EXP(-(Matrice_OD!AM59^2)/Param!$B$5),0)</f>
        <v>0</v>
      </c>
      <c r="AN59" s="0" t="n">
        <f aca="false">IF(Matrice_OD!AN59&lt;=Param!$B$2,EXP(-(Matrice_OD!AN59^2)/Param!$B$5),0)</f>
        <v>0</v>
      </c>
    </row>
    <row r="60" customFormat="false" ht="15" hidden="false" customHeight="true" outlineLevel="0" collapsed="false">
      <c r="A60" s="0" t="s">
        <v>218</v>
      </c>
      <c r="B60" s="0" t="s">
        <v>219</v>
      </c>
      <c r="C60" s="0" t="n">
        <f aca="false">IF(Matrice_OD!C60&lt;=Param!$B$2,EXP(-(Matrice_OD!C60^2)/Param!$B$5),0)</f>
        <v>0</v>
      </c>
      <c r="D60" s="0" t="n">
        <f aca="false">IF(Matrice_OD!D60&lt;=Param!$B$2,EXP(-(Matrice_OD!D60^2)/Param!$B$5),0)</f>
        <v>0.0507017688655184</v>
      </c>
      <c r="E60" s="0" t="n">
        <f aca="false">IF(Matrice_OD!E60&lt;=Param!$B$2,EXP(-(Matrice_OD!E60^2)/Param!$B$5),0)</f>
        <v>0.0519246532399922</v>
      </c>
      <c r="F60" s="0" t="n">
        <f aca="false">IF(Matrice_OD!F60&lt;=Param!$B$2,EXP(-(Matrice_OD!F60^2)/Param!$B$5),0)</f>
        <v>0.0570177109197958</v>
      </c>
      <c r="G60" s="0" t="n">
        <f aca="false">IF(Matrice_OD!G60&lt;=Param!$B$2,EXP(-(Matrice_OD!G60^2)/Param!$B$5),0)</f>
        <v>0.0586472535619702</v>
      </c>
      <c r="H60" s="0" t="n">
        <f aca="false">IF(Matrice_OD!H60&lt;=Param!$B$2,EXP(-(Matrice_OD!H60^2)/Param!$B$5),0)</f>
        <v>0.0615789103903457</v>
      </c>
      <c r="I60" s="0" t="n">
        <f aca="false">IF(Matrice_OD!I60&lt;=Param!$B$2,EXP(-(Matrice_OD!I60^2)/Param!$B$5),0)</f>
        <v>0.0676440966259543</v>
      </c>
      <c r="J60" s="0" t="n">
        <f aca="false">IF(Matrice_OD!J60&lt;=Param!$B$2,EXP(-(Matrice_OD!J60^2)/Param!$B$5),0)</f>
        <v>0.0640200231955543</v>
      </c>
      <c r="K60" s="0" t="n">
        <f aca="false">IF(Matrice_OD!K60&lt;=Param!$B$2,EXP(-(Matrice_OD!K60^2)/Param!$B$5),0)</f>
        <v>0.0605563621801643</v>
      </c>
      <c r="L60" s="0" t="n">
        <f aca="false">IF(Matrice_OD!L60&lt;=Param!$B$2,EXP(-(Matrice_OD!L60^2)/Param!$B$5),0)</f>
        <v>0.0711021027244301</v>
      </c>
      <c r="M60" s="0" t="n">
        <f aca="false">IF(Matrice_OD!M60&lt;=Param!$B$2,EXP(-(Matrice_OD!M60^2)/Param!$B$5),0)</f>
        <v>0.0594048631853714</v>
      </c>
      <c r="N60" s="0" t="n">
        <f aca="false">IF(Matrice_OD!N60&lt;=Param!$B$2,EXP(-(Matrice_OD!N60^2)/Param!$B$5),0)</f>
        <v>0.0595478077770786</v>
      </c>
      <c r="O60" s="0" t="n">
        <f aca="false">IF(Matrice_OD!O60&lt;=Param!$B$2,EXP(-(Matrice_OD!O60^2)/Param!$B$5),0)</f>
        <v>0.0709368664291132</v>
      </c>
      <c r="P60" s="0" t="n">
        <f aca="false">IF(Matrice_OD!P60&lt;=Param!$B$2,EXP(-(Matrice_OD!P60^2)/Param!$B$5),0)</f>
        <v>0.0681752037321428</v>
      </c>
      <c r="Q60" s="0" t="n">
        <f aca="false">IF(Matrice_OD!Q60&lt;=Param!$B$2,EXP(-(Matrice_OD!Q60^2)/Param!$B$5),0)</f>
        <v>0.0731657871654755</v>
      </c>
      <c r="R60" s="0" t="n">
        <f aca="false">IF(Matrice_OD!R60&lt;=Param!$B$2,EXP(-(Matrice_OD!R60^2)/Param!$B$5),0)</f>
        <v>0.066644277518892</v>
      </c>
      <c r="S60" s="0" t="n">
        <f aca="false">IF(Matrice_OD!S60&lt;=Param!$B$2,EXP(-(Matrice_OD!S60^2)/Param!$B$5),0)</f>
        <v>0.0735616114817753</v>
      </c>
      <c r="T60" s="0" t="n">
        <f aca="false">IF(Matrice_OD!T60&lt;=Param!$B$2,EXP(-(Matrice_OD!T60^2)/Param!$B$5),0)</f>
        <v>0</v>
      </c>
      <c r="U60" s="0" t="n">
        <f aca="false">IF(Matrice_OD!U60&lt;=Param!$B$2,EXP(-(Matrice_OD!U60^2)/Param!$B$5),0)</f>
        <v>0</v>
      </c>
      <c r="V60" s="0" t="n">
        <f aca="false">IF(Matrice_OD!V60&lt;=Param!$B$2,EXP(-(Matrice_OD!V60^2)/Param!$B$5),0)</f>
        <v>0</v>
      </c>
      <c r="W60" s="0" t="n">
        <f aca="false">IF(Matrice_OD!W60&lt;=Param!$B$2,EXP(-(Matrice_OD!W60^2)/Param!$B$5),0)</f>
        <v>0</v>
      </c>
      <c r="X60" s="0" t="n">
        <f aca="false">IF(Matrice_OD!X60&lt;=Param!$B$2,EXP(-(Matrice_OD!X60^2)/Param!$B$5),0)</f>
        <v>0</v>
      </c>
      <c r="Y60" s="0" t="n">
        <f aca="false">IF(Matrice_OD!Y60&lt;=Param!$B$2,EXP(-(Matrice_OD!Y60^2)/Param!$B$5),0)</f>
        <v>0</v>
      </c>
      <c r="Z60" s="0" t="n">
        <f aca="false">IF(Matrice_OD!Z60&lt;=Param!$B$2,EXP(-(Matrice_OD!Z60^2)/Param!$B$5),0)</f>
        <v>0</v>
      </c>
      <c r="AA60" s="0" t="n">
        <f aca="false">IF(Matrice_OD!AA60&lt;=Param!$B$2,EXP(-(Matrice_OD!AA60^2)/Param!$B$5),0)</f>
        <v>0</v>
      </c>
      <c r="AB60" s="0" t="n">
        <f aca="false">IF(Matrice_OD!AB60&lt;=Param!$B$2,EXP(-(Matrice_OD!AB60^2)/Param!$B$5),0)</f>
        <v>0</v>
      </c>
      <c r="AC60" s="0" t="n">
        <f aca="false">IF(Matrice_OD!AC60&lt;=Param!$B$2,EXP(-(Matrice_OD!AC60^2)/Param!$B$5),0)</f>
        <v>0</v>
      </c>
      <c r="AD60" s="0" t="n">
        <f aca="false">IF(Matrice_OD!AD60&lt;=Param!$B$2,EXP(-(Matrice_OD!AD60^2)/Param!$B$5),0)</f>
        <v>0</v>
      </c>
      <c r="AE60" s="0" t="n">
        <f aca="false">IF(Matrice_OD!AE60&lt;=Param!$B$2,EXP(-(Matrice_OD!AE60^2)/Param!$B$5),0)</f>
        <v>0</v>
      </c>
      <c r="AF60" s="0" t="n">
        <f aca="false">IF(Matrice_OD!AF60&lt;=Param!$B$2,EXP(-(Matrice_OD!AF60^2)/Param!$B$5),0)</f>
        <v>0</v>
      </c>
      <c r="AG60" s="0" t="n">
        <f aca="false">IF(Matrice_OD!AG60&lt;=Param!$B$2,EXP(-(Matrice_OD!AG60^2)/Param!$B$5),0)</f>
        <v>0</v>
      </c>
      <c r="AH60" s="0" t="n">
        <f aca="false">IF(Matrice_OD!AH60&lt;=Param!$B$2,EXP(-(Matrice_OD!AH60^2)/Param!$B$5),0)</f>
        <v>0.0762059902967913</v>
      </c>
      <c r="AI60" s="0" t="n">
        <f aca="false">IF(Matrice_OD!AI60&lt;=Param!$B$2,EXP(-(Matrice_OD!AI60^2)/Param!$B$5),0)</f>
        <v>0</v>
      </c>
      <c r="AJ60" s="0" t="n">
        <f aca="false">IF(Matrice_OD!AJ60&lt;=Param!$B$2,EXP(-(Matrice_OD!AJ60^2)/Param!$B$5),0)</f>
        <v>0</v>
      </c>
      <c r="AK60" s="0" t="n">
        <f aca="false">IF(Matrice_OD!AK60&lt;=Param!$B$2,EXP(-(Matrice_OD!AK60^2)/Param!$B$5),0)</f>
        <v>0</v>
      </c>
      <c r="AL60" s="0" t="n">
        <f aca="false">IF(Matrice_OD!AL60&lt;=Param!$B$2,EXP(-(Matrice_OD!AL60^2)/Param!$B$5),0)</f>
        <v>0</v>
      </c>
      <c r="AM60" s="0" t="n">
        <f aca="false">IF(Matrice_OD!AM60&lt;=Param!$B$2,EXP(-(Matrice_OD!AM60^2)/Param!$B$5),0)</f>
        <v>0</v>
      </c>
      <c r="AN60" s="0" t="n">
        <f aca="false">IF(Matrice_OD!AN60&lt;=Param!$B$2,EXP(-(Matrice_OD!AN60^2)/Param!$B$5),0)</f>
        <v>0</v>
      </c>
    </row>
    <row r="61" customFormat="false" ht="15" hidden="false" customHeight="true" outlineLevel="0" collapsed="false">
      <c r="A61" s="0" t="s">
        <v>220</v>
      </c>
      <c r="B61" s="0" t="s">
        <v>221</v>
      </c>
      <c r="C61" s="0" t="n">
        <f aca="false">IF(Matrice_OD!C61&lt;=Param!$B$2,EXP(-(Matrice_OD!C61^2)/Param!$B$5),0)</f>
        <v>0</v>
      </c>
      <c r="D61" s="0" t="n">
        <f aca="false">IF(Matrice_OD!D61&lt;=Param!$B$2,EXP(-(Matrice_OD!D61^2)/Param!$B$5),0)</f>
        <v>0</v>
      </c>
      <c r="E61" s="0" t="n">
        <f aca="false">IF(Matrice_OD!E61&lt;=Param!$B$2,EXP(-(Matrice_OD!E61^2)/Param!$B$5),0)</f>
        <v>0</v>
      </c>
      <c r="F61" s="0" t="n">
        <f aca="false">IF(Matrice_OD!F61&lt;=Param!$B$2,EXP(-(Matrice_OD!F61^2)/Param!$B$5),0)</f>
        <v>0</v>
      </c>
      <c r="G61" s="0" t="n">
        <f aca="false">IF(Matrice_OD!G61&lt;=Param!$B$2,EXP(-(Matrice_OD!G61^2)/Param!$B$5),0)</f>
        <v>0</v>
      </c>
      <c r="H61" s="0" t="n">
        <f aca="false">IF(Matrice_OD!H61&lt;=Param!$B$2,EXP(-(Matrice_OD!H61^2)/Param!$B$5),0)</f>
        <v>0</v>
      </c>
      <c r="I61" s="0" t="n">
        <f aca="false">IF(Matrice_OD!I61&lt;=Param!$B$2,EXP(-(Matrice_OD!I61^2)/Param!$B$5),0)</f>
        <v>0</v>
      </c>
      <c r="J61" s="0" t="n">
        <f aca="false">IF(Matrice_OD!J61&lt;=Param!$B$2,EXP(-(Matrice_OD!J61^2)/Param!$B$5),0)</f>
        <v>0</v>
      </c>
      <c r="K61" s="0" t="n">
        <f aca="false">IF(Matrice_OD!K61&lt;=Param!$B$2,EXP(-(Matrice_OD!K61^2)/Param!$B$5),0)</f>
        <v>0</v>
      </c>
      <c r="L61" s="0" t="n">
        <f aca="false">IF(Matrice_OD!L61&lt;=Param!$B$2,EXP(-(Matrice_OD!L61^2)/Param!$B$5),0)</f>
        <v>0</v>
      </c>
      <c r="M61" s="0" t="n">
        <f aca="false">IF(Matrice_OD!M61&lt;=Param!$B$2,EXP(-(Matrice_OD!M61^2)/Param!$B$5),0)</f>
        <v>0</v>
      </c>
      <c r="N61" s="0" t="n">
        <f aca="false">IF(Matrice_OD!N61&lt;=Param!$B$2,EXP(-(Matrice_OD!N61^2)/Param!$B$5),0)</f>
        <v>0</v>
      </c>
      <c r="O61" s="0" t="n">
        <f aca="false">IF(Matrice_OD!O61&lt;=Param!$B$2,EXP(-(Matrice_OD!O61^2)/Param!$B$5),0)</f>
        <v>0</v>
      </c>
      <c r="P61" s="0" t="n">
        <f aca="false">IF(Matrice_OD!P61&lt;=Param!$B$2,EXP(-(Matrice_OD!P61^2)/Param!$B$5),0)</f>
        <v>0</v>
      </c>
      <c r="Q61" s="0" t="n">
        <f aca="false">IF(Matrice_OD!Q61&lt;=Param!$B$2,EXP(-(Matrice_OD!Q61^2)/Param!$B$5),0)</f>
        <v>0</v>
      </c>
      <c r="R61" s="0" t="n">
        <f aca="false">IF(Matrice_OD!R61&lt;=Param!$B$2,EXP(-(Matrice_OD!R61^2)/Param!$B$5),0)</f>
        <v>0</v>
      </c>
      <c r="S61" s="0" t="n">
        <f aca="false">IF(Matrice_OD!S61&lt;=Param!$B$2,EXP(-(Matrice_OD!S61^2)/Param!$B$5),0)</f>
        <v>0</v>
      </c>
      <c r="T61" s="0" t="n">
        <f aca="false">IF(Matrice_OD!T61&lt;=Param!$B$2,EXP(-(Matrice_OD!T61^2)/Param!$B$5),0)</f>
        <v>0</v>
      </c>
      <c r="U61" s="0" t="n">
        <f aca="false">IF(Matrice_OD!U61&lt;=Param!$B$2,EXP(-(Matrice_OD!U61^2)/Param!$B$5),0)</f>
        <v>0</v>
      </c>
      <c r="V61" s="0" t="n">
        <f aca="false">IF(Matrice_OD!V61&lt;=Param!$B$2,EXP(-(Matrice_OD!V61^2)/Param!$B$5),0)</f>
        <v>0</v>
      </c>
      <c r="W61" s="0" t="n">
        <f aca="false">IF(Matrice_OD!W61&lt;=Param!$B$2,EXP(-(Matrice_OD!W61^2)/Param!$B$5),0)</f>
        <v>0</v>
      </c>
      <c r="X61" s="0" t="n">
        <f aca="false">IF(Matrice_OD!X61&lt;=Param!$B$2,EXP(-(Matrice_OD!X61^2)/Param!$B$5),0)</f>
        <v>0</v>
      </c>
      <c r="Y61" s="0" t="n">
        <f aca="false">IF(Matrice_OD!Y61&lt;=Param!$B$2,EXP(-(Matrice_OD!Y61^2)/Param!$B$5),0)</f>
        <v>0</v>
      </c>
      <c r="Z61" s="0" t="n">
        <f aca="false">IF(Matrice_OD!Z61&lt;=Param!$B$2,EXP(-(Matrice_OD!Z61^2)/Param!$B$5),0)</f>
        <v>0</v>
      </c>
      <c r="AA61" s="0" t="n">
        <f aca="false">IF(Matrice_OD!AA61&lt;=Param!$B$2,EXP(-(Matrice_OD!AA61^2)/Param!$B$5),0)</f>
        <v>0</v>
      </c>
      <c r="AB61" s="0" t="n">
        <f aca="false">IF(Matrice_OD!AB61&lt;=Param!$B$2,EXP(-(Matrice_OD!AB61^2)/Param!$B$5),0)</f>
        <v>0</v>
      </c>
      <c r="AC61" s="0" t="n">
        <f aca="false">IF(Matrice_OD!AC61&lt;=Param!$B$2,EXP(-(Matrice_OD!AC61^2)/Param!$B$5),0)</f>
        <v>0</v>
      </c>
      <c r="AD61" s="0" t="n">
        <f aca="false">IF(Matrice_OD!AD61&lt;=Param!$B$2,EXP(-(Matrice_OD!AD61^2)/Param!$B$5),0)</f>
        <v>0</v>
      </c>
      <c r="AE61" s="0" t="n">
        <f aca="false">IF(Matrice_OD!AE61&lt;=Param!$B$2,EXP(-(Matrice_OD!AE61^2)/Param!$B$5),0)</f>
        <v>0</v>
      </c>
      <c r="AF61" s="0" t="n">
        <f aca="false">IF(Matrice_OD!AF61&lt;=Param!$B$2,EXP(-(Matrice_OD!AF61^2)/Param!$B$5),0)</f>
        <v>0</v>
      </c>
      <c r="AG61" s="0" t="n">
        <f aca="false">IF(Matrice_OD!AG61&lt;=Param!$B$2,EXP(-(Matrice_OD!AG61^2)/Param!$B$5),0)</f>
        <v>0</v>
      </c>
      <c r="AH61" s="0" t="n">
        <f aca="false">IF(Matrice_OD!AH61&lt;=Param!$B$2,EXP(-(Matrice_OD!AH61^2)/Param!$B$5),0)</f>
        <v>0</v>
      </c>
      <c r="AI61" s="0" t="n">
        <f aca="false">IF(Matrice_OD!AI61&lt;=Param!$B$2,EXP(-(Matrice_OD!AI61^2)/Param!$B$5),0)</f>
        <v>0</v>
      </c>
      <c r="AJ61" s="0" t="n">
        <f aca="false">IF(Matrice_OD!AJ61&lt;=Param!$B$2,EXP(-(Matrice_OD!AJ61^2)/Param!$B$5),0)</f>
        <v>0</v>
      </c>
      <c r="AK61" s="0" t="n">
        <f aca="false">IF(Matrice_OD!AK61&lt;=Param!$B$2,EXP(-(Matrice_OD!AK61^2)/Param!$B$5),0)</f>
        <v>0</v>
      </c>
      <c r="AL61" s="0" t="n">
        <f aca="false">IF(Matrice_OD!AL61&lt;=Param!$B$2,EXP(-(Matrice_OD!AL61^2)/Param!$B$5),0)</f>
        <v>0</v>
      </c>
      <c r="AM61" s="0" t="n">
        <f aca="false">IF(Matrice_OD!AM61&lt;=Param!$B$2,EXP(-(Matrice_OD!AM61^2)/Param!$B$5),0)</f>
        <v>0</v>
      </c>
      <c r="AN61" s="0" t="n">
        <f aca="false">IF(Matrice_OD!AN61&lt;=Param!$B$2,EXP(-(Matrice_OD!AN61^2)/Param!$B$5),0)</f>
        <v>0</v>
      </c>
    </row>
    <row r="62" customFormat="false" ht="15" hidden="false" customHeight="true" outlineLevel="0" collapsed="false">
      <c r="A62" s="0" t="s">
        <v>222</v>
      </c>
      <c r="B62" s="0" t="s">
        <v>223</v>
      </c>
      <c r="C62" s="0" t="n">
        <f aca="false">IF(Matrice_OD!C62&lt;=Param!$B$2,EXP(-(Matrice_OD!C62^2)/Param!$B$5),0)</f>
        <v>0</v>
      </c>
      <c r="D62" s="0" t="n">
        <f aca="false">IF(Matrice_OD!D62&lt;=Param!$B$2,EXP(-(Matrice_OD!D62^2)/Param!$B$5),0)</f>
        <v>0</v>
      </c>
      <c r="E62" s="0" t="n">
        <f aca="false">IF(Matrice_OD!E62&lt;=Param!$B$2,EXP(-(Matrice_OD!E62^2)/Param!$B$5),0)</f>
        <v>0</v>
      </c>
      <c r="F62" s="0" t="n">
        <f aca="false">IF(Matrice_OD!F62&lt;=Param!$B$2,EXP(-(Matrice_OD!F62^2)/Param!$B$5),0)</f>
        <v>0</v>
      </c>
      <c r="G62" s="0" t="n">
        <f aca="false">IF(Matrice_OD!G62&lt;=Param!$B$2,EXP(-(Matrice_OD!G62^2)/Param!$B$5),0)</f>
        <v>0</v>
      </c>
      <c r="H62" s="0" t="n">
        <f aca="false">IF(Matrice_OD!H62&lt;=Param!$B$2,EXP(-(Matrice_OD!H62^2)/Param!$B$5),0)</f>
        <v>0</v>
      </c>
      <c r="I62" s="0" t="n">
        <f aca="false">IF(Matrice_OD!I62&lt;=Param!$B$2,EXP(-(Matrice_OD!I62^2)/Param!$B$5),0)</f>
        <v>0</v>
      </c>
      <c r="J62" s="0" t="n">
        <f aca="false">IF(Matrice_OD!J62&lt;=Param!$B$2,EXP(-(Matrice_OD!J62^2)/Param!$B$5),0)</f>
        <v>0</v>
      </c>
      <c r="K62" s="0" t="n">
        <f aca="false">IF(Matrice_OD!K62&lt;=Param!$B$2,EXP(-(Matrice_OD!K62^2)/Param!$B$5),0)</f>
        <v>0</v>
      </c>
      <c r="L62" s="0" t="n">
        <f aca="false">IF(Matrice_OD!L62&lt;=Param!$B$2,EXP(-(Matrice_OD!L62^2)/Param!$B$5),0)</f>
        <v>0</v>
      </c>
      <c r="M62" s="0" t="n">
        <f aca="false">IF(Matrice_OD!M62&lt;=Param!$B$2,EXP(-(Matrice_OD!M62^2)/Param!$B$5),0)</f>
        <v>0</v>
      </c>
      <c r="N62" s="0" t="n">
        <f aca="false">IF(Matrice_OD!N62&lt;=Param!$B$2,EXP(-(Matrice_OD!N62^2)/Param!$B$5),0)</f>
        <v>0</v>
      </c>
      <c r="O62" s="0" t="n">
        <f aca="false">IF(Matrice_OD!O62&lt;=Param!$B$2,EXP(-(Matrice_OD!O62^2)/Param!$B$5),0)</f>
        <v>0</v>
      </c>
      <c r="P62" s="0" t="n">
        <f aca="false">IF(Matrice_OD!P62&lt;=Param!$B$2,EXP(-(Matrice_OD!P62^2)/Param!$B$5),0)</f>
        <v>0</v>
      </c>
      <c r="Q62" s="0" t="n">
        <f aca="false">IF(Matrice_OD!Q62&lt;=Param!$B$2,EXP(-(Matrice_OD!Q62^2)/Param!$B$5),0)</f>
        <v>0</v>
      </c>
      <c r="R62" s="0" t="n">
        <f aca="false">IF(Matrice_OD!R62&lt;=Param!$B$2,EXP(-(Matrice_OD!R62^2)/Param!$B$5),0)</f>
        <v>0</v>
      </c>
      <c r="S62" s="0" t="n">
        <f aca="false">IF(Matrice_OD!S62&lt;=Param!$B$2,EXP(-(Matrice_OD!S62^2)/Param!$B$5),0)</f>
        <v>0</v>
      </c>
      <c r="T62" s="0" t="n">
        <f aca="false">IF(Matrice_OD!T62&lt;=Param!$B$2,EXP(-(Matrice_OD!T62^2)/Param!$B$5),0)</f>
        <v>0</v>
      </c>
      <c r="U62" s="0" t="n">
        <f aca="false">IF(Matrice_OD!U62&lt;=Param!$B$2,EXP(-(Matrice_OD!U62^2)/Param!$B$5),0)</f>
        <v>0</v>
      </c>
      <c r="V62" s="0" t="n">
        <f aca="false">IF(Matrice_OD!V62&lt;=Param!$B$2,EXP(-(Matrice_OD!V62^2)/Param!$B$5),0)</f>
        <v>0</v>
      </c>
      <c r="W62" s="0" t="n">
        <f aca="false">IF(Matrice_OD!W62&lt;=Param!$B$2,EXP(-(Matrice_OD!W62^2)/Param!$B$5),0)</f>
        <v>0</v>
      </c>
      <c r="X62" s="0" t="n">
        <f aca="false">IF(Matrice_OD!X62&lt;=Param!$B$2,EXP(-(Matrice_OD!X62^2)/Param!$B$5),0)</f>
        <v>0</v>
      </c>
      <c r="Y62" s="0" t="n">
        <f aca="false">IF(Matrice_OD!Y62&lt;=Param!$B$2,EXP(-(Matrice_OD!Y62^2)/Param!$B$5),0)</f>
        <v>0</v>
      </c>
      <c r="Z62" s="0" t="n">
        <f aca="false">IF(Matrice_OD!Z62&lt;=Param!$B$2,EXP(-(Matrice_OD!Z62^2)/Param!$B$5),0)</f>
        <v>0</v>
      </c>
      <c r="AA62" s="0" t="n">
        <f aca="false">IF(Matrice_OD!AA62&lt;=Param!$B$2,EXP(-(Matrice_OD!AA62^2)/Param!$B$5),0)</f>
        <v>0</v>
      </c>
      <c r="AB62" s="0" t="n">
        <f aca="false">IF(Matrice_OD!AB62&lt;=Param!$B$2,EXP(-(Matrice_OD!AB62^2)/Param!$B$5),0)</f>
        <v>0</v>
      </c>
      <c r="AC62" s="0" t="n">
        <f aca="false">IF(Matrice_OD!AC62&lt;=Param!$B$2,EXP(-(Matrice_OD!AC62^2)/Param!$B$5),0)</f>
        <v>0</v>
      </c>
      <c r="AD62" s="0" t="n">
        <f aca="false">IF(Matrice_OD!AD62&lt;=Param!$B$2,EXP(-(Matrice_OD!AD62^2)/Param!$B$5),0)</f>
        <v>0</v>
      </c>
      <c r="AE62" s="0" t="n">
        <f aca="false">IF(Matrice_OD!AE62&lt;=Param!$B$2,EXP(-(Matrice_OD!AE62^2)/Param!$B$5),0)</f>
        <v>0</v>
      </c>
      <c r="AF62" s="0" t="n">
        <f aca="false">IF(Matrice_OD!AF62&lt;=Param!$B$2,EXP(-(Matrice_OD!AF62^2)/Param!$B$5),0)</f>
        <v>0</v>
      </c>
      <c r="AG62" s="0" t="n">
        <f aca="false">IF(Matrice_OD!AG62&lt;=Param!$B$2,EXP(-(Matrice_OD!AG62^2)/Param!$B$5),0)</f>
        <v>0</v>
      </c>
      <c r="AH62" s="0" t="n">
        <f aca="false">IF(Matrice_OD!AH62&lt;=Param!$B$2,EXP(-(Matrice_OD!AH62^2)/Param!$B$5),0)</f>
        <v>0</v>
      </c>
      <c r="AI62" s="0" t="n">
        <f aca="false">IF(Matrice_OD!AI62&lt;=Param!$B$2,EXP(-(Matrice_OD!AI62^2)/Param!$B$5),0)</f>
        <v>0</v>
      </c>
      <c r="AJ62" s="0" t="n">
        <f aca="false">IF(Matrice_OD!AJ62&lt;=Param!$B$2,EXP(-(Matrice_OD!AJ62^2)/Param!$B$5),0)</f>
        <v>0</v>
      </c>
      <c r="AK62" s="0" t="n">
        <f aca="false">IF(Matrice_OD!AK62&lt;=Param!$B$2,EXP(-(Matrice_OD!AK62^2)/Param!$B$5),0)</f>
        <v>0</v>
      </c>
      <c r="AL62" s="0" t="n">
        <f aca="false">IF(Matrice_OD!AL62&lt;=Param!$B$2,EXP(-(Matrice_OD!AL62^2)/Param!$B$5),0)</f>
        <v>0</v>
      </c>
      <c r="AM62" s="0" t="n">
        <f aca="false">IF(Matrice_OD!AM62&lt;=Param!$B$2,EXP(-(Matrice_OD!AM62^2)/Param!$B$5),0)</f>
        <v>0</v>
      </c>
      <c r="AN62" s="0" t="n">
        <f aca="false">IF(Matrice_OD!AN62&lt;=Param!$B$2,EXP(-(Matrice_OD!AN62^2)/Param!$B$5),0)</f>
        <v>0</v>
      </c>
    </row>
    <row r="63" customFormat="false" ht="15" hidden="false" customHeight="true" outlineLevel="0" collapsed="false">
      <c r="A63" s="0" t="s">
        <v>224</v>
      </c>
      <c r="B63" s="0" t="s">
        <v>225</v>
      </c>
      <c r="C63" s="0" t="n">
        <f aca="false">IF(Matrice_OD!C63&lt;=Param!$B$2,EXP(-(Matrice_OD!C63^2)/Param!$B$5),0)</f>
        <v>0</v>
      </c>
      <c r="D63" s="0" t="n">
        <f aca="false">IF(Matrice_OD!D63&lt;=Param!$B$2,EXP(-(Matrice_OD!D63^2)/Param!$B$5),0)</f>
        <v>0</v>
      </c>
      <c r="E63" s="0" t="n">
        <f aca="false">IF(Matrice_OD!E63&lt;=Param!$B$2,EXP(-(Matrice_OD!E63^2)/Param!$B$5),0)</f>
        <v>0</v>
      </c>
      <c r="F63" s="0" t="n">
        <f aca="false">IF(Matrice_OD!F63&lt;=Param!$B$2,EXP(-(Matrice_OD!F63^2)/Param!$B$5),0)</f>
        <v>0</v>
      </c>
      <c r="G63" s="0" t="n">
        <f aca="false">IF(Matrice_OD!G63&lt;=Param!$B$2,EXP(-(Matrice_OD!G63^2)/Param!$B$5),0)</f>
        <v>0</v>
      </c>
      <c r="H63" s="0" t="n">
        <f aca="false">IF(Matrice_OD!H63&lt;=Param!$B$2,EXP(-(Matrice_OD!H63^2)/Param!$B$5),0)</f>
        <v>0</v>
      </c>
      <c r="I63" s="0" t="n">
        <f aca="false">IF(Matrice_OD!I63&lt;=Param!$B$2,EXP(-(Matrice_OD!I63^2)/Param!$B$5),0)</f>
        <v>0</v>
      </c>
      <c r="J63" s="0" t="n">
        <f aca="false">IF(Matrice_OD!J63&lt;=Param!$B$2,EXP(-(Matrice_OD!J63^2)/Param!$B$5),0)</f>
        <v>0</v>
      </c>
      <c r="K63" s="0" t="n">
        <f aca="false">IF(Matrice_OD!K63&lt;=Param!$B$2,EXP(-(Matrice_OD!K63^2)/Param!$B$5),0)</f>
        <v>0</v>
      </c>
      <c r="L63" s="0" t="n">
        <f aca="false">IF(Matrice_OD!L63&lt;=Param!$B$2,EXP(-(Matrice_OD!L63^2)/Param!$B$5),0)</f>
        <v>0</v>
      </c>
      <c r="M63" s="0" t="n">
        <f aca="false">IF(Matrice_OD!M63&lt;=Param!$B$2,EXP(-(Matrice_OD!M63^2)/Param!$B$5),0)</f>
        <v>0</v>
      </c>
      <c r="N63" s="0" t="n">
        <f aca="false">IF(Matrice_OD!N63&lt;=Param!$B$2,EXP(-(Matrice_OD!N63^2)/Param!$B$5),0)</f>
        <v>0</v>
      </c>
      <c r="O63" s="0" t="n">
        <f aca="false">IF(Matrice_OD!O63&lt;=Param!$B$2,EXP(-(Matrice_OD!O63^2)/Param!$B$5),0)</f>
        <v>0</v>
      </c>
      <c r="P63" s="0" t="n">
        <f aca="false">IF(Matrice_OD!P63&lt;=Param!$B$2,EXP(-(Matrice_OD!P63^2)/Param!$B$5),0)</f>
        <v>0</v>
      </c>
      <c r="Q63" s="0" t="n">
        <f aca="false">IF(Matrice_OD!Q63&lt;=Param!$B$2,EXP(-(Matrice_OD!Q63^2)/Param!$B$5),0)</f>
        <v>0</v>
      </c>
      <c r="R63" s="0" t="n">
        <f aca="false">IF(Matrice_OD!R63&lt;=Param!$B$2,EXP(-(Matrice_OD!R63^2)/Param!$B$5),0)</f>
        <v>0</v>
      </c>
      <c r="S63" s="0" t="n">
        <f aca="false">IF(Matrice_OD!S63&lt;=Param!$B$2,EXP(-(Matrice_OD!S63^2)/Param!$B$5),0)</f>
        <v>0</v>
      </c>
      <c r="T63" s="0" t="n">
        <f aca="false">IF(Matrice_OD!T63&lt;=Param!$B$2,EXP(-(Matrice_OD!T63^2)/Param!$B$5),0)</f>
        <v>0</v>
      </c>
      <c r="U63" s="0" t="n">
        <f aca="false">IF(Matrice_OD!U63&lt;=Param!$B$2,EXP(-(Matrice_OD!U63^2)/Param!$B$5),0)</f>
        <v>0</v>
      </c>
      <c r="V63" s="0" t="n">
        <f aca="false">IF(Matrice_OD!V63&lt;=Param!$B$2,EXP(-(Matrice_OD!V63^2)/Param!$B$5),0)</f>
        <v>0</v>
      </c>
      <c r="W63" s="0" t="n">
        <f aca="false">IF(Matrice_OD!W63&lt;=Param!$B$2,EXP(-(Matrice_OD!W63^2)/Param!$B$5),0)</f>
        <v>0</v>
      </c>
      <c r="X63" s="0" t="n">
        <f aca="false">IF(Matrice_OD!X63&lt;=Param!$B$2,EXP(-(Matrice_OD!X63^2)/Param!$B$5),0)</f>
        <v>0</v>
      </c>
      <c r="Y63" s="0" t="n">
        <f aca="false">IF(Matrice_OD!Y63&lt;=Param!$B$2,EXP(-(Matrice_OD!Y63^2)/Param!$B$5),0)</f>
        <v>0</v>
      </c>
      <c r="Z63" s="0" t="n">
        <f aca="false">IF(Matrice_OD!Z63&lt;=Param!$B$2,EXP(-(Matrice_OD!Z63^2)/Param!$B$5),0)</f>
        <v>0</v>
      </c>
      <c r="AA63" s="0" t="n">
        <f aca="false">IF(Matrice_OD!AA63&lt;=Param!$B$2,EXP(-(Matrice_OD!AA63^2)/Param!$B$5),0)</f>
        <v>0</v>
      </c>
      <c r="AB63" s="0" t="n">
        <f aca="false">IF(Matrice_OD!AB63&lt;=Param!$B$2,EXP(-(Matrice_OD!AB63^2)/Param!$B$5),0)</f>
        <v>0</v>
      </c>
      <c r="AC63" s="0" t="n">
        <f aca="false">IF(Matrice_OD!AC63&lt;=Param!$B$2,EXP(-(Matrice_OD!AC63^2)/Param!$B$5),0)</f>
        <v>0</v>
      </c>
      <c r="AD63" s="0" t="n">
        <f aca="false">IF(Matrice_OD!AD63&lt;=Param!$B$2,EXP(-(Matrice_OD!AD63^2)/Param!$B$5),0)</f>
        <v>0</v>
      </c>
      <c r="AE63" s="0" t="n">
        <f aca="false">IF(Matrice_OD!AE63&lt;=Param!$B$2,EXP(-(Matrice_OD!AE63^2)/Param!$B$5),0)</f>
        <v>0</v>
      </c>
      <c r="AF63" s="0" t="n">
        <f aca="false">IF(Matrice_OD!AF63&lt;=Param!$B$2,EXP(-(Matrice_OD!AF63^2)/Param!$B$5),0)</f>
        <v>0</v>
      </c>
      <c r="AG63" s="0" t="n">
        <f aca="false">IF(Matrice_OD!AG63&lt;=Param!$B$2,EXP(-(Matrice_OD!AG63^2)/Param!$B$5),0)</f>
        <v>0</v>
      </c>
      <c r="AH63" s="0" t="n">
        <f aca="false">IF(Matrice_OD!AH63&lt;=Param!$B$2,EXP(-(Matrice_OD!AH63^2)/Param!$B$5),0)</f>
        <v>0</v>
      </c>
      <c r="AI63" s="0" t="n">
        <f aca="false">IF(Matrice_OD!AI63&lt;=Param!$B$2,EXP(-(Matrice_OD!AI63^2)/Param!$B$5),0)</f>
        <v>0</v>
      </c>
      <c r="AJ63" s="0" t="n">
        <f aca="false">IF(Matrice_OD!AJ63&lt;=Param!$B$2,EXP(-(Matrice_OD!AJ63^2)/Param!$B$5),0)</f>
        <v>0</v>
      </c>
      <c r="AK63" s="0" t="n">
        <f aca="false">IF(Matrice_OD!AK63&lt;=Param!$B$2,EXP(-(Matrice_OD!AK63^2)/Param!$B$5),0)</f>
        <v>0</v>
      </c>
      <c r="AL63" s="0" t="n">
        <f aca="false">IF(Matrice_OD!AL63&lt;=Param!$B$2,EXP(-(Matrice_OD!AL63^2)/Param!$B$5),0)</f>
        <v>0</v>
      </c>
      <c r="AM63" s="0" t="n">
        <f aca="false">IF(Matrice_OD!AM63&lt;=Param!$B$2,EXP(-(Matrice_OD!AM63^2)/Param!$B$5),0)</f>
        <v>0</v>
      </c>
      <c r="AN63" s="0" t="n">
        <f aca="false">IF(Matrice_OD!AN63&lt;=Param!$B$2,EXP(-(Matrice_OD!AN63^2)/Param!$B$5),0)</f>
        <v>0</v>
      </c>
    </row>
    <row r="64" customFormat="false" ht="15" hidden="false" customHeight="true" outlineLevel="0" collapsed="false">
      <c r="A64" s="0" t="s">
        <v>226</v>
      </c>
      <c r="B64" s="0" t="s">
        <v>227</v>
      </c>
      <c r="C64" s="0" t="n">
        <f aca="false">IF(Matrice_OD!C64&lt;=Param!$B$2,EXP(-(Matrice_OD!C64^2)/Param!$B$5),0)</f>
        <v>0.619525462370578</v>
      </c>
      <c r="D64" s="0" t="n">
        <f aca="false">IF(Matrice_OD!D64&lt;=Param!$B$2,EXP(-(Matrice_OD!D64^2)/Param!$B$5),0)</f>
        <v>0.593963527437779</v>
      </c>
      <c r="E64" s="0" t="n">
        <f aca="false">IF(Matrice_OD!E64&lt;=Param!$B$2,EXP(-(Matrice_OD!E64^2)/Param!$B$5),0)</f>
        <v>0.562133901512269</v>
      </c>
      <c r="F64" s="0" t="n">
        <f aca="false">IF(Matrice_OD!F64&lt;=Param!$B$2,EXP(-(Matrice_OD!F64^2)/Param!$B$5),0)</f>
        <v>0.559896500548202</v>
      </c>
      <c r="G64" s="0" t="n">
        <f aca="false">IF(Matrice_OD!G64&lt;=Param!$B$2,EXP(-(Matrice_OD!G64^2)/Param!$B$5),0)</f>
        <v>0.549134576512859</v>
      </c>
      <c r="H64" s="0" t="n">
        <f aca="false">IF(Matrice_OD!H64&lt;=Param!$B$2,EXP(-(Matrice_OD!H64^2)/Param!$B$5),0)</f>
        <v>0.53618607487549</v>
      </c>
      <c r="I64" s="0" t="n">
        <f aca="false">IF(Matrice_OD!I64&lt;=Param!$B$2,EXP(-(Matrice_OD!I64^2)/Param!$B$5),0)</f>
        <v>0.533563088501599</v>
      </c>
      <c r="J64" s="0" t="n">
        <f aca="false">IF(Matrice_OD!J64&lt;=Param!$B$2,EXP(-(Matrice_OD!J64^2)/Param!$B$5),0)</f>
        <v>0.527319044892484</v>
      </c>
      <c r="K64" s="0" t="n">
        <f aca="false">IF(Matrice_OD!K64&lt;=Param!$B$2,EXP(-(Matrice_OD!K64^2)/Param!$B$5),0)</f>
        <v>0.523299114681495</v>
      </c>
      <c r="L64" s="0" t="n">
        <f aca="false">IF(Matrice_OD!L64&lt;=Param!$B$2,EXP(-(Matrice_OD!L64^2)/Param!$B$5),0)</f>
        <v>0.521893783064724</v>
      </c>
      <c r="M64" s="0" t="n">
        <f aca="false">IF(Matrice_OD!M64&lt;=Param!$B$2,EXP(-(Matrice_OD!M64^2)/Param!$B$5),0)</f>
        <v>0.521291764873417</v>
      </c>
      <c r="N64" s="0" t="n">
        <f aca="false">IF(Matrice_OD!N64&lt;=Param!$B$2,EXP(-(Matrice_OD!N64^2)/Param!$B$5),0)</f>
        <v>0.515280641898937</v>
      </c>
      <c r="O64" s="0" t="n">
        <f aca="false">IF(Matrice_OD!O64&lt;=Param!$B$2,EXP(-(Matrice_OD!O64^2)/Param!$B$5),0)</f>
        <v>0.514080447695002</v>
      </c>
      <c r="P64" s="0" t="n">
        <f aca="false">IF(Matrice_OD!P64&lt;=Param!$B$2,EXP(-(Matrice_OD!P64^2)/Param!$B$5),0)</f>
        <v>0.512281463992298</v>
      </c>
      <c r="Q64" s="0" t="n">
        <f aca="false">IF(Matrice_OD!Q64&lt;=Param!$B$2,EXP(-(Matrice_OD!Q64^2)/Param!$B$5),0)</f>
        <v>0.505499914440727</v>
      </c>
      <c r="R64" s="0" t="n">
        <f aca="false">IF(Matrice_OD!R64&lt;=Param!$B$2,EXP(-(Matrice_OD!R64^2)/Param!$B$5),0)</f>
        <v>0.502913288449426</v>
      </c>
      <c r="S64" s="0" t="n">
        <f aca="false">IF(Matrice_OD!S64&lt;=Param!$B$2,EXP(-(Matrice_OD!S64^2)/Param!$B$5),0)</f>
        <v>0.497354497304408</v>
      </c>
      <c r="T64" s="0" t="n">
        <f aca="false">IF(Matrice_OD!T64&lt;=Param!$B$2,EXP(-(Matrice_OD!T64^2)/Param!$B$5),0)</f>
        <v>0.16211971334353</v>
      </c>
      <c r="U64" s="0" t="n">
        <f aca="false">IF(Matrice_OD!U64&lt;=Param!$B$2,EXP(-(Matrice_OD!U64^2)/Param!$B$5),0)</f>
        <v>0.0208076004550798</v>
      </c>
      <c r="V64" s="0" t="n">
        <f aca="false">IF(Matrice_OD!V64&lt;=Param!$B$2,EXP(-(Matrice_OD!V64^2)/Param!$B$5),0)</f>
        <v>0</v>
      </c>
      <c r="W64" s="0" t="n">
        <f aca="false">IF(Matrice_OD!W64&lt;=Param!$B$2,EXP(-(Matrice_OD!W64^2)/Param!$B$5),0)</f>
        <v>0</v>
      </c>
      <c r="X64" s="0" t="n">
        <f aca="false">IF(Matrice_OD!X64&lt;=Param!$B$2,EXP(-(Matrice_OD!X64^2)/Param!$B$5),0)</f>
        <v>0</v>
      </c>
      <c r="Y64" s="0" t="n">
        <f aca="false">IF(Matrice_OD!Y64&lt;=Param!$B$2,EXP(-(Matrice_OD!Y64^2)/Param!$B$5),0)</f>
        <v>0</v>
      </c>
      <c r="Z64" s="0" t="n">
        <f aca="false">IF(Matrice_OD!Z64&lt;=Param!$B$2,EXP(-(Matrice_OD!Z64^2)/Param!$B$5),0)</f>
        <v>0</v>
      </c>
      <c r="AA64" s="0" t="n">
        <f aca="false">IF(Matrice_OD!AA64&lt;=Param!$B$2,EXP(-(Matrice_OD!AA64^2)/Param!$B$5),0)</f>
        <v>0</v>
      </c>
      <c r="AB64" s="0" t="n">
        <f aca="false">IF(Matrice_OD!AB64&lt;=Param!$B$2,EXP(-(Matrice_OD!AB64^2)/Param!$B$5),0)</f>
        <v>0</v>
      </c>
      <c r="AC64" s="0" t="n">
        <f aca="false">IF(Matrice_OD!AC64&lt;=Param!$B$2,EXP(-(Matrice_OD!AC64^2)/Param!$B$5),0)</f>
        <v>0</v>
      </c>
      <c r="AD64" s="0" t="n">
        <f aca="false">IF(Matrice_OD!AD64&lt;=Param!$B$2,EXP(-(Matrice_OD!AD64^2)/Param!$B$5),0)</f>
        <v>0</v>
      </c>
      <c r="AE64" s="0" t="n">
        <f aca="false">IF(Matrice_OD!AE64&lt;=Param!$B$2,EXP(-(Matrice_OD!AE64^2)/Param!$B$5),0)</f>
        <v>0</v>
      </c>
      <c r="AF64" s="0" t="n">
        <f aca="false">IF(Matrice_OD!AF64&lt;=Param!$B$2,EXP(-(Matrice_OD!AF64^2)/Param!$B$5),0)</f>
        <v>0</v>
      </c>
      <c r="AG64" s="0" t="n">
        <f aca="false">IF(Matrice_OD!AG64&lt;=Param!$B$2,EXP(-(Matrice_OD!AG64^2)/Param!$B$5),0)</f>
        <v>0.17864859497507</v>
      </c>
      <c r="AH64" s="0" t="n">
        <f aca="false">IF(Matrice_OD!AH64&lt;=Param!$B$2,EXP(-(Matrice_OD!AH64^2)/Param!$B$5),0)</f>
        <v>0.481964539705364</v>
      </c>
      <c r="AI64" s="0" t="n">
        <f aca="false">IF(Matrice_OD!AI64&lt;=Param!$B$2,EXP(-(Matrice_OD!AI64^2)/Param!$B$5),0)</f>
        <v>0.175647890464373</v>
      </c>
      <c r="AJ64" s="0" t="n">
        <f aca="false">IF(Matrice_OD!AJ64&lt;=Param!$B$2,EXP(-(Matrice_OD!AJ64^2)/Param!$B$5),0)</f>
        <v>0</v>
      </c>
      <c r="AK64" s="0" t="n">
        <f aca="false">IF(Matrice_OD!AK64&lt;=Param!$B$2,EXP(-(Matrice_OD!AK64^2)/Param!$B$5),0)</f>
        <v>0</v>
      </c>
      <c r="AL64" s="0" t="n">
        <f aca="false">IF(Matrice_OD!AL64&lt;=Param!$B$2,EXP(-(Matrice_OD!AL64^2)/Param!$B$5),0)</f>
        <v>0</v>
      </c>
      <c r="AM64" s="0" t="n">
        <f aca="false">IF(Matrice_OD!AM64&lt;=Param!$B$2,EXP(-(Matrice_OD!AM64^2)/Param!$B$5),0)</f>
        <v>0.585175883832809</v>
      </c>
      <c r="AN64" s="0" t="n">
        <f aca="false">IF(Matrice_OD!AN64&lt;=Param!$B$2,EXP(-(Matrice_OD!AN64^2)/Param!$B$5),0)</f>
        <v>0</v>
      </c>
    </row>
    <row r="65" customFormat="false" ht="15" hidden="false" customHeight="true" outlineLevel="0" collapsed="false">
      <c r="A65" s="0" t="s">
        <v>228</v>
      </c>
      <c r="B65" s="0" t="s">
        <v>229</v>
      </c>
      <c r="C65" s="0" t="n">
        <f aca="false">IF(Matrice_OD!C65&lt;=Param!$B$2,EXP(-(Matrice_OD!C65^2)/Param!$B$5),0)</f>
        <v>0.535378727476545</v>
      </c>
      <c r="D65" s="0" t="n">
        <f aca="false">IF(Matrice_OD!D65&lt;=Param!$B$2,EXP(-(Matrice_OD!D65^2)/Param!$B$5),0)</f>
        <v>0.798037153924528</v>
      </c>
      <c r="E65" s="0" t="n">
        <f aca="false">IF(Matrice_OD!E65&lt;=Param!$B$2,EXP(-(Matrice_OD!E65^2)/Param!$B$5),0)</f>
        <v>0.769265834417956</v>
      </c>
      <c r="F65" s="0" t="n">
        <f aca="false">IF(Matrice_OD!F65&lt;=Param!$B$2,EXP(-(Matrice_OD!F65^2)/Param!$B$5),0)</f>
        <v>0.767196551384391</v>
      </c>
      <c r="G65" s="0" t="n">
        <f aca="false">IF(Matrice_OD!G65&lt;=Param!$B$2,EXP(-(Matrice_OD!G65^2)/Param!$B$5),0)</f>
        <v>0.757158091550379</v>
      </c>
      <c r="H65" s="0" t="n">
        <f aca="false">IF(Matrice_OD!H65&lt;=Param!$B$2,EXP(-(Matrice_OD!H65^2)/Param!$B$5),0)</f>
        <v>0.744701107988291</v>
      </c>
      <c r="I65" s="0" t="n">
        <f aca="false">IF(Matrice_OD!I65&lt;=Param!$B$2,EXP(-(Matrice_OD!I65^2)/Param!$B$5),0)</f>
        <v>0.742191624975099</v>
      </c>
      <c r="J65" s="0" t="n">
        <f aca="false">IF(Matrice_OD!J65&lt;=Param!$B$2,EXP(-(Matrice_OD!J65^2)/Param!$B$5),0)</f>
        <v>0.736184453593521</v>
      </c>
      <c r="K65" s="0" t="n">
        <f aca="false">IF(Matrice_OD!K65&lt;=Param!$B$2,EXP(-(Matrice_OD!K65^2)/Param!$B$5),0)</f>
        <v>0.73248713266504</v>
      </c>
      <c r="L65" s="0" t="n">
        <f aca="false">IF(Matrice_OD!L65&lt;=Param!$B$2,EXP(-(Matrice_OD!L65^2)/Param!$B$5),0)</f>
        <v>0.730926950441144</v>
      </c>
      <c r="M65" s="0" t="n">
        <f aca="false">IF(Matrice_OD!M65&lt;=Param!$B$2,EXP(-(Matrice_OD!M65^2)/Param!$B$5),0)</f>
        <v>0.730341368985213</v>
      </c>
      <c r="N65" s="0" t="n">
        <f aca="false">IF(Matrice_OD!N65&lt;=Param!$B$2,EXP(-(Matrice_OD!N65^2)/Param!$B$5),0)</f>
        <v>0.724666644264496</v>
      </c>
      <c r="O65" s="0" t="n">
        <f aca="false">IF(Matrice_OD!O65&lt;=Param!$B$2,EXP(-(Matrice_OD!O65^2)/Param!$B$5),0)</f>
        <v>0.723489441600378</v>
      </c>
      <c r="P65" s="0" t="n">
        <f aca="false">IF(Matrice_OD!P65&lt;=Param!$B$2,EXP(-(Matrice_OD!P65^2)/Param!$B$5),0)</f>
        <v>0.721525121782734</v>
      </c>
      <c r="Q65" s="0" t="n">
        <f aca="false">IF(Matrice_OD!Q65&lt;=Param!$B$2,EXP(-(Matrice_OD!Q65^2)/Param!$B$5),0)</f>
        <v>0.715022939775052</v>
      </c>
      <c r="R65" s="0" t="n">
        <f aca="false">IF(Matrice_OD!R65&lt;=Param!$B$2,EXP(-(Matrice_OD!R65^2)/Param!$B$5),0)</f>
        <v>0.712453368955088</v>
      </c>
      <c r="S65" s="0" t="n">
        <f aca="false">IF(Matrice_OD!S65&lt;=Param!$B$2,EXP(-(Matrice_OD!S65^2)/Param!$B$5),0)</f>
        <v>0.706904089057673</v>
      </c>
      <c r="T65" s="0" t="n">
        <f aca="false">IF(Matrice_OD!T65&lt;=Param!$B$2,EXP(-(Matrice_OD!T65^2)/Param!$B$5),0)</f>
        <v>0.21956247791743</v>
      </c>
      <c r="U65" s="0" t="n">
        <f aca="false">IF(Matrice_OD!U65&lt;=Param!$B$2,EXP(-(Matrice_OD!U65^2)/Param!$B$5),0)</f>
        <v>0.0517120792112209</v>
      </c>
      <c r="V65" s="0" t="n">
        <f aca="false">IF(Matrice_OD!V65&lt;=Param!$B$2,EXP(-(Matrice_OD!V65^2)/Param!$B$5),0)</f>
        <v>0.0153355430857972</v>
      </c>
      <c r="W65" s="0" t="n">
        <f aca="false">IF(Matrice_OD!W65&lt;=Param!$B$2,EXP(-(Matrice_OD!W65^2)/Param!$B$5),0)</f>
        <v>0.0124035626456006</v>
      </c>
      <c r="X65" s="0" t="n">
        <f aca="false">IF(Matrice_OD!X65&lt;=Param!$B$2,EXP(-(Matrice_OD!X65^2)/Param!$B$5),0)</f>
        <v>0.0122679012533099</v>
      </c>
      <c r="Y65" s="0" t="n">
        <f aca="false">IF(Matrice_OD!Y65&lt;=Param!$B$2,EXP(-(Matrice_OD!Y65^2)/Param!$B$5),0)</f>
        <v>0.0122433773384305</v>
      </c>
      <c r="Z65" s="0" t="n">
        <f aca="false">IF(Matrice_OD!Z65&lt;=Param!$B$2,EXP(-(Matrice_OD!Z65^2)/Param!$B$5),0)</f>
        <v>0.011892632534328</v>
      </c>
      <c r="AA65" s="0" t="n">
        <f aca="false">IF(Matrice_OD!AA65&lt;=Param!$B$2,EXP(-(Matrice_OD!AA65^2)/Param!$B$5),0)</f>
        <v>0.01026925325175</v>
      </c>
      <c r="AB65" s="0" t="n">
        <f aca="false">IF(Matrice_OD!AB65&lt;=Param!$B$2,EXP(-(Matrice_OD!AB65^2)/Param!$B$5),0)</f>
        <v>0</v>
      </c>
      <c r="AC65" s="0" t="n">
        <f aca="false">IF(Matrice_OD!AC65&lt;=Param!$B$2,EXP(-(Matrice_OD!AC65^2)/Param!$B$5),0)</f>
        <v>0</v>
      </c>
      <c r="AD65" s="0" t="n">
        <f aca="false">IF(Matrice_OD!AD65&lt;=Param!$B$2,EXP(-(Matrice_OD!AD65^2)/Param!$B$5),0)</f>
        <v>0</v>
      </c>
      <c r="AE65" s="0" t="n">
        <f aca="false">IF(Matrice_OD!AE65&lt;=Param!$B$2,EXP(-(Matrice_OD!AE65^2)/Param!$B$5),0)</f>
        <v>0</v>
      </c>
      <c r="AF65" s="0" t="n">
        <f aca="false">IF(Matrice_OD!AF65&lt;=Param!$B$2,EXP(-(Matrice_OD!AF65^2)/Param!$B$5),0)</f>
        <v>0</v>
      </c>
      <c r="AG65" s="0" t="n">
        <f aca="false">IF(Matrice_OD!AG65&lt;=Param!$B$2,EXP(-(Matrice_OD!AG65^2)/Param!$B$5),0)</f>
        <v>0.0497901355534353</v>
      </c>
      <c r="AH65" s="0" t="n">
        <f aca="false">IF(Matrice_OD!AH65&lt;=Param!$B$2,EXP(-(Matrice_OD!AH65^2)/Param!$B$5),0)</f>
        <v>0.691347182914755</v>
      </c>
      <c r="AI65" s="0" t="n">
        <f aca="false">IF(Matrice_OD!AI65&lt;=Param!$B$2,EXP(-(Matrice_OD!AI65^2)/Param!$B$5),0)</f>
        <v>0.207916042425291</v>
      </c>
      <c r="AJ65" s="0" t="n">
        <f aca="false">IF(Matrice_OD!AJ65&lt;=Param!$B$2,EXP(-(Matrice_OD!AJ65^2)/Param!$B$5),0)</f>
        <v>0.0112632052926028</v>
      </c>
      <c r="AK65" s="0" t="n">
        <f aca="false">IF(Matrice_OD!AK65&lt;=Param!$B$2,EXP(-(Matrice_OD!AK65^2)/Param!$B$5),0)</f>
        <v>0</v>
      </c>
      <c r="AL65" s="0" t="n">
        <f aca="false">IF(Matrice_OD!AL65&lt;=Param!$B$2,EXP(-(Matrice_OD!AL65^2)/Param!$B$5),0)</f>
        <v>0</v>
      </c>
      <c r="AM65" s="0" t="n">
        <f aca="false">IF(Matrice_OD!AM65&lt;=Param!$B$2,EXP(-(Matrice_OD!AM65^2)/Param!$B$5),0)</f>
        <v>0.50231688603426</v>
      </c>
      <c r="AN65" s="0" t="n">
        <f aca="false">IF(Matrice_OD!AN65&lt;=Param!$B$2,EXP(-(Matrice_OD!AN65^2)/Param!$B$5),0)</f>
        <v>0</v>
      </c>
    </row>
    <row r="66" customFormat="false" ht="15" hidden="false" customHeight="true" outlineLevel="0" collapsed="false">
      <c r="A66" s="0" t="s">
        <v>230</v>
      </c>
      <c r="B66" s="0" t="s">
        <v>231</v>
      </c>
      <c r="C66" s="0" t="n">
        <f aca="false">IF(Matrice_OD!C66&lt;=Param!$B$2,EXP(-(Matrice_OD!C66^2)/Param!$B$5),0)</f>
        <v>0.342876525689291</v>
      </c>
      <c r="D66" s="0" t="n">
        <f aca="false">IF(Matrice_OD!D66&lt;=Param!$B$2,EXP(-(Matrice_OD!D66^2)/Param!$B$5),0)</f>
        <v>0.322083146290761</v>
      </c>
      <c r="E66" s="0" t="n">
        <f aca="false">IF(Matrice_OD!E66&lt;=Param!$B$2,EXP(-(Matrice_OD!E66^2)/Param!$B$5),0)</f>
        <v>0.297151397976362</v>
      </c>
      <c r="F66" s="0" t="n">
        <f aca="false">IF(Matrice_OD!F66&lt;=Param!$B$2,EXP(-(Matrice_OD!F66^2)/Param!$B$5),0)</f>
        <v>0.295437187652051</v>
      </c>
      <c r="G66" s="0" t="n">
        <f aca="false">IF(Matrice_OD!G66&lt;=Param!$B$2,EXP(-(Matrice_OD!G66^2)/Param!$B$5),0)</f>
        <v>0.287260002880343</v>
      </c>
      <c r="H66" s="0" t="n">
        <f aca="false">IF(Matrice_OD!H66&lt;=Param!$B$2,EXP(-(Matrice_OD!H66^2)/Param!$B$5),0)</f>
        <v>0.277568559535862</v>
      </c>
      <c r="I66" s="0" t="n">
        <f aca="false">IF(Matrice_OD!I66&lt;=Param!$B$2,EXP(-(Matrice_OD!I66^2)/Param!$B$5),0)</f>
        <v>0.275624614887078</v>
      </c>
      <c r="J66" s="0" t="n">
        <f aca="false">IF(Matrice_OD!J66&lt;=Param!$B$2,EXP(-(Matrice_OD!J66^2)/Param!$B$5),0)</f>
        <v>0.271022799622015</v>
      </c>
      <c r="K66" s="0" t="n">
        <f aca="false">IF(Matrice_OD!K66&lt;=Param!$B$2,EXP(-(Matrice_OD!K66^2)/Param!$B$5),0)</f>
        <v>0.268079195247227</v>
      </c>
      <c r="L66" s="0" t="n">
        <f aca="false">IF(Matrice_OD!L66&lt;=Param!$B$2,EXP(-(Matrice_OD!L66^2)/Param!$B$5),0)</f>
        <v>0.267053635051242</v>
      </c>
      <c r="M66" s="0" t="n">
        <f aca="false">IF(Matrice_OD!M66&lt;=Param!$B$2,EXP(-(Matrice_OD!M66^2)/Param!$B$5),0)</f>
        <v>0.266614856417262</v>
      </c>
      <c r="N66" s="0" t="n">
        <f aca="false">IF(Matrice_OD!N66&lt;=Param!$B$2,EXP(-(Matrice_OD!N66^2)/Param!$B$5),0)</f>
        <v>0.262251765000146</v>
      </c>
      <c r="O66" s="0" t="n">
        <f aca="false">IF(Matrice_OD!O66&lt;=Param!$B$2,EXP(-(Matrice_OD!O66^2)/Param!$B$5),0)</f>
        <v>0.261384542564569</v>
      </c>
      <c r="P66" s="0" t="n">
        <f aca="false">IF(Matrice_OD!P66&lt;=Param!$B$2,EXP(-(Matrice_OD!P66^2)/Param!$B$5),0)</f>
        <v>0.260087086744019</v>
      </c>
      <c r="Q66" s="0" t="n">
        <f aca="false">IF(Matrice_OD!Q66&lt;=Param!$B$2,EXP(-(Matrice_OD!Q66^2)/Param!$B$5),0)</f>
        <v>0.255222226965584</v>
      </c>
      <c r="R66" s="0" t="n">
        <f aca="false">IF(Matrice_OD!R66&lt;=Param!$B$2,EXP(-(Matrice_OD!R66^2)/Param!$B$5),0)</f>
        <v>0.253377472709826</v>
      </c>
      <c r="S66" s="0" t="n">
        <f aca="false">IF(Matrice_OD!S66&lt;=Param!$B$2,EXP(-(Matrice_OD!S66^2)/Param!$B$5),0)</f>
        <v>0.249433037435807</v>
      </c>
      <c r="T66" s="0" t="n">
        <f aca="false">IF(Matrice_OD!T66&lt;=Param!$B$2,EXP(-(Matrice_OD!T66^2)/Param!$B$5),0)</f>
        <v>0.0572020320246879</v>
      </c>
      <c r="U66" s="0" t="n">
        <f aca="false">IF(Matrice_OD!U66&lt;=Param!$B$2,EXP(-(Matrice_OD!U66^2)/Param!$B$5),0)</f>
        <v>0</v>
      </c>
      <c r="V66" s="0" t="n">
        <f aca="false">IF(Matrice_OD!V66&lt;=Param!$B$2,EXP(-(Matrice_OD!V66^2)/Param!$B$5),0)</f>
        <v>0</v>
      </c>
      <c r="W66" s="0" t="n">
        <f aca="false">IF(Matrice_OD!W66&lt;=Param!$B$2,EXP(-(Matrice_OD!W66^2)/Param!$B$5),0)</f>
        <v>0</v>
      </c>
      <c r="X66" s="0" t="n">
        <f aca="false">IF(Matrice_OD!X66&lt;=Param!$B$2,EXP(-(Matrice_OD!X66^2)/Param!$B$5),0)</f>
        <v>0</v>
      </c>
      <c r="Y66" s="0" t="n">
        <f aca="false">IF(Matrice_OD!Y66&lt;=Param!$B$2,EXP(-(Matrice_OD!Y66^2)/Param!$B$5),0)</f>
        <v>0</v>
      </c>
      <c r="Z66" s="0" t="n">
        <f aca="false">IF(Matrice_OD!Z66&lt;=Param!$B$2,EXP(-(Matrice_OD!Z66^2)/Param!$B$5),0)</f>
        <v>0</v>
      </c>
      <c r="AA66" s="0" t="n">
        <f aca="false">IF(Matrice_OD!AA66&lt;=Param!$B$2,EXP(-(Matrice_OD!AA66^2)/Param!$B$5),0)</f>
        <v>0</v>
      </c>
      <c r="AB66" s="0" t="n">
        <f aca="false">IF(Matrice_OD!AB66&lt;=Param!$B$2,EXP(-(Matrice_OD!AB66^2)/Param!$B$5),0)</f>
        <v>0</v>
      </c>
      <c r="AC66" s="0" t="n">
        <f aca="false">IF(Matrice_OD!AC66&lt;=Param!$B$2,EXP(-(Matrice_OD!AC66^2)/Param!$B$5),0)</f>
        <v>0</v>
      </c>
      <c r="AD66" s="0" t="n">
        <f aca="false">IF(Matrice_OD!AD66&lt;=Param!$B$2,EXP(-(Matrice_OD!AD66^2)/Param!$B$5),0)</f>
        <v>0</v>
      </c>
      <c r="AE66" s="0" t="n">
        <f aca="false">IF(Matrice_OD!AE66&lt;=Param!$B$2,EXP(-(Matrice_OD!AE66^2)/Param!$B$5),0)</f>
        <v>0</v>
      </c>
      <c r="AF66" s="0" t="n">
        <f aca="false">IF(Matrice_OD!AF66&lt;=Param!$B$2,EXP(-(Matrice_OD!AF66^2)/Param!$B$5),0)</f>
        <v>0</v>
      </c>
      <c r="AG66" s="0" t="n">
        <f aca="false">IF(Matrice_OD!AG66&lt;=Param!$B$2,EXP(-(Matrice_OD!AG66^2)/Param!$B$5),0)</f>
        <v>0.226861804760629</v>
      </c>
      <c r="AH66" s="0" t="n">
        <f aca="false">IF(Matrice_OD!AH66&lt;=Param!$B$2,EXP(-(Matrice_OD!AH66^2)/Param!$B$5),0)</f>
        <v>0.238653551265038</v>
      </c>
      <c r="AI66" s="0" t="n">
        <f aca="false">IF(Matrice_OD!AI66&lt;=Param!$B$2,EXP(-(Matrice_OD!AI66^2)/Param!$B$5),0)</f>
        <v>0.06326447395625</v>
      </c>
      <c r="AJ66" s="0" t="n">
        <f aca="false">IF(Matrice_OD!AJ66&lt;=Param!$B$2,EXP(-(Matrice_OD!AJ66^2)/Param!$B$5),0)</f>
        <v>0</v>
      </c>
      <c r="AK66" s="0" t="n">
        <f aca="false">IF(Matrice_OD!AK66&lt;=Param!$B$2,EXP(-(Matrice_OD!AK66^2)/Param!$B$5),0)</f>
        <v>0</v>
      </c>
      <c r="AL66" s="0" t="n">
        <f aca="false">IF(Matrice_OD!AL66&lt;=Param!$B$2,EXP(-(Matrice_OD!AL66^2)/Param!$B$5),0)</f>
        <v>0</v>
      </c>
      <c r="AM66" s="0" t="n">
        <f aca="false">IF(Matrice_OD!AM66&lt;=Param!$B$2,EXP(-(Matrice_OD!AM66^2)/Param!$B$5),0)</f>
        <v>0.316227766016838</v>
      </c>
      <c r="AN66" s="0" t="n">
        <f aca="false">IF(Matrice_OD!AN66&lt;=Param!$B$2,EXP(-(Matrice_OD!AN66^2)/Param!$B$5),0)</f>
        <v>0</v>
      </c>
    </row>
    <row r="67" customFormat="false" ht="15" hidden="false" customHeight="true" outlineLevel="0" collapsed="false">
      <c r="A67" s="0" t="s">
        <v>232</v>
      </c>
      <c r="B67" s="0" t="s">
        <v>233</v>
      </c>
      <c r="C67" s="0" t="n">
        <f aca="false">IF(Matrice_OD!C67&lt;=Param!$B$2,EXP(-(Matrice_OD!C67^2)/Param!$B$5),0)</f>
        <v>0.741031453038183</v>
      </c>
      <c r="D67" s="0" t="n">
        <f aca="false">IF(Matrice_OD!D67&lt;=Param!$B$2,EXP(-(Matrice_OD!D67^2)/Param!$B$5),0)</f>
        <v>0.454543970486543</v>
      </c>
      <c r="E67" s="0" t="n">
        <f aca="false">IF(Matrice_OD!E67&lt;=Param!$B$2,EXP(-(Matrice_OD!E67^2)/Param!$B$5),0)</f>
        <v>0.424899695398384</v>
      </c>
      <c r="F67" s="0" t="n">
        <f aca="false">IF(Matrice_OD!F67&lt;=Param!$B$2,EXP(-(Matrice_OD!F67^2)/Param!$B$5),0)</f>
        <v>0.422839721176306</v>
      </c>
      <c r="G67" s="0" t="n">
        <f aca="false">IF(Matrice_OD!G67&lt;=Param!$B$2,EXP(-(Matrice_OD!G67^2)/Param!$B$5),0)</f>
        <v>0.412973864665096</v>
      </c>
      <c r="H67" s="0" t="n">
        <f aca="false">IF(Matrice_OD!H67&lt;=Param!$B$2,EXP(-(Matrice_OD!H67^2)/Param!$B$5),0)</f>
        <v>0.401195861498905</v>
      </c>
      <c r="I67" s="0" t="n">
        <f aca="false">IF(Matrice_OD!I67&lt;=Param!$B$2,EXP(-(Matrice_OD!I67^2)/Param!$B$5),0)</f>
        <v>0.398822117102891</v>
      </c>
      <c r="J67" s="0" t="n">
        <f aca="false">IF(Matrice_OD!J67&lt;=Param!$B$2,EXP(-(Matrice_OD!J67^2)/Param!$B$5),0)</f>
        <v>0.393187679897592</v>
      </c>
      <c r="K67" s="0" t="n">
        <f aca="false">IF(Matrice_OD!K67&lt;=Param!$B$2,EXP(-(Matrice_OD!K67^2)/Param!$B$5),0)</f>
        <v>0.389572282048133</v>
      </c>
      <c r="L67" s="0" t="n">
        <f aca="false">IF(Matrice_OD!L67&lt;=Param!$B$2,EXP(-(Matrice_OD!L67^2)/Param!$B$5),0)</f>
        <v>0.388310589810808</v>
      </c>
      <c r="M67" s="0" t="n">
        <f aca="false">IF(Matrice_OD!M67&lt;=Param!$B$2,EXP(-(Matrice_OD!M67^2)/Param!$B$5),0)</f>
        <v>0.387770454825041</v>
      </c>
      <c r="N67" s="0" t="n">
        <f aca="false">IF(Matrice_OD!N67&lt;=Param!$B$2,EXP(-(Matrice_OD!N67^2)/Param!$B$5),0)</f>
        <v>0.382388732135947</v>
      </c>
      <c r="O67" s="0" t="n">
        <f aca="false">IF(Matrice_OD!O67&lt;=Param!$B$2,EXP(-(Matrice_OD!O67^2)/Param!$B$5),0)</f>
        <v>0.38131670112007</v>
      </c>
      <c r="P67" s="0" t="n">
        <f aca="false">IF(Matrice_OD!P67&lt;=Param!$B$2,EXP(-(Matrice_OD!P67^2)/Param!$B$5),0)</f>
        <v>0.379711372778733</v>
      </c>
      <c r="Q67" s="0" t="n">
        <f aca="false">IF(Matrice_OD!Q67&lt;=Param!$B$2,EXP(-(Matrice_OD!Q67^2)/Param!$B$5),0)</f>
        <v>0.3736764924719</v>
      </c>
      <c r="R67" s="0" t="n">
        <f aca="false">IF(Matrice_OD!R67&lt;=Param!$B$2,EXP(-(Matrice_OD!R67^2)/Param!$B$5),0)</f>
        <v>0.371381568140821</v>
      </c>
      <c r="S67" s="0" t="n">
        <f aca="false">IF(Matrice_OD!S67&lt;=Param!$B$2,EXP(-(Matrice_OD!S67^2)/Param!$B$5),0)</f>
        <v>0.366462492270829</v>
      </c>
      <c r="T67" s="0" t="n">
        <f aca="false">IF(Matrice_OD!T67&lt;=Param!$B$2,EXP(-(Matrice_OD!T67^2)/Param!$B$5),0)</f>
        <v>0.224629116714608</v>
      </c>
      <c r="U67" s="0" t="n">
        <f aca="false">IF(Matrice_OD!U67&lt;=Param!$B$2,EXP(-(Matrice_OD!U67^2)/Param!$B$5),0)</f>
        <v>0.0105235069890455</v>
      </c>
      <c r="V67" s="0" t="n">
        <f aca="false">IF(Matrice_OD!V67&lt;=Param!$B$2,EXP(-(Matrice_OD!V67^2)/Param!$B$5),0)</f>
        <v>0.0115392020477889</v>
      </c>
      <c r="W67" s="0" t="n">
        <f aca="false">IF(Matrice_OD!W67&lt;=Param!$B$2,EXP(-(Matrice_OD!W67^2)/Param!$B$5),0)</f>
        <v>0</v>
      </c>
      <c r="X67" s="0" t="n">
        <f aca="false">IF(Matrice_OD!X67&lt;=Param!$B$2,EXP(-(Matrice_OD!X67^2)/Param!$B$5),0)</f>
        <v>0</v>
      </c>
      <c r="Y67" s="0" t="n">
        <f aca="false">IF(Matrice_OD!Y67&lt;=Param!$B$2,EXP(-(Matrice_OD!Y67^2)/Param!$B$5),0)</f>
        <v>0</v>
      </c>
      <c r="Z67" s="0" t="n">
        <f aca="false">IF(Matrice_OD!Z67&lt;=Param!$B$2,EXP(-(Matrice_OD!Z67^2)/Param!$B$5),0)</f>
        <v>0</v>
      </c>
      <c r="AA67" s="0" t="n">
        <f aca="false">IF(Matrice_OD!AA67&lt;=Param!$B$2,EXP(-(Matrice_OD!AA67^2)/Param!$B$5),0)</f>
        <v>0</v>
      </c>
      <c r="AB67" s="0" t="n">
        <f aca="false">IF(Matrice_OD!AB67&lt;=Param!$B$2,EXP(-(Matrice_OD!AB67^2)/Param!$B$5),0)</f>
        <v>0</v>
      </c>
      <c r="AC67" s="0" t="n">
        <f aca="false">IF(Matrice_OD!AC67&lt;=Param!$B$2,EXP(-(Matrice_OD!AC67^2)/Param!$B$5),0)</f>
        <v>0</v>
      </c>
      <c r="AD67" s="0" t="n">
        <f aca="false">IF(Matrice_OD!AD67&lt;=Param!$B$2,EXP(-(Matrice_OD!AD67^2)/Param!$B$5),0)</f>
        <v>0</v>
      </c>
      <c r="AE67" s="0" t="n">
        <f aca="false">IF(Matrice_OD!AE67&lt;=Param!$B$2,EXP(-(Matrice_OD!AE67^2)/Param!$B$5),0)</f>
        <v>0</v>
      </c>
      <c r="AF67" s="0" t="n">
        <f aca="false">IF(Matrice_OD!AF67&lt;=Param!$B$2,EXP(-(Matrice_OD!AF67^2)/Param!$B$5),0)</f>
        <v>0</v>
      </c>
      <c r="AG67" s="0" t="n">
        <f aca="false">IF(Matrice_OD!AG67&lt;=Param!$B$2,EXP(-(Matrice_OD!AG67^2)/Param!$B$5),0)</f>
        <v>0.0101234788012583</v>
      </c>
      <c r="AH67" s="0" t="n">
        <f aca="false">IF(Matrice_OD!AH67&lt;=Param!$B$2,EXP(-(Matrice_OD!AH67^2)/Param!$B$5),0)</f>
        <v>0.352934267283649</v>
      </c>
      <c r="AI67" s="0" t="n">
        <f aca="false">IF(Matrice_OD!AI67&lt;=Param!$B$2,EXP(-(Matrice_OD!AI67^2)/Param!$B$5),0)</f>
        <v>0.241662785918357</v>
      </c>
      <c r="AJ67" s="0" t="n">
        <f aca="false">IF(Matrice_OD!AJ67&lt;=Param!$B$2,EXP(-(Matrice_OD!AJ67^2)/Param!$B$5),0)</f>
        <v>0</v>
      </c>
      <c r="AK67" s="0" t="n">
        <f aca="false">IF(Matrice_OD!AK67&lt;=Param!$B$2,EXP(-(Matrice_OD!AK67^2)/Param!$B$5),0)</f>
        <v>0</v>
      </c>
      <c r="AL67" s="0" t="n">
        <f aca="false">IF(Matrice_OD!AL67&lt;=Param!$B$2,EXP(-(Matrice_OD!AL67^2)/Param!$B$5),0)</f>
        <v>0</v>
      </c>
      <c r="AM67" s="0" t="n">
        <f aca="false">IF(Matrice_OD!AM67&lt;=Param!$B$2,EXP(-(Matrice_OD!AM67^2)/Param!$B$5),0)</f>
        <v>0.704917466372058</v>
      </c>
      <c r="AN67" s="0" t="n">
        <f aca="false">IF(Matrice_OD!AN67&lt;=Param!$B$2,EXP(-(Matrice_OD!AN67^2)/Param!$B$5),0)</f>
        <v>0</v>
      </c>
    </row>
    <row r="68" customFormat="false" ht="15" hidden="false" customHeight="true" outlineLevel="0" collapsed="false">
      <c r="A68" s="0" t="s">
        <v>234</v>
      </c>
      <c r="B68" s="0" t="s">
        <v>235</v>
      </c>
      <c r="C68" s="0" t="n">
        <f aca="false">IF(Matrice_OD!C68&lt;=Param!$B$2,EXP(-(Matrice_OD!C68^2)/Param!$B$5),0)</f>
        <v>0.64890871210293</v>
      </c>
      <c r="D68" s="0" t="n">
        <f aca="false">IF(Matrice_OD!D68&lt;=Param!$B$2,EXP(-(Matrice_OD!D68^2)/Param!$B$5),0)</f>
        <v>0.423401117562189</v>
      </c>
      <c r="E68" s="0" t="n">
        <f aca="false">IF(Matrice_OD!E68&lt;=Param!$B$2,EXP(-(Matrice_OD!E68^2)/Param!$B$5),0)</f>
        <v>0.397728706939529</v>
      </c>
      <c r="F68" s="0" t="n">
        <f aca="false">IF(Matrice_OD!F68&lt;=Param!$B$2,EXP(-(Matrice_OD!F68^2)/Param!$B$5),0)</f>
        <v>0.402659798254909</v>
      </c>
      <c r="G68" s="0" t="n">
        <f aca="false">IF(Matrice_OD!G68&lt;=Param!$B$2,EXP(-(Matrice_OD!G68^2)/Param!$B$5),0)</f>
        <v>0.38615218254407</v>
      </c>
      <c r="H68" s="0" t="n">
        <f aca="false">IF(Matrice_OD!H68&lt;=Param!$B$2,EXP(-(Matrice_OD!H68^2)/Param!$B$5),0)</f>
        <v>0.439433948102906</v>
      </c>
      <c r="I68" s="0" t="n">
        <f aca="false">IF(Matrice_OD!I68&lt;=Param!$B$2,EXP(-(Matrice_OD!I68^2)/Param!$B$5),0)</f>
        <v>0.404676628850609</v>
      </c>
      <c r="J68" s="0" t="n">
        <f aca="false">IF(Matrice_OD!J68&lt;=Param!$B$2,EXP(-(Matrice_OD!J68^2)/Param!$B$5),0)</f>
        <v>0.395001204322957</v>
      </c>
      <c r="K68" s="0" t="n">
        <f aca="false">IF(Matrice_OD!K68&lt;=Param!$B$2,EXP(-(Matrice_OD!K68^2)/Param!$B$5),0)</f>
        <v>0.391558821168666</v>
      </c>
      <c r="L68" s="0" t="n">
        <f aca="false">IF(Matrice_OD!L68&lt;=Param!$B$2,EXP(-(Matrice_OD!L68^2)/Param!$B$5),0)</f>
        <v>0.405043810427878</v>
      </c>
      <c r="M68" s="0" t="n">
        <f aca="false">IF(Matrice_OD!M68&lt;=Param!$B$2,EXP(-(Matrice_OD!M68^2)/Param!$B$5),0)</f>
        <v>0.425462230282668</v>
      </c>
      <c r="N68" s="0" t="n">
        <f aca="false">IF(Matrice_OD!N68&lt;=Param!$B$2,EXP(-(Matrice_OD!N68^2)/Param!$B$5),0)</f>
        <v>0.403209394183335</v>
      </c>
      <c r="O68" s="0" t="n">
        <f aca="false">IF(Matrice_OD!O68&lt;=Param!$B$2,EXP(-(Matrice_OD!O68^2)/Param!$B$5),0)</f>
        <v>0.398093024575873</v>
      </c>
      <c r="P68" s="0" t="n">
        <f aca="false">IF(Matrice_OD!P68&lt;=Param!$B$2,EXP(-(Matrice_OD!P68^2)/Param!$B$5),0)</f>
        <v>0.396454798773535</v>
      </c>
      <c r="Q68" s="0" t="n">
        <f aca="false">IF(Matrice_OD!Q68&lt;=Param!$B$2,EXP(-(Matrice_OD!Q68^2)/Param!$B$5),0)</f>
        <v>0.39029411241475</v>
      </c>
      <c r="R68" s="0" t="n">
        <f aca="false">IF(Matrice_OD!R68&lt;=Param!$B$2,EXP(-(Matrice_OD!R68^2)/Param!$B$5),0)</f>
        <v>0.387950460401595</v>
      </c>
      <c r="S68" s="0" t="n">
        <f aca="false">IF(Matrice_OD!S68&lt;=Param!$B$2,EXP(-(Matrice_OD!S68^2)/Param!$B$5),0)</f>
        <v>0.382925289514963</v>
      </c>
      <c r="T68" s="0" t="n">
        <f aca="false">IF(Matrice_OD!T68&lt;=Param!$B$2,EXP(-(Matrice_OD!T68^2)/Param!$B$5),0)</f>
        <v>0.999039629646837</v>
      </c>
      <c r="U68" s="0" t="n">
        <f aca="false">IF(Matrice_OD!U68&lt;=Param!$B$2,EXP(-(Matrice_OD!U68^2)/Param!$B$5),0)</f>
        <v>0.370324731006887</v>
      </c>
      <c r="V68" s="0" t="n">
        <f aca="false">IF(Matrice_OD!V68&lt;=Param!$B$2,EXP(-(Matrice_OD!V68^2)/Param!$B$5),0)</f>
        <v>0.427903439902424</v>
      </c>
      <c r="W68" s="0" t="n">
        <f aca="false">IF(Matrice_OD!W68&lt;=Param!$B$2,EXP(-(Matrice_OD!W68^2)/Param!$B$5),0)</f>
        <v>0.388130505404403</v>
      </c>
      <c r="X68" s="0" t="n">
        <f aca="false">IF(Matrice_OD!X68&lt;=Param!$B$2,EXP(-(Matrice_OD!X68^2)/Param!$B$5),0)</f>
        <v>0.38615218254407</v>
      </c>
      <c r="Y68" s="0" t="n">
        <f aca="false">IF(Matrice_OD!Y68&lt;=Param!$B$2,EXP(-(Matrice_OD!Y68^2)/Param!$B$5),0)</f>
        <v>0.385972572470931</v>
      </c>
      <c r="Z68" s="0" t="n">
        <f aca="false">IF(Matrice_OD!Z68&lt;=Param!$B$2,EXP(-(Matrice_OD!Z68^2)/Param!$B$5),0)</f>
        <v>0.380781228662092</v>
      </c>
      <c r="AA68" s="0" t="n">
        <f aca="false">IF(Matrice_OD!AA68&lt;=Param!$B$2,EXP(-(Matrice_OD!AA68^2)/Param!$B$5),0)</f>
        <v>0.355170845093644</v>
      </c>
      <c r="AB68" s="0" t="n">
        <f aca="false">IF(Matrice_OD!AB68&lt;=Param!$B$2,EXP(-(Matrice_OD!AB68^2)/Param!$B$5),0)</f>
        <v>0.342876525689291</v>
      </c>
      <c r="AC68" s="0" t="n">
        <f aca="false">IF(Matrice_OD!AC68&lt;=Param!$B$2,EXP(-(Matrice_OD!AC68^2)/Param!$B$5),0)</f>
        <v>0</v>
      </c>
      <c r="AD68" s="0" t="n">
        <f aca="false">IF(Matrice_OD!AD68&lt;=Param!$B$2,EXP(-(Matrice_OD!AD68^2)/Param!$B$5),0)</f>
        <v>0</v>
      </c>
      <c r="AE68" s="0" t="n">
        <f aca="false">IF(Matrice_OD!AE68&lt;=Param!$B$2,EXP(-(Matrice_OD!AE68^2)/Param!$B$5),0)</f>
        <v>0</v>
      </c>
      <c r="AF68" s="0" t="n">
        <f aca="false">IF(Matrice_OD!AF68&lt;=Param!$B$2,EXP(-(Matrice_OD!AF68^2)/Param!$B$5),0)</f>
        <v>0</v>
      </c>
      <c r="AG68" s="0" t="n">
        <f aca="false">IF(Matrice_OD!AG68&lt;=Param!$B$2,EXP(-(Matrice_OD!AG68^2)/Param!$B$5),0)</f>
        <v>0</v>
      </c>
      <c r="AH68" s="0" t="n">
        <f aca="false">IF(Matrice_OD!AH68&lt;=Param!$B$2,EXP(-(Matrice_OD!AH68^2)/Param!$B$5),0)</f>
        <v>0.369093645220633</v>
      </c>
      <c r="AI68" s="0" t="n">
        <f aca="false">IF(Matrice_OD!AI68&lt;=Param!$B$2,EXP(-(Matrice_OD!AI68^2)/Param!$B$5),0)</f>
        <v>0.999140226363714</v>
      </c>
      <c r="AJ68" s="0" t="n">
        <f aca="false">IF(Matrice_OD!AJ68&lt;=Param!$B$2,EXP(-(Matrice_OD!AJ68^2)/Param!$B$5),0)</f>
        <v>0.371205324927576</v>
      </c>
      <c r="AK68" s="0" t="n">
        <f aca="false">IF(Matrice_OD!AK68&lt;=Param!$B$2,EXP(-(Matrice_OD!AK68^2)/Param!$B$5),0)</f>
        <v>0</v>
      </c>
      <c r="AL68" s="0" t="n">
        <f aca="false">IF(Matrice_OD!AL68&lt;=Param!$B$2,EXP(-(Matrice_OD!AL68^2)/Param!$B$5),0)</f>
        <v>0</v>
      </c>
      <c r="AM68" s="0" t="n">
        <f aca="false">IF(Matrice_OD!AM68&lt;=Param!$B$2,EXP(-(Matrice_OD!AM68^2)/Param!$B$5),0)</f>
        <v>0.630150731074791</v>
      </c>
      <c r="AN68" s="0" t="n">
        <f aca="false">IF(Matrice_OD!AN68&lt;=Param!$B$2,EXP(-(Matrice_OD!AN68^2)/Param!$B$5),0)</f>
        <v>0</v>
      </c>
    </row>
    <row r="69" customFormat="false" ht="15" hidden="false" customHeight="true" outlineLevel="0" collapsed="false">
      <c r="A69" s="0" t="s">
        <v>236</v>
      </c>
      <c r="B69" s="0" t="s">
        <v>237</v>
      </c>
      <c r="C69" s="0" t="n">
        <f aca="false">IF(Matrice_OD!C69&lt;=Param!$B$2,EXP(-(Matrice_OD!C69^2)/Param!$B$5),0)</f>
        <v>0.99601539086289</v>
      </c>
      <c r="D69" s="0" t="n">
        <f aca="false">IF(Matrice_OD!D69&lt;=Param!$B$2,EXP(-(Matrice_OD!D69^2)/Param!$B$5),0)</f>
        <v>0.539013667826961</v>
      </c>
      <c r="E69" s="0" t="n">
        <f aca="false">IF(Matrice_OD!E69&lt;=Param!$B$2,EXP(-(Matrice_OD!E69^2)/Param!$B$5),0)</f>
        <v>0.507691366109833</v>
      </c>
      <c r="F69" s="0" t="n">
        <f aca="false">IF(Matrice_OD!F69&lt;=Param!$B$2,EXP(-(Matrice_OD!F69^2)/Param!$B$5),0)</f>
        <v>0.505499914440727</v>
      </c>
      <c r="G69" s="0" t="n">
        <f aca="false">IF(Matrice_OD!G69&lt;=Param!$B$2,EXP(-(Matrice_OD!G69^2)/Param!$B$5),0)</f>
        <v>0.494977498818658</v>
      </c>
      <c r="H69" s="0" t="n">
        <f aca="false">IF(Matrice_OD!H69&lt;=Param!$B$2,EXP(-(Matrice_OD!H69^2)/Param!$B$5),0)</f>
        <v>0.482160912086585</v>
      </c>
      <c r="I69" s="0" t="n">
        <f aca="false">IF(Matrice_OD!I69&lt;=Param!$B$2,EXP(-(Matrice_OD!I69^2)/Param!$B$5),0)</f>
        <v>0.479610046299246</v>
      </c>
      <c r="J69" s="0" t="n">
        <f aca="false">IF(Matrice_OD!J69&lt;=Param!$B$2,EXP(-(Matrice_OD!J69^2)/Param!$B$5),0)</f>
        <v>0.473544815742376</v>
      </c>
      <c r="K69" s="0" t="n">
        <f aca="false">IF(Matrice_OD!K69&lt;=Param!$B$2,EXP(-(Matrice_OD!K69^2)/Param!$B$5),0)</f>
        <v>0.469840013160771</v>
      </c>
      <c r="L69" s="0" t="n">
        <f aca="false">IF(Matrice_OD!L69&lt;=Param!$B$2,EXP(-(Matrice_OD!L69^2)/Param!$B$5),0)</f>
        <v>0.468283029981391</v>
      </c>
      <c r="M69" s="0" t="n">
        <f aca="false">IF(Matrice_OD!M69&lt;=Param!$B$2,EXP(-(Matrice_OD!M69^2)/Param!$B$5),0)</f>
        <v>0.467699614933941</v>
      </c>
      <c r="N69" s="0" t="n">
        <f aca="false">IF(Matrice_OD!N69&lt;=Param!$B$2,EXP(-(Matrice_OD!N69^2)/Param!$B$5),0)</f>
        <v>0.462072895097209</v>
      </c>
      <c r="O69" s="0" t="n">
        <f aca="false">IF(Matrice_OD!O69&lt;=Param!$B$2,EXP(-(Matrice_OD!O69^2)/Param!$B$5),0)</f>
        <v>0.460911721741547</v>
      </c>
      <c r="P69" s="0" t="n">
        <f aca="false">IF(Matrice_OD!P69&lt;=Param!$B$2,EXP(-(Matrice_OD!P69^2)/Param!$B$5),0)</f>
        <v>0.45897873843336</v>
      </c>
      <c r="Q69" s="0" t="n">
        <f aca="false">IF(Matrice_OD!Q69&lt;=Param!$B$2,EXP(-(Matrice_OD!Q69^2)/Param!$B$5),0)</f>
        <v>0.452620708134523</v>
      </c>
      <c r="R69" s="0" t="n">
        <f aca="false">IF(Matrice_OD!R69&lt;=Param!$B$2,EXP(-(Matrice_OD!R69^2)/Param!$B$5),0)</f>
        <v>0.450124975883617</v>
      </c>
      <c r="S69" s="0" t="n">
        <f aca="false">IF(Matrice_OD!S69&lt;=Param!$B$2,EXP(-(Matrice_OD!S69^2)/Param!$B$5),0)</f>
        <v>0.444767163099876</v>
      </c>
      <c r="T69" s="0" t="n">
        <f aca="false">IF(Matrice_OD!T69&lt;=Param!$B$2,EXP(-(Matrice_OD!T69^2)/Param!$B$5),0)</f>
        <v>0.608687585868646</v>
      </c>
      <c r="U69" s="0" t="n">
        <f aca="false">IF(Matrice_OD!U69&lt;=Param!$B$2,EXP(-(Matrice_OD!U69^2)/Param!$B$5),0)</f>
        <v>0.0613830542370817</v>
      </c>
      <c r="V69" s="0" t="n">
        <f aca="false">IF(Matrice_OD!V69&lt;=Param!$B$2,EXP(-(Matrice_OD!V69^2)/Param!$B$5),0)</f>
        <v>0.0785672327223124</v>
      </c>
      <c r="W69" s="0" t="n">
        <f aca="false">IF(Matrice_OD!W69&lt;=Param!$B$2,EXP(-(Matrice_OD!W69^2)/Param!$B$5),0)</f>
        <v>0.0664875183907972</v>
      </c>
      <c r="X69" s="0" t="n">
        <f aca="false">IF(Matrice_OD!X69&lt;=Param!$B$2,EXP(-(Matrice_OD!X69^2)/Param!$B$5),0)</f>
        <v>0.0659153058560925</v>
      </c>
      <c r="Y69" s="0" t="n">
        <f aca="false">IF(Matrice_OD!Y69&lt;=Param!$B$2,EXP(-(Matrice_OD!Y69^2)/Param!$B$5),0)</f>
        <v>0.0658117002707702</v>
      </c>
      <c r="Z69" s="0" t="n">
        <f aca="false">IF(Matrice_OD!Z69&lt;=Param!$B$2,EXP(-(Matrice_OD!Z69^2)/Param!$B$5),0)</f>
        <v>0.0643243026155534</v>
      </c>
      <c r="AA69" s="0" t="n">
        <f aca="false">IF(Matrice_OD!AA69&lt;=Param!$B$2,EXP(-(Matrice_OD!AA69^2)/Param!$B$5),0)</f>
        <v>0.0572943768134397</v>
      </c>
      <c r="AB69" s="0" t="n">
        <f aca="false">IF(Matrice_OD!AB69&lt;=Param!$B$2,EXP(-(Matrice_OD!AB69^2)/Param!$B$5),0)</f>
        <v>0.0540025412761181</v>
      </c>
      <c r="AC69" s="0" t="n">
        <f aca="false">IF(Matrice_OD!AC69&lt;=Param!$B$2,EXP(-(Matrice_OD!AC69^2)/Param!$B$5),0)</f>
        <v>0</v>
      </c>
      <c r="AD69" s="0" t="n">
        <f aca="false">IF(Matrice_OD!AD69&lt;=Param!$B$2,EXP(-(Matrice_OD!AD69^2)/Param!$B$5),0)</f>
        <v>0</v>
      </c>
      <c r="AE69" s="0" t="n">
        <f aca="false">IF(Matrice_OD!AE69&lt;=Param!$B$2,EXP(-(Matrice_OD!AE69^2)/Param!$B$5),0)</f>
        <v>0</v>
      </c>
      <c r="AF69" s="0" t="n">
        <f aca="false">IF(Matrice_OD!AF69&lt;=Param!$B$2,EXP(-(Matrice_OD!AF69^2)/Param!$B$5),0)</f>
        <v>0</v>
      </c>
      <c r="AG69" s="0" t="n">
        <f aca="false">IF(Matrice_OD!AG69&lt;=Param!$B$2,EXP(-(Matrice_OD!AG69^2)/Param!$B$5),0)</f>
        <v>0.015485662069067</v>
      </c>
      <c r="AH69" s="0" t="n">
        <f aca="false">IF(Matrice_OD!AH69&lt;=Param!$B$2,EXP(-(Matrice_OD!AH69^2)/Param!$B$5),0)</f>
        <v>0.429973562364798</v>
      </c>
      <c r="AI69" s="0" t="n">
        <f aca="false">IF(Matrice_OD!AI69&lt;=Param!$B$2,EXP(-(Matrice_OD!AI69^2)/Param!$B$5),0)</f>
        <v>0.634437888573185</v>
      </c>
      <c r="AJ69" s="0" t="n">
        <f aca="false">IF(Matrice_OD!AJ69&lt;=Param!$B$2,EXP(-(Matrice_OD!AJ69^2)/Param!$B$5),0)</f>
        <v>0.0616279544760073</v>
      </c>
      <c r="AK69" s="0" t="n">
        <f aca="false">IF(Matrice_OD!AK69&lt;=Param!$B$2,EXP(-(Matrice_OD!AK69^2)/Param!$B$5),0)</f>
        <v>0</v>
      </c>
      <c r="AL69" s="0" t="n">
        <f aca="false">IF(Matrice_OD!AL69&lt;=Param!$B$2,EXP(-(Matrice_OD!AL69^2)/Param!$B$5),0)</f>
        <v>0</v>
      </c>
      <c r="AM69" s="0" t="n">
        <f aca="false">IF(Matrice_OD!AM69&lt;=Param!$B$2,EXP(-(Matrice_OD!AM69^2)/Param!$B$5),0)</f>
        <v>1</v>
      </c>
      <c r="AN69" s="0" t="n">
        <f aca="false">IF(Matrice_OD!AN69&lt;=Param!$B$2,EXP(-(Matrice_OD!AN69^2)/Param!$B$5),0)</f>
        <v>0</v>
      </c>
    </row>
    <row r="70" customFormat="false" ht="15" hidden="false" customHeight="true" outlineLevel="0" collapsed="false">
      <c r="A70" s="0" t="s">
        <v>238</v>
      </c>
      <c r="B70" s="0" t="s">
        <v>239</v>
      </c>
      <c r="C70" s="0" t="n">
        <f aca="false">IF(Matrice_OD!C70&lt;=Param!$B$2,EXP(-(Matrice_OD!C70^2)/Param!$B$5),0)</f>
        <v>0.856116980575844</v>
      </c>
      <c r="D70" s="0" t="n">
        <f aca="false">IF(Matrice_OD!D70&lt;=Param!$B$2,EXP(-(Matrice_OD!D70^2)/Param!$B$5),0)</f>
        <v>0.351218818645529</v>
      </c>
      <c r="E70" s="0" t="n">
        <f aca="false">IF(Matrice_OD!E70&lt;=Param!$B$2,EXP(-(Matrice_OD!E70^2)/Param!$B$5),0)</f>
        <v>0.325033406888835</v>
      </c>
      <c r="F70" s="0" t="n">
        <f aca="false">IF(Matrice_OD!F70&lt;=Param!$B$2,EXP(-(Matrice_OD!F70^2)/Param!$B$5),0)</f>
        <v>0.32322868936391</v>
      </c>
      <c r="G70" s="0" t="n">
        <f aca="false">IF(Matrice_OD!G70&lt;=Param!$B$2,EXP(-(Matrice_OD!G70^2)/Param!$B$5),0)</f>
        <v>0.314612018170851</v>
      </c>
      <c r="H70" s="0" t="n">
        <f aca="false">IF(Matrice_OD!H70&lt;=Param!$B$2,EXP(-(Matrice_OD!H70^2)/Param!$B$5),0)</f>
        <v>0.304382966742995</v>
      </c>
      <c r="I70" s="0" t="n">
        <f aca="false">IF(Matrice_OD!I70&lt;=Param!$B$2,EXP(-(Matrice_OD!I70^2)/Param!$B$5),0)</f>
        <v>0.302328979261987</v>
      </c>
      <c r="J70" s="0" t="n">
        <f aca="false">IF(Matrice_OD!J70&lt;=Param!$B$2,EXP(-(Matrice_OD!J70^2)/Param!$B$5),0)</f>
        <v>0.297463699796647</v>
      </c>
      <c r="K70" s="0" t="n">
        <f aca="false">IF(Matrice_OD!K70&lt;=Param!$B$2,EXP(-(Matrice_OD!K70^2)/Param!$B$5),0)</f>
        <v>0.294349370331003</v>
      </c>
      <c r="L70" s="0" t="n">
        <f aca="false">IF(Matrice_OD!L70&lt;=Param!$B$2,EXP(-(Matrice_OD!L70^2)/Param!$B$5),0)</f>
        <v>0.293263924438659</v>
      </c>
      <c r="M70" s="0" t="n">
        <f aca="false">IF(Matrice_OD!M70&lt;=Param!$B$2,EXP(-(Matrice_OD!M70^2)/Param!$B$5),0)</f>
        <v>0.292799460116137</v>
      </c>
      <c r="N70" s="0" t="n">
        <f aca="false">IF(Matrice_OD!N70&lt;=Param!$B$2,EXP(-(Matrice_OD!N70^2)/Param!$B$5),0)</f>
        <v>0.288178862950272</v>
      </c>
      <c r="O70" s="0" t="n">
        <f aca="false">IF(Matrice_OD!O70&lt;=Param!$B$2,EXP(-(Matrice_OD!O70^2)/Param!$B$5),0)</f>
        <v>0.287260002880343</v>
      </c>
      <c r="P70" s="0" t="n">
        <f aca="false">IF(Matrice_OD!P70&lt;=Param!$B$2,EXP(-(Matrice_OD!P70^2)/Param!$B$5),0)</f>
        <v>0.285885008956117</v>
      </c>
      <c r="Q70" s="0" t="n">
        <f aca="false">IF(Matrice_OD!Q70&lt;=Param!$B$2,EXP(-(Matrice_OD!Q70^2)/Param!$B$5),0)</f>
        <v>0.280726385910376</v>
      </c>
      <c r="R70" s="0" t="n">
        <f aca="false">IF(Matrice_OD!R70&lt;=Param!$B$2,EXP(-(Matrice_OD!R70^2)/Param!$B$5),0)</f>
        <v>0.278768978985798</v>
      </c>
      <c r="S70" s="0" t="n">
        <f aca="false">IF(Matrice_OD!S70&lt;=Param!$B$2,EXP(-(Matrice_OD!S70^2)/Param!$B$5),0)</f>
        <v>0.274581335086551</v>
      </c>
      <c r="T70" s="0" t="n">
        <f aca="false">IF(Matrice_OD!T70&lt;=Param!$B$2,EXP(-(Matrice_OD!T70^2)/Param!$B$5),0)</f>
        <v>0.32061364385162</v>
      </c>
      <c r="U70" s="0" t="n">
        <f aca="false">IF(Matrice_OD!U70&lt;=Param!$B$2,EXP(-(Matrice_OD!U70^2)/Param!$B$5),0)</f>
        <v>0.0160835532026791</v>
      </c>
      <c r="V70" s="0" t="n">
        <f aca="false">IF(Matrice_OD!V70&lt;=Param!$B$2,EXP(-(Matrice_OD!V70^2)/Param!$B$5),0)</f>
        <v>0.0217228752749283</v>
      </c>
      <c r="W70" s="0" t="n">
        <f aca="false">IF(Matrice_OD!W70&lt;=Param!$B$2,EXP(-(Matrice_OD!W70^2)/Param!$B$5),0)</f>
        <v>0.0177271900711295</v>
      </c>
      <c r="X70" s="0" t="n">
        <f aca="false">IF(Matrice_OD!X70&lt;=Param!$B$2,EXP(-(Matrice_OD!X70^2)/Param!$B$5),0)</f>
        <v>0.0175413090417919</v>
      </c>
      <c r="Y70" s="0" t="n">
        <f aca="false">IF(Matrice_OD!Y70&lt;=Param!$B$2,EXP(-(Matrice_OD!Y70^2)/Param!$B$5),0)</f>
        <v>0.0175076966183359</v>
      </c>
      <c r="Z70" s="0" t="n">
        <f aca="false">IF(Matrice_OD!Z70&lt;=Param!$B$2,EXP(-(Matrice_OD!Z70^2)/Param!$B$5),0)</f>
        <v>0.0170266219708809</v>
      </c>
      <c r="AA70" s="0" t="n">
        <f aca="false">IF(Matrice_OD!AA70&lt;=Param!$B$2,EXP(-(Matrice_OD!AA70^2)/Param!$B$5),0)</f>
        <v>0.0147911839528794</v>
      </c>
      <c r="AB70" s="0" t="n">
        <f aca="false">IF(Matrice_OD!AB70&lt;=Param!$B$2,EXP(-(Matrice_OD!AB70^2)/Param!$B$5),0)</f>
        <v>0.0137669090865471</v>
      </c>
      <c r="AC70" s="0" t="n">
        <f aca="false">IF(Matrice_OD!AC70&lt;=Param!$B$2,EXP(-(Matrice_OD!AC70^2)/Param!$B$5),0)</f>
        <v>0</v>
      </c>
      <c r="AD70" s="0" t="n">
        <f aca="false">IF(Matrice_OD!AD70&lt;=Param!$B$2,EXP(-(Matrice_OD!AD70^2)/Param!$B$5),0)</f>
        <v>0</v>
      </c>
      <c r="AE70" s="0" t="n">
        <f aca="false">IF(Matrice_OD!AE70&lt;=Param!$B$2,EXP(-(Matrice_OD!AE70^2)/Param!$B$5),0)</f>
        <v>0</v>
      </c>
      <c r="AF70" s="0" t="n">
        <f aca="false">IF(Matrice_OD!AF70&lt;=Param!$B$2,EXP(-(Matrice_OD!AF70^2)/Param!$B$5),0)</f>
        <v>0</v>
      </c>
      <c r="AG70" s="0" t="n">
        <f aca="false">IF(Matrice_OD!AG70&lt;=Param!$B$2,EXP(-(Matrice_OD!AG70^2)/Param!$B$5),0)</f>
        <v>0.0113889672914067</v>
      </c>
      <c r="AH70" s="0" t="n">
        <f aca="false">IF(Matrice_OD!AH70&lt;=Param!$B$2,EXP(-(Matrice_OD!AH70^2)/Param!$B$5),0)</f>
        <v>0.263120787625875</v>
      </c>
      <c r="AI70" s="0" t="n">
        <f aca="false">IF(Matrice_OD!AI70&lt;=Param!$B$2,EXP(-(Matrice_OD!AI70^2)/Param!$B$5),0)</f>
        <v>0.341693440705901</v>
      </c>
      <c r="AJ70" s="0" t="n">
        <f aca="false">IF(Matrice_OD!AJ70&lt;=Param!$B$2,EXP(-(Matrice_OD!AJ70^2)/Param!$B$5),0)</f>
        <v>0.0161616548302854</v>
      </c>
      <c r="AK70" s="0" t="n">
        <f aca="false">IF(Matrice_OD!AK70&lt;=Param!$B$2,EXP(-(Matrice_OD!AK70^2)/Param!$B$5),0)</f>
        <v>0</v>
      </c>
      <c r="AL70" s="0" t="n">
        <f aca="false">IF(Matrice_OD!AL70&lt;=Param!$B$2,EXP(-(Matrice_OD!AL70^2)/Param!$B$5),0)</f>
        <v>0</v>
      </c>
      <c r="AM70" s="0" t="n">
        <f aca="false">IF(Matrice_OD!AM70&lt;=Param!$B$2,EXP(-(Matrice_OD!AM70^2)/Param!$B$5),0)</f>
        <v>0.828347080044172</v>
      </c>
      <c r="AN70" s="0" t="n">
        <f aca="false">IF(Matrice_OD!AN70&lt;=Param!$B$2,EXP(-(Matrice_OD!AN70^2)/Param!$B$5),0)</f>
        <v>0</v>
      </c>
    </row>
    <row r="71" customFormat="false" ht="15" hidden="false" customHeight="true" outlineLevel="0" collapsed="false">
      <c r="A71" s="0" t="s">
        <v>240</v>
      </c>
      <c r="B71" s="0" t="s">
        <v>241</v>
      </c>
      <c r="C71" s="0" t="n">
        <f aca="false">IF(Matrice_OD!C71&lt;=Param!$B$2,EXP(-(Matrice_OD!C71^2)/Param!$B$5),0)</f>
        <v>0.847988380160433</v>
      </c>
      <c r="D71" s="0" t="n">
        <f aca="false">IF(Matrice_OD!D71&lt;=Param!$B$2,EXP(-(Matrice_OD!D71^2)/Param!$B$5),0)</f>
        <v>0.714627912656186</v>
      </c>
      <c r="E71" s="0" t="n">
        <f aca="false">IF(Matrice_OD!E71&lt;=Param!$B$2,EXP(-(Matrice_OD!E71^2)/Param!$B$5),0)</f>
        <v>0.68352024558503</v>
      </c>
      <c r="F71" s="0" t="n">
        <f aca="false">IF(Matrice_OD!F71&lt;=Param!$B$2,EXP(-(Matrice_OD!F71^2)/Param!$B$5),0)</f>
        <v>0.681307407952929</v>
      </c>
      <c r="G71" s="0" t="n">
        <f aca="false">IF(Matrice_OD!G71&lt;=Param!$B$2,EXP(-(Matrice_OD!G71^2)/Param!$B$5),0)</f>
        <v>0.670616213836083</v>
      </c>
      <c r="H71" s="0" t="n">
        <f aca="false">IF(Matrice_OD!H71&lt;=Param!$B$2,EXP(-(Matrice_OD!H71^2)/Param!$B$5),0)</f>
        <v>0.657446390981927</v>
      </c>
      <c r="I71" s="0" t="n">
        <f aca="false">IF(Matrice_OD!I71&lt;=Param!$B$2,EXP(-(Matrice_OD!I71^2)/Param!$B$5),0)</f>
        <v>0.654805875904013</v>
      </c>
      <c r="J71" s="0" t="n">
        <f aca="false">IF(Matrice_OD!J71&lt;=Param!$B$2,EXP(-(Matrice_OD!J71^2)/Param!$B$5),0)</f>
        <v>0.648501688379905</v>
      </c>
      <c r="K71" s="0" t="n">
        <f aca="false">IF(Matrice_OD!K71&lt;=Param!$B$2,EXP(-(Matrice_OD!K71^2)/Param!$B$5),0)</f>
        <v>0.644633050152459</v>
      </c>
      <c r="L71" s="0" t="n">
        <f aca="false">IF(Matrice_OD!L71&lt;=Param!$B$2,EXP(-(Matrice_OD!L71^2)/Param!$B$5),0)</f>
        <v>0.643003165726509</v>
      </c>
      <c r="M71" s="0" t="n">
        <f aca="false">IF(Matrice_OD!M71&lt;=Param!$B$2,EXP(-(Matrice_OD!M71^2)/Param!$B$5),0)</f>
        <v>0.642391816824387</v>
      </c>
      <c r="N71" s="0" t="n">
        <f aca="false">IF(Matrice_OD!N71&lt;=Param!$B$2,EXP(-(Matrice_OD!N71^2)/Param!$B$5),0)</f>
        <v>0.636478413644458</v>
      </c>
      <c r="O71" s="0" t="n">
        <f aca="false">IF(Matrice_OD!O71&lt;=Param!$B$2,EXP(-(Matrice_OD!O71^2)/Param!$B$5),0)</f>
        <v>0.635254179204131</v>
      </c>
      <c r="P71" s="0" t="n">
        <f aca="false">IF(Matrice_OD!P71&lt;=Param!$B$2,EXP(-(Matrice_OD!P71^2)/Param!$B$5),0)</f>
        <v>0.633213258884967</v>
      </c>
      <c r="Q71" s="0" t="n">
        <f aca="false">IF(Matrice_OD!Q71&lt;=Param!$B$2,EXP(-(Matrice_OD!Q71^2)/Param!$B$5),0)</f>
        <v>0.626474085900366</v>
      </c>
      <c r="R71" s="0" t="n">
        <f aca="false">IF(Matrice_OD!R71&lt;=Param!$B$2,EXP(-(Matrice_OD!R71^2)/Param!$B$5),0)</f>
        <v>0.623817786126815</v>
      </c>
      <c r="S71" s="0" t="n">
        <f aca="false">IF(Matrice_OD!S71&lt;=Param!$B$2,EXP(-(Matrice_OD!S71^2)/Param!$B$5),0)</f>
        <v>0.61809437333934</v>
      </c>
      <c r="T71" s="0" t="n">
        <f aca="false">IF(Matrice_OD!T71&lt;=Param!$B$2,EXP(-(Matrice_OD!T71^2)/Param!$B$5),0)</f>
        <v>0.323064901447884</v>
      </c>
      <c r="U71" s="0" t="n">
        <f aca="false">IF(Matrice_OD!U71&lt;=Param!$B$2,EXP(-(Matrice_OD!U71^2)/Param!$B$5),0)</f>
        <v>0.0356742084533841</v>
      </c>
      <c r="V71" s="0" t="n">
        <f aca="false">IF(Matrice_OD!V71&lt;=Param!$B$2,EXP(-(Matrice_OD!V71^2)/Param!$B$5),0)</f>
        <v>0.0220288087431701</v>
      </c>
      <c r="W71" s="0" t="n">
        <f aca="false">IF(Matrice_OD!W71&lt;=Param!$B$2,EXP(-(Matrice_OD!W71^2)/Param!$B$5),0)</f>
        <v>0.0179662599461625</v>
      </c>
      <c r="X71" s="0" t="n">
        <f aca="false">IF(Matrice_OD!X71&lt;=Param!$B$2,EXP(-(Matrice_OD!X71^2)/Param!$B$5),0)</f>
        <v>0.0177781834262406</v>
      </c>
      <c r="Y71" s="0" t="n">
        <f aca="false">IF(Matrice_OD!Y71&lt;=Param!$B$2,EXP(-(Matrice_OD!Y71^2)/Param!$B$5),0)</f>
        <v>0.0177441736014235</v>
      </c>
      <c r="Z71" s="0" t="n">
        <f aca="false">IF(Matrice_OD!Z71&lt;=Param!$B$2,EXP(-(Matrice_OD!Z71^2)/Param!$B$5),0)</f>
        <v>0.0172573977407318</v>
      </c>
      <c r="AA71" s="0" t="n">
        <f aca="false">IF(Matrice_OD!AA71&lt;=Param!$B$2,EXP(-(Matrice_OD!AA71^2)/Param!$B$5),0)</f>
        <v>0.0149951218784364</v>
      </c>
      <c r="AB71" s="0" t="n">
        <f aca="false">IF(Matrice_OD!AB71&lt;=Param!$B$2,EXP(-(Matrice_OD!AB71^2)/Param!$B$5),0)</f>
        <v>0.0139583465103087</v>
      </c>
      <c r="AC71" s="0" t="n">
        <f aca="false">IF(Matrice_OD!AC71&lt;=Param!$B$2,EXP(-(Matrice_OD!AC71^2)/Param!$B$5),0)</f>
        <v>0</v>
      </c>
      <c r="AD71" s="0" t="n">
        <f aca="false">IF(Matrice_OD!AD71&lt;=Param!$B$2,EXP(-(Matrice_OD!AD71^2)/Param!$B$5),0)</f>
        <v>0</v>
      </c>
      <c r="AE71" s="0" t="n">
        <f aca="false">IF(Matrice_OD!AE71&lt;=Param!$B$2,EXP(-(Matrice_OD!AE71^2)/Param!$B$5),0)</f>
        <v>0</v>
      </c>
      <c r="AF71" s="0" t="n">
        <f aca="false">IF(Matrice_OD!AF71&lt;=Param!$B$2,EXP(-(Matrice_OD!AF71^2)/Param!$B$5),0)</f>
        <v>0</v>
      </c>
      <c r="AG71" s="0" t="n">
        <f aca="false">IF(Matrice_OD!AG71&lt;=Param!$B$2,EXP(-(Matrice_OD!AG71^2)/Param!$B$5),0)</f>
        <v>0.0345104005481708</v>
      </c>
      <c r="AH71" s="0" t="n">
        <f aca="false">IF(Matrice_OD!AH71&lt;=Param!$B$2,EXP(-(Matrice_OD!AH71^2)/Param!$B$5),0)</f>
        <v>0.602142845936859</v>
      </c>
      <c r="AI71" s="0" t="n">
        <f aca="false">IF(Matrice_OD!AI71&lt;=Param!$B$2,EXP(-(Matrice_OD!AI71^2)/Param!$B$5),0)</f>
        <v>0.34406178999549</v>
      </c>
      <c r="AJ71" s="0" t="n">
        <f aca="false">IF(Matrice_OD!AJ71&lt;=Param!$B$2,EXP(-(Matrice_OD!AJ71^2)/Param!$B$5),0)</f>
        <v>0.016382115189321</v>
      </c>
      <c r="AK71" s="0" t="n">
        <f aca="false">IF(Matrice_OD!AK71&lt;=Param!$B$2,EXP(-(Matrice_OD!AK71^2)/Param!$B$5),0)</f>
        <v>0</v>
      </c>
      <c r="AL71" s="0" t="n">
        <f aca="false">IF(Matrice_OD!AL71&lt;=Param!$B$2,EXP(-(Matrice_OD!AL71^2)/Param!$B$5),0)</f>
        <v>0</v>
      </c>
      <c r="AM71" s="0" t="n">
        <f aca="false">IF(Matrice_OD!AM71&lt;=Param!$B$2,EXP(-(Matrice_OD!AM71^2)/Param!$B$5),0)</f>
        <v>0.819703501257801</v>
      </c>
      <c r="AN71" s="0" t="n">
        <f aca="false">IF(Matrice_OD!AN71&lt;=Param!$B$2,EXP(-(Matrice_OD!AN71^2)/Param!$B$5),0)</f>
        <v>0</v>
      </c>
    </row>
    <row r="72" customFormat="false" ht="15" hidden="false" customHeight="true" outlineLevel="0" collapsed="false">
      <c r="A72" s="0" t="s">
        <v>242</v>
      </c>
      <c r="B72" s="0" t="s">
        <v>243</v>
      </c>
      <c r="C72" s="0" t="n">
        <f aca="false">IF(Matrice_OD!C72&lt;=Param!$B$2,EXP(-(Matrice_OD!C72^2)/Param!$B$5),0)</f>
        <v>0.982887199237125</v>
      </c>
      <c r="D72" s="0" t="n">
        <f aca="false">IF(Matrice_OD!D72&lt;=Param!$B$2,EXP(-(Matrice_OD!D72^2)/Param!$B$5),0)</f>
        <v>0.55095978592761</v>
      </c>
      <c r="E72" s="0" t="n">
        <f aca="false">IF(Matrice_OD!E72&lt;=Param!$B$2,EXP(-(Matrice_OD!E72^2)/Param!$B$5),0)</f>
        <v>0.519486683983081</v>
      </c>
      <c r="F72" s="0" t="n">
        <f aca="false">IF(Matrice_OD!F72&lt;=Param!$B$2,EXP(-(Matrice_OD!F72^2)/Param!$B$5),0)</f>
        <v>0.517282489973541</v>
      </c>
      <c r="G72" s="0" t="n">
        <f aca="false">IF(Matrice_OD!G72&lt;=Param!$B$2,EXP(-(Matrice_OD!G72^2)/Param!$B$5),0)</f>
        <v>0.506694940673554</v>
      </c>
      <c r="H72" s="0" t="n">
        <f aca="false">IF(Matrice_OD!H72&lt;=Param!$B$2,EXP(-(Matrice_OD!H72^2)/Param!$B$5),0)</f>
        <v>0.493988051540635</v>
      </c>
      <c r="I72" s="0" t="n">
        <f aca="false">IF(Matrice_OD!I72&lt;=Param!$B$2,EXP(-(Matrice_OD!I72^2)/Param!$B$5),0)</f>
        <v>0.491418197443745</v>
      </c>
      <c r="J72" s="0" t="n">
        <f aca="false">IF(Matrice_OD!J72&lt;=Param!$B$2,EXP(-(Matrice_OD!J72^2)/Param!$B$5),0)</f>
        <v>0.485306268814192</v>
      </c>
      <c r="K72" s="0" t="n">
        <f aca="false">IF(Matrice_OD!K72&lt;=Param!$B$2,EXP(-(Matrice_OD!K72^2)/Param!$B$5),0)</f>
        <v>0.481375573880152</v>
      </c>
      <c r="L72" s="0" t="n">
        <f aca="false">IF(Matrice_OD!L72&lt;=Param!$B$2,EXP(-(Matrice_OD!L72^2)/Param!$B$5),0)</f>
        <v>0.480002207383596</v>
      </c>
      <c r="M72" s="0" t="n">
        <f aca="false">IF(Matrice_OD!M72&lt;=Param!$B$2,EXP(-(Matrice_OD!M72^2)/Param!$B$5),0)</f>
        <v>0.479414004151818</v>
      </c>
      <c r="N72" s="0" t="n">
        <f aca="false">IF(Matrice_OD!N72&lt;=Param!$B$2,EXP(-(Matrice_OD!N72^2)/Param!$B$5),0)</f>
        <v>0.473544815742376</v>
      </c>
      <c r="O72" s="0" t="n">
        <f aca="false">IF(Matrice_OD!O72&lt;=Param!$B$2,EXP(-(Matrice_OD!O72^2)/Param!$B$5),0)</f>
        <v>0.472373827734564</v>
      </c>
      <c r="P72" s="0" t="n">
        <f aca="false">IF(Matrice_OD!P72&lt;=Param!$B$2,EXP(-(Matrice_OD!P72^2)/Param!$B$5),0)</f>
        <v>0.470619160650645</v>
      </c>
      <c r="Q72" s="0" t="n">
        <f aca="false">IF(Matrice_OD!Q72&lt;=Param!$B$2,EXP(-(Matrice_OD!Q72^2)/Param!$B$5),0)</f>
        <v>0.464010467465946</v>
      </c>
      <c r="R72" s="0" t="n">
        <f aca="false">IF(Matrice_OD!R72&lt;=Param!$B$2,EXP(-(Matrice_OD!R72^2)/Param!$B$5),0)</f>
        <v>0.46149217935058</v>
      </c>
      <c r="S72" s="0" t="n">
        <f aca="false">IF(Matrice_OD!S72&lt;=Param!$B$2,EXP(-(Matrice_OD!S72^2)/Param!$B$5),0)</f>
        <v>0.456084728770052</v>
      </c>
      <c r="T72" s="0" t="n">
        <f aca="false">IF(Matrice_OD!T72&lt;=Param!$B$2,EXP(-(Matrice_OD!T72^2)/Param!$B$5),0)</f>
        <v>0.537195597034494</v>
      </c>
      <c r="U72" s="0" t="n">
        <f aca="false">IF(Matrice_OD!U72&lt;=Param!$B$2,EXP(-(Matrice_OD!U72^2)/Param!$B$5),0)</f>
        <v>0.0460860153868786</v>
      </c>
      <c r="V72" s="0" t="n">
        <f aca="false">IF(Matrice_OD!V72&lt;=Param!$B$2,EXP(-(Matrice_OD!V72^2)/Param!$B$5),0)</f>
        <v>0.0597388406657303</v>
      </c>
      <c r="W72" s="0" t="n">
        <f aca="false">IF(Matrice_OD!W72&lt;=Param!$B$2,EXP(-(Matrice_OD!W72^2)/Param!$B$5),0)</f>
        <v>0.0501200455238243</v>
      </c>
      <c r="X72" s="0" t="n">
        <f aca="false">IF(Matrice_OD!X72&lt;=Param!$B$2,EXP(-(Matrice_OD!X72^2)/Param!$B$5),0)</f>
        <v>0.0496668867653304</v>
      </c>
      <c r="Y72" s="0" t="n">
        <f aca="false">IF(Matrice_OD!Y72&lt;=Param!$B$2,EXP(-(Matrice_OD!Y72^2)/Param!$B$5),0)</f>
        <v>0.0495848622544032</v>
      </c>
      <c r="Z72" s="0" t="n">
        <f aca="false">IF(Matrice_OD!Z72&lt;=Param!$B$2,EXP(-(Matrice_OD!Z72^2)/Param!$B$5),0)</f>
        <v>0.0484081426544483</v>
      </c>
      <c r="AA72" s="0" t="n">
        <f aca="false">IF(Matrice_OD!AA72&lt;=Param!$B$2,EXP(-(Matrice_OD!AA72^2)/Param!$B$5),0)</f>
        <v>0.0428688664567182</v>
      </c>
      <c r="AB72" s="0" t="n">
        <f aca="false">IF(Matrice_OD!AB72&lt;=Param!$B$2,EXP(-(Matrice_OD!AB72^2)/Param!$B$5),0)</f>
        <v>0.0402882927509315</v>
      </c>
      <c r="AC72" s="0" t="n">
        <f aca="false">IF(Matrice_OD!AC72&lt;=Param!$B$2,EXP(-(Matrice_OD!AC72^2)/Param!$B$5),0)</f>
        <v>0</v>
      </c>
      <c r="AD72" s="0" t="n">
        <f aca="false">IF(Matrice_OD!AD72&lt;=Param!$B$2,EXP(-(Matrice_OD!AD72^2)/Param!$B$5),0)</f>
        <v>0</v>
      </c>
      <c r="AE72" s="0" t="n">
        <f aca="false">IF(Matrice_OD!AE72&lt;=Param!$B$2,EXP(-(Matrice_OD!AE72^2)/Param!$B$5),0)</f>
        <v>0</v>
      </c>
      <c r="AF72" s="0" t="n">
        <f aca="false">IF(Matrice_OD!AF72&lt;=Param!$B$2,EXP(-(Matrice_OD!AF72^2)/Param!$B$5),0)</f>
        <v>0</v>
      </c>
      <c r="AG72" s="0" t="n">
        <f aca="false">IF(Matrice_OD!AG72&lt;=Param!$B$2,EXP(-(Matrice_OD!AG72^2)/Param!$B$5),0)</f>
        <v>0.0164138242064137</v>
      </c>
      <c r="AH72" s="0" t="n">
        <f aca="false">IF(Matrice_OD!AH72&lt;=Param!$B$2,EXP(-(Matrice_OD!AH72^2)/Param!$B$5),0)</f>
        <v>0.441145473274815</v>
      </c>
      <c r="AI72" s="0" t="n">
        <f aca="false">IF(Matrice_OD!AI72&lt;=Param!$B$2,EXP(-(Matrice_OD!AI72^2)/Param!$B$5),0)</f>
        <v>0.562744308236562</v>
      </c>
      <c r="AJ72" s="0" t="n">
        <f aca="false">IF(Matrice_OD!AJ72&lt;=Param!$B$2,EXP(-(Matrice_OD!AJ72^2)/Param!$B$5),0)</f>
        <v>0.0462791193813964</v>
      </c>
      <c r="AK72" s="0" t="n">
        <f aca="false">IF(Matrice_OD!AK72&lt;=Param!$B$2,EXP(-(Matrice_OD!AK72^2)/Param!$B$5),0)</f>
        <v>0</v>
      </c>
      <c r="AL72" s="0" t="n">
        <f aca="false">IF(Matrice_OD!AL72&lt;=Param!$B$2,EXP(-(Matrice_OD!AL72^2)/Param!$B$5),0)</f>
        <v>0</v>
      </c>
      <c r="AM72" s="0" t="n">
        <f aca="false">IF(Matrice_OD!AM72&lt;=Param!$B$2,EXP(-(Matrice_OD!AM72^2)/Param!$B$5),0)</f>
        <v>0.971746726749347</v>
      </c>
      <c r="AN72" s="0" t="n">
        <f aca="false">IF(Matrice_OD!AN72&lt;=Param!$B$2,EXP(-(Matrice_OD!AN72^2)/Param!$B$5),0)</f>
        <v>0</v>
      </c>
    </row>
    <row r="73" customFormat="false" ht="15" hidden="false" customHeight="true" outlineLevel="0" collapsed="false">
      <c r="A73" s="0" t="s">
        <v>244</v>
      </c>
      <c r="B73" s="0" t="s">
        <v>245</v>
      </c>
      <c r="C73" s="0" t="n">
        <f aca="false">IF(Matrice_OD!C73&lt;=Param!$B$2,EXP(-(Matrice_OD!C73^2)/Param!$B$5),0)</f>
        <v>0.916293420083656</v>
      </c>
      <c r="D73" s="0" t="n">
        <f aca="false">IF(Matrice_OD!D73&lt;=Param!$B$2,EXP(-(Matrice_OD!D73^2)/Param!$B$5),0)</f>
        <v>0.601324793915777</v>
      </c>
      <c r="E73" s="0" t="n">
        <f aca="false">IF(Matrice_OD!E73&lt;=Param!$B$2,EXP(-(Matrice_OD!E73^2)/Param!$B$5),0)</f>
        <v>0.572929565994967</v>
      </c>
      <c r="F73" s="0" t="n">
        <f aca="false">IF(Matrice_OD!F73&lt;=Param!$B$2,EXP(-(Matrice_OD!F73^2)/Param!$B$5),0)</f>
        <v>0.578437669775168</v>
      </c>
      <c r="G73" s="0" t="n">
        <f aca="false">IF(Matrice_OD!G73&lt;=Param!$B$2,EXP(-(Matrice_OD!G73^2)/Param!$B$5),0)</f>
        <v>0.559896500548202</v>
      </c>
      <c r="H73" s="0" t="n">
        <f aca="false">IF(Matrice_OD!H73&lt;=Param!$B$2,EXP(-(Matrice_OD!H73^2)/Param!$B$5),0)</f>
        <v>0.618912155471043</v>
      </c>
      <c r="I73" s="0" t="n">
        <f aca="false">IF(Matrice_OD!I73&lt;=Param!$B$2,EXP(-(Matrice_OD!I73^2)/Param!$B$5),0)</f>
        <v>0.58068306501269</v>
      </c>
      <c r="J73" s="0" t="n">
        <f aca="false">IF(Matrice_OD!J73&lt;=Param!$B$2,EXP(-(Matrice_OD!J73^2)/Param!$B$5),0)</f>
        <v>0.569871792087451</v>
      </c>
      <c r="K73" s="0" t="n">
        <f aca="false">IF(Matrice_OD!K73&lt;=Param!$B$2,EXP(-(Matrice_OD!K73^2)/Param!$B$5),0)</f>
        <v>0.56600124009246</v>
      </c>
      <c r="L73" s="0" t="n">
        <f aca="false">IF(Matrice_OD!L73&lt;=Param!$B$2,EXP(-(Matrice_OD!L73^2)/Param!$B$5),0)</f>
        <v>0.581295568788575</v>
      </c>
      <c r="M73" s="0" t="n">
        <f aca="false">IF(Matrice_OD!M73&lt;=Param!$B$2,EXP(-(Matrice_OD!M73^2)/Param!$B$5),0)</f>
        <v>0.603574473472464</v>
      </c>
      <c r="N73" s="0" t="n">
        <f aca="false">IF(Matrice_OD!N73&lt;=Param!$B$2,EXP(-(Matrice_OD!N73^2)/Param!$B$5),0)</f>
        <v>0.579049977911361</v>
      </c>
      <c r="O73" s="0" t="n">
        <f aca="false">IF(Matrice_OD!O73&lt;=Param!$B$2,EXP(-(Matrice_OD!O73^2)/Param!$B$5),0)</f>
        <v>0.573337398636431</v>
      </c>
      <c r="P73" s="0" t="n">
        <f aca="false">IF(Matrice_OD!P73&lt;=Param!$B$2,EXP(-(Matrice_OD!P73^2)/Param!$B$5),0)</f>
        <v>0.571502387954473</v>
      </c>
      <c r="Q73" s="0" t="n">
        <f aca="false">IF(Matrice_OD!Q73&lt;=Param!$B$2,EXP(-(Matrice_OD!Q73^2)/Param!$B$5),0)</f>
        <v>0.564576041603188</v>
      </c>
      <c r="R73" s="0" t="n">
        <f aca="false">IF(Matrice_OD!R73&lt;=Param!$B$2,EXP(-(Matrice_OD!R73^2)/Param!$B$5),0)</f>
        <v>0.56193045198243</v>
      </c>
      <c r="S73" s="0" t="n">
        <f aca="false">IF(Matrice_OD!S73&lt;=Param!$B$2,EXP(-(Matrice_OD!S73^2)/Param!$B$5),0)</f>
        <v>0.556237983525103</v>
      </c>
      <c r="T73" s="0" t="n">
        <f aca="false">IF(Matrice_OD!T73&lt;=Param!$B$2,EXP(-(Matrice_OD!T73^2)/Param!$B$5),0)</f>
        <v>0.663126592864325</v>
      </c>
      <c r="U73" s="0" t="n">
        <f aca="false">IF(Matrice_OD!U73&lt;=Param!$B$2,EXP(-(Matrice_OD!U73^2)/Param!$B$5),0)</f>
        <v>0.0756826698878723</v>
      </c>
      <c r="V73" s="0" t="n">
        <f aca="false">IF(Matrice_OD!V73&lt;=Param!$B$2,EXP(-(Matrice_OD!V73^2)/Param!$B$5),0)</f>
        <v>0.0958687220715196</v>
      </c>
      <c r="W73" s="0" t="n">
        <f aca="false">IF(Matrice_OD!W73&lt;=Param!$B$2,EXP(-(Matrice_OD!W73^2)/Param!$B$5),0)</f>
        <v>0.0817243326198871</v>
      </c>
      <c r="X73" s="0" t="n">
        <f aca="false">IF(Matrice_OD!X73&lt;=Param!$B$2,EXP(-(Matrice_OD!X73^2)/Param!$B$5),0)</f>
        <v>0.0809869027365233</v>
      </c>
      <c r="Y73" s="0" t="n">
        <f aca="false">IF(Matrice_OD!Y73&lt;=Param!$B$2,EXP(-(Matrice_OD!Y73^2)/Param!$B$5),0)</f>
        <v>0.0809256916248691</v>
      </c>
      <c r="Z73" s="0" t="n">
        <f aca="false">IF(Matrice_OD!Z73&lt;=Param!$B$2,EXP(-(Matrice_OD!Z73^2)/Param!$B$5),0)</f>
        <v>0.0791666371888164</v>
      </c>
      <c r="AA73" s="0" t="n">
        <f aca="false">IF(Matrice_OD!AA73&lt;=Param!$B$2,EXP(-(Matrice_OD!AA73^2)/Param!$B$5),0)</f>
        <v>0.0707719417053463</v>
      </c>
      <c r="AB73" s="0" t="n">
        <f aca="false">IF(Matrice_OD!AB73&lt;=Param!$B$2,EXP(-(Matrice_OD!AB73^2)/Param!$B$5),0)</f>
        <v>0.0669062123283572</v>
      </c>
      <c r="AC73" s="0" t="n">
        <f aca="false">IF(Matrice_OD!AC73&lt;=Param!$B$2,EXP(-(Matrice_OD!AC73^2)/Param!$B$5),0)</f>
        <v>0</v>
      </c>
      <c r="AD73" s="0" t="n">
        <f aca="false">IF(Matrice_OD!AD73&lt;=Param!$B$2,EXP(-(Matrice_OD!AD73^2)/Param!$B$5),0)</f>
        <v>0</v>
      </c>
      <c r="AE73" s="0" t="n">
        <f aca="false">IF(Matrice_OD!AE73&lt;=Param!$B$2,EXP(-(Matrice_OD!AE73^2)/Param!$B$5),0)</f>
        <v>0</v>
      </c>
      <c r="AF73" s="0" t="n">
        <f aca="false">IF(Matrice_OD!AF73&lt;=Param!$B$2,EXP(-(Matrice_OD!AF73^2)/Param!$B$5),0)</f>
        <v>0</v>
      </c>
      <c r="AG73" s="0" t="n">
        <f aca="false">IF(Matrice_OD!AG73&lt;=Param!$B$2,EXP(-(Matrice_OD!AG73^2)/Param!$B$5),0)</f>
        <v>0.0110824814321726</v>
      </c>
      <c r="AH73" s="0" t="n">
        <f aca="false">IF(Matrice_OD!AH73&lt;=Param!$B$2,EXP(-(Matrice_OD!AH73^2)/Param!$B$5),0)</f>
        <v>0.54042853450332</v>
      </c>
      <c r="AI73" s="0" t="n">
        <f aca="false">IF(Matrice_OD!AI73&lt;=Param!$B$2,EXP(-(Matrice_OD!AI73^2)/Param!$B$5),0)</f>
        <v>0.688540955336755</v>
      </c>
      <c r="AJ73" s="0" t="n">
        <f aca="false">IF(Matrice_OD!AJ73&lt;=Param!$B$2,EXP(-(Matrice_OD!AJ73^2)/Param!$B$5),0)</f>
        <v>0.0759730445777442</v>
      </c>
      <c r="AK73" s="0" t="n">
        <f aca="false">IF(Matrice_OD!AK73&lt;=Param!$B$2,EXP(-(Matrice_OD!AK73^2)/Param!$B$5),0)</f>
        <v>0</v>
      </c>
      <c r="AL73" s="0" t="n">
        <f aca="false">IF(Matrice_OD!AL73&lt;=Param!$B$2,EXP(-(Matrice_OD!AL73^2)/Param!$B$5),0)</f>
        <v>0</v>
      </c>
      <c r="AM73" s="0" t="n">
        <f aca="false">IF(Matrice_OD!AM73&lt;=Param!$B$2,EXP(-(Matrice_OD!AM73^2)/Param!$B$5),0)</f>
        <v>0.904322750599682</v>
      </c>
      <c r="AN73" s="0" t="n">
        <f aca="false">IF(Matrice_OD!AN73&lt;=Param!$B$2,EXP(-(Matrice_OD!AN73^2)/Param!$B$5),0)</f>
        <v>0</v>
      </c>
    </row>
    <row r="74" customFormat="false" ht="15" hidden="false" customHeight="true" outlineLevel="0" collapsed="false">
      <c r="A74" s="0" t="s">
        <v>246</v>
      </c>
      <c r="B74" s="0" t="s">
        <v>247</v>
      </c>
      <c r="C74" s="0" t="n">
        <f aca="false">IF(Matrice_OD!C74&lt;=Param!$B$2,EXP(-(Matrice_OD!C74^2)/Param!$B$5),0)</f>
        <v>0.744508277894078</v>
      </c>
      <c r="D74" s="0" t="n">
        <f aca="false">IF(Matrice_OD!D74&lt;=Param!$B$2,EXP(-(Matrice_OD!D74^2)/Param!$B$5),0)</f>
        <v>0.225022054940139</v>
      </c>
      <c r="E74" s="0" t="n">
        <f aca="false">IF(Matrice_OD!E74&lt;=Param!$B$2,EXP(-(Matrice_OD!E74^2)/Param!$B$5),0)</f>
        <v>0.207171388978309</v>
      </c>
      <c r="F74" s="0" t="n">
        <f aca="false">IF(Matrice_OD!F74&lt;=Param!$B$2,EXP(-(Matrice_OD!F74^2)/Param!$B$5),0)</f>
        <v>0.210536683689921</v>
      </c>
      <c r="G74" s="0" t="n">
        <f aca="false">IF(Matrice_OD!G74&lt;=Param!$B$2,EXP(-(Matrice_OD!G74^2)/Param!$B$5),0)</f>
        <v>0.199341684312381</v>
      </c>
      <c r="H74" s="0" t="n">
        <f aca="false">IF(Matrice_OD!H74&lt;=Param!$B$2,EXP(-(Matrice_OD!H74^2)/Param!$B$5),0)</f>
        <v>0.236345013839882</v>
      </c>
      <c r="I74" s="0" t="n">
        <f aca="false">IF(Matrice_OD!I74&lt;=Param!$B$2,EXP(-(Matrice_OD!I74^2)/Param!$B$5),0)</f>
        <v>0.211918315818059</v>
      </c>
      <c r="J74" s="0" t="n">
        <f aca="false">IF(Matrice_OD!J74&lt;=Param!$B$2,EXP(-(Matrice_OD!J74^2)/Param!$B$5),0)</f>
        <v>0.205317725463451</v>
      </c>
      <c r="K74" s="0" t="n">
        <f aca="false">IF(Matrice_OD!K74&lt;=Param!$B$2,EXP(-(Matrice_OD!K74^2)/Param!$B$5),0)</f>
        <v>0.202986086966887</v>
      </c>
      <c r="L74" s="0" t="n">
        <f aca="false">IF(Matrice_OD!L74&lt;=Param!$B$2,EXP(-(Matrice_OD!L74^2)/Param!$B$5),0)</f>
        <v>0.212296188736329</v>
      </c>
      <c r="M74" s="0" t="n">
        <f aca="false">IF(Matrice_OD!M74&lt;=Param!$B$2,EXP(-(Matrice_OD!M74^2)/Param!$B$5),0)</f>
        <v>0.22646673546729</v>
      </c>
      <c r="N74" s="0" t="n">
        <f aca="false">IF(Matrice_OD!N74&lt;=Param!$B$2,EXP(-(Matrice_OD!N74^2)/Param!$B$5),0)</f>
        <v>0.21091288443079</v>
      </c>
      <c r="O74" s="0" t="n">
        <f aca="false">IF(Matrice_OD!O74&lt;=Param!$B$2,EXP(-(Matrice_OD!O74^2)/Param!$B$5),0)</f>
        <v>0.207419404330615</v>
      </c>
      <c r="P74" s="0" t="n">
        <f aca="false">IF(Matrice_OD!P74&lt;=Param!$B$2,EXP(-(Matrice_OD!P74^2)/Param!$B$5),0)</f>
        <v>0.206304929359154</v>
      </c>
      <c r="Q74" s="0" t="n">
        <f aca="false">IF(Matrice_OD!Q74&lt;=Param!$B$2,EXP(-(Matrice_OD!Q74^2)/Param!$B$5),0)</f>
        <v>0.202131661413689</v>
      </c>
      <c r="R74" s="0" t="n">
        <f aca="false">IF(Matrice_OD!R74&lt;=Param!$B$2,EXP(-(Matrice_OD!R74^2)/Param!$B$5),0)</f>
        <v>0.200551436825902</v>
      </c>
      <c r="S74" s="0" t="n">
        <f aca="false">IF(Matrice_OD!S74&lt;=Param!$B$2,EXP(-(Matrice_OD!S74^2)/Param!$B$5),0)</f>
        <v>0.197176839546449</v>
      </c>
      <c r="T74" s="0" t="n">
        <f aca="false">IF(Matrice_OD!T74&lt;=Param!$B$2,EXP(-(Matrice_OD!T74^2)/Param!$B$5),0)</f>
        <v>0.645855089713078</v>
      </c>
      <c r="U74" s="0" t="n">
        <f aca="false">IF(Matrice_OD!U74&lt;=Param!$B$2,EXP(-(Matrice_OD!U74^2)/Param!$B$5),0)</f>
        <v>0.0708818569212508</v>
      </c>
      <c r="V74" s="0" t="n">
        <f aca="false">IF(Matrice_OD!V74&lt;=Param!$B$2,EXP(-(Matrice_OD!V74^2)/Param!$B$5),0)</f>
        <v>0.0900620856297877</v>
      </c>
      <c r="W74" s="0" t="n">
        <f aca="false">IF(Matrice_OD!W74&lt;=Param!$B$2,EXP(-(Matrice_OD!W74^2)/Param!$B$5),0)</f>
        <v>0.0766150298826055</v>
      </c>
      <c r="X74" s="0" t="n">
        <f aca="false">IF(Matrice_OD!X74&lt;=Param!$B$2,EXP(-(Matrice_OD!X74^2)/Param!$B$5),0)</f>
        <v>0.0759148979131477</v>
      </c>
      <c r="Y74" s="0" t="n">
        <f aca="false">IF(Matrice_OD!Y74&lt;=Param!$B$2,EXP(-(Matrice_OD!Y74^2)/Param!$B$5),0)</f>
        <v>0.0758567871261161</v>
      </c>
      <c r="Z74" s="0" t="n">
        <f aca="false">IF(Matrice_OD!Z74&lt;=Param!$B$2,EXP(-(Matrice_OD!Z74^2)/Param!$B$5),0)</f>
        <v>0.0741871169352081</v>
      </c>
      <c r="AA74" s="0" t="n">
        <f aca="false">IF(Matrice_OD!AA74&lt;=Param!$B$2,EXP(-(Matrice_OD!AA74^2)/Param!$B$5),0)</f>
        <v>0.0662269215275825</v>
      </c>
      <c r="AB74" s="0" t="n">
        <f aca="false">IF(Matrice_OD!AB74&lt;=Param!$B$2,EXP(-(Matrice_OD!AB74^2)/Param!$B$5),0)</f>
        <v>0.0625658975239068</v>
      </c>
      <c r="AC74" s="0" t="n">
        <f aca="false">IF(Matrice_OD!AC74&lt;=Param!$B$2,EXP(-(Matrice_OD!AC74^2)/Param!$B$5),0)</f>
        <v>0</v>
      </c>
      <c r="AD74" s="0" t="n">
        <f aca="false">IF(Matrice_OD!AD74&lt;=Param!$B$2,EXP(-(Matrice_OD!AD74^2)/Param!$B$5),0)</f>
        <v>0</v>
      </c>
      <c r="AE74" s="0" t="n">
        <f aca="false">IF(Matrice_OD!AE74&lt;=Param!$B$2,EXP(-(Matrice_OD!AE74^2)/Param!$B$5),0)</f>
        <v>0</v>
      </c>
      <c r="AF74" s="0" t="n">
        <f aca="false">IF(Matrice_OD!AF74&lt;=Param!$B$2,EXP(-(Matrice_OD!AF74^2)/Param!$B$5),0)</f>
        <v>0</v>
      </c>
      <c r="AG74" s="0" t="n">
        <f aca="false">IF(Matrice_OD!AG74&lt;=Param!$B$2,EXP(-(Matrice_OD!AG74^2)/Param!$B$5),0)</f>
        <v>0</v>
      </c>
      <c r="AH74" s="0" t="n">
        <f aca="false">IF(Matrice_OD!AH74&lt;=Param!$B$2,EXP(-(Matrice_OD!AH74^2)/Param!$B$5),0)</f>
        <v>0.187984214804884</v>
      </c>
      <c r="AI74" s="0" t="n">
        <f aca="false">IF(Matrice_OD!AI74&lt;=Param!$B$2,EXP(-(Matrice_OD!AI74^2)/Param!$B$5),0)</f>
        <v>0.671424692039947</v>
      </c>
      <c r="AJ74" s="0" t="n">
        <f aca="false">IF(Matrice_OD!AJ74&lt;=Param!$B$2,EXP(-(Matrice_OD!AJ74^2)/Param!$B$5),0)</f>
        <v>0.0711572507945774</v>
      </c>
      <c r="AK74" s="0" t="n">
        <f aca="false">IF(Matrice_OD!AK74&lt;=Param!$B$2,EXP(-(Matrice_OD!AK74^2)/Param!$B$5),0)</f>
        <v>0</v>
      </c>
      <c r="AL74" s="0" t="n">
        <f aca="false">IF(Matrice_OD!AL74&lt;=Param!$B$2,EXP(-(Matrice_OD!AL74^2)/Param!$B$5),0)</f>
        <v>0</v>
      </c>
      <c r="AM74" s="0" t="n">
        <f aca="false">IF(Matrice_OD!AM74&lt;=Param!$B$2,EXP(-(Matrice_OD!AM74^2)/Param!$B$5),0)</f>
        <v>0.726626296911365</v>
      </c>
      <c r="AN74" s="0" t="n">
        <f aca="false">IF(Matrice_OD!AN74&lt;=Param!$B$2,EXP(-(Matrice_OD!AN74^2)/Param!$B$5),0)</f>
        <v>0</v>
      </c>
    </row>
    <row r="75" customFormat="false" ht="15" hidden="false" customHeight="true" outlineLevel="0" collapsed="false">
      <c r="A75" s="0" t="s">
        <v>248</v>
      </c>
      <c r="B75" s="0" t="s">
        <v>249</v>
      </c>
      <c r="C75" s="0" t="n">
        <f aca="false">IF(Matrice_OD!C75&lt;=Param!$B$2,EXP(-(Matrice_OD!C75^2)/Param!$B$5),0)</f>
        <v>0.44457626366932</v>
      </c>
      <c r="D75" s="0" t="n">
        <f aca="false">IF(Matrice_OD!D75&lt;=Param!$B$2,EXP(-(Matrice_OD!D75^2)/Param!$B$5),0)</f>
        <v>0.30185613014198</v>
      </c>
      <c r="E75" s="0" t="n">
        <f aca="false">IF(Matrice_OD!E75&lt;=Param!$B$2,EXP(-(Matrice_OD!E75^2)/Param!$B$5),0)</f>
        <v>0.280273938265806</v>
      </c>
      <c r="F75" s="0" t="n">
        <f aca="false">IF(Matrice_OD!F75&lt;=Param!$B$2,EXP(-(Matrice_OD!F75^2)/Param!$B$5),0)</f>
        <v>0.284513976072179</v>
      </c>
      <c r="G75" s="0" t="n">
        <f aca="false">IF(Matrice_OD!G75&lt;=Param!$B$2,EXP(-(Matrice_OD!G75^2)/Param!$B$5),0)</f>
        <v>0.270727544634122</v>
      </c>
      <c r="H75" s="0" t="n">
        <f aca="false">IF(Matrice_OD!H75&lt;=Param!$B$2,EXP(-(Matrice_OD!H75^2)/Param!$B$5),0)</f>
        <v>0.315419305823095</v>
      </c>
      <c r="I75" s="0" t="n">
        <f aca="false">IF(Matrice_OD!I75&lt;=Param!$B$2,EXP(-(Matrice_OD!I75^2)/Param!$B$5),0)</f>
        <v>0.286190221070342</v>
      </c>
      <c r="J75" s="0" t="n">
        <f aca="false">IF(Matrice_OD!J75&lt;=Param!$B$2,EXP(-(Matrice_OD!J75^2)/Param!$B$5),0)</f>
        <v>0.278168374757883</v>
      </c>
      <c r="K75" s="0" t="n">
        <f aca="false">IF(Matrice_OD!K75&lt;=Param!$B$2,EXP(-(Matrice_OD!K75^2)/Param!$B$5),0)</f>
        <v>0.27517719820329</v>
      </c>
      <c r="L75" s="0" t="n">
        <f aca="false">IF(Matrice_OD!L75&lt;=Param!$B$2,EXP(-(Matrice_OD!L75^2)/Param!$B$5),0)</f>
        <v>0.286495628723083</v>
      </c>
      <c r="M75" s="0" t="n">
        <f aca="false">IF(Matrice_OD!M75&lt;=Param!$B$2,EXP(-(Matrice_OD!M75^2)/Param!$B$5),0)</f>
        <v>0.303592015704926</v>
      </c>
      <c r="N75" s="0" t="n">
        <f aca="false">IF(Matrice_OD!N75&lt;=Param!$B$2,EXP(-(Matrice_OD!N75^2)/Param!$B$5),0)</f>
        <v>0.284970546532413</v>
      </c>
      <c r="O75" s="0" t="n">
        <f aca="false">IF(Matrice_OD!O75&lt;=Param!$B$2,EXP(-(Matrice_OD!O75^2)/Param!$B$5),0)</f>
        <v>0.280575520836395</v>
      </c>
      <c r="P75" s="0" t="n">
        <f aca="false">IF(Matrice_OD!P75&lt;=Param!$B$2,EXP(-(Matrice_OD!P75^2)/Param!$B$5),0)</f>
        <v>0.279219949650793</v>
      </c>
      <c r="Q75" s="0" t="n">
        <f aca="false">IF(Matrice_OD!Q75&lt;=Param!$B$2,EXP(-(Matrice_OD!Q75^2)/Param!$B$5),0)</f>
        <v>0.274283700424738</v>
      </c>
      <c r="R75" s="0" t="n">
        <f aca="false">IF(Matrice_OD!R75&lt;=Param!$B$2,EXP(-(Matrice_OD!R75^2)/Param!$B$5),0)</f>
        <v>0.272353903988212</v>
      </c>
      <c r="S75" s="0" t="n">
        <f aca="false">IF(Matrice_OD!S75&lt;=Param!$B$2,EXP(-(Matrice_OD!S75^2)/Param!$B$5),0)</f>
        <v>0.268079195247227</v>
      </c>
      <c r="T75" s="0" t="n">
        <f aca="false">IF(Matrice_OD!T75&lt;=Param!$B$2,EXP(-(Matrice_OD!T75^2)/Param!$B$5),0)</f>
        <v>0.929016879685248</v>
      </c>
      <c r="U75" s="0" t="n">
        <f aca="false">IF(Matrice_OD!U75&lt;=Param!$B$2,EXP(-(Matrice_OD!U75^2)/Param!$B$5),0)</f>
        <v>0.257933677041462</v>
      </c>
      <c r="V75" s="0" t="n">
        <f aca="false">IF(Matrice_OD!V75&lt;=Param!$B$2,EXP(-(Matrice_OD!V75^2)/Param!$B$5),0)</f>
        <v>0.397364541977037</v>
      </c>
      <c r="W75" s="0" t="n">
        <f aca="false">IF(Matrice_OD!W75&lt;=Param!$B$2,EXP(-(Matrice_OD!W75^2)/Param!$B$5),0)</f>
        <v>0.359145737208841</v>
      </c>
      <c r="X75" s="0" t="n">
        <f aca="false">IF(Matrice_OD!X75&lt;=Param!$B$2,EXP(-(Matrice_OD!X75^2)/Param!$B$5),0)</f>
        <v>0.357241863125747</v>
      </c>
      <c r="Y75" s="0" t="n">
        <f aca="false">IF(Matrice_OD!Y75&lt;=Param!$B$2,EXP(-(Matrice_OD!Y75^2)/Param!$B$5),0)</f>
        <v>0.356896262543173</v>
      </c>
      <c r="Z75" s="0" t="n">
        <f aca="false">IF(Matrice_OD!Z75&lt;=Param!$B$2,EXP(-(Matrice_OD!Z75^2)/Param!$B$5),0)</f>
        <v>0.351904475436786</v>
      </c>
      <c r="AA75" s="0" t="n">
        <f aca="false">IF(Matrice_OD!AA75&lt;=Param!$B$2,EXP(-(Matrice_OD!AA75^2)/Param!$B$5),0)</f>
        <v>0.327503373430871</v>
      </c>
      <c r="AB75" s="0" t="n">
        <f aca="false">IF(Matrice_OD!AB75&lt;=Param!$B$2,EXP(-(Matrice_OD!AB75^2)/Param!$B$5),0)</f>
        <v>0.315580904109423</v>
      </c>
      <c r="AC75" s="0" t="n">
        <f aca="false">IF(Matrice_OD!AC75&lt;=Param!$B$2,EXP(-(Matrice_OD!AC75^2)/Param!$B$5),0)</f>
        <v>0</v>
      </c>
      <c r="AD75" s="0" t="n">
        <f aca="false">IF(Matrice_OD!AD75&lt;=Param!$B$2,EXP(-(Matrice_OD!AD75^2)/Param!$B$5),0)</f>
        <v>0</v>
      </c>
      <c r="AE75" s="0" t="n">
        <f aca="false">IF(Matrice_OD!AE75&lt;=Param!$B$2,EXP(-(Matrice_OD!AE75^2)/Param!$B$5),0)</f>
        <v>0</v>
      </c>
      <c r="AF75" s="0" t="n">
        <f aca="false">IF(Matrice_OD!AF75&lt;=Param!$B$2,EXP(-(Matrice_OD!AF75^2)/Param!$B$5),0)</f>
        <v>0</v>
      </c>
      <c r="AG75" s="0" t="n">
        <f aca="false">IF(Matrice_OD!AG75&lt;=Param!$B$2,EXP(-(Matrice_OD!AG75^2)/Param!$B$5),0)</f>
        <v>0</v>
      </c>
      <c r="AH75" s="0" t="n">
        <f aca="false">IF(Matrice_OD!AH75&lt;=Param!$B$2,EXP(-(Matrice_OD!AH75^2)/Param!$B$5),0)</f>
        <v>0.256932613523859</v>
      </c>
      <c r="AI75" s="0" t="n">
        <f aca="false">IF(Matrice_OD!AI75&lt;=Param!$B$2,EXP(-(Matrice_OD!AI75^2)/Param!$B$5),0)</f>
        <v>0.928655831267866</v>
      </c>
      <c r="AJ75" s="0" t="n">
        <f aca="false">IF(Matrice_OD!AJ75&lt;=Param!$B$2,EXP(-(Matrice_OD!AJ75^2)/Param!$B$5),0)</f>
        <v>0.342707379988702</v>
      </c>
      <c r="AK75" s="0" t="n">
        <f aca="false">IF(Matrice_OD!AK75&lt;=Param!$B$2,EXP(-(Matrice_OD!AK75^2)/Param!$B$5),0)</f>
        <v>0</v>
      </c>
      <c r="AL75" s="0" t="n">
        <f aca="false">IF(Matrice_OD!AL75&lt;=Param!$B$2,EXP(-(Matrice_OD!AL75^2)/Param!$B$5),0)</f>
        <v>0</v>
      </c>
      <c r="AM75" s="0" t="n">
        <f aca="false">IF(Matrice_OD!AM75&lt;=Param!$B$2,EXP(-(Matrice_OD!AM75^2)/Param!$B$5),0)</f>
        <v>0.426776011170354</v>
      </c>
      <c r="AN75" s="0" t="n">
        <f aca="false">IF(Matrice_OD!AN75&lt;=Param!$B$2,EXP(-(Matrice_OD!AN75^2)/Param!$B$5),0)</f>
        <v>0</v>
      </c>
    </row>
    <row r="76" customFormat="false" ht="15" hidden="false" customHeight="true" outlineLevel="0" collapsed="false">
      <c r="A76" s="0" t="s">
        <v>250</v>
      </c>
      <c r="B76" s="0" t="s">
        <v>251</v>
      </c>
      <c r="C76" s="0" t="n">
        <f aca="false">IF(Matrice_OD!C76&lt;=Param!$B$2,EXP(-(Matrice_OD!C76^2)/Param!$B$5),0)</f>
        <v>0.541641830993249</v>
      </c>
      <c r="D76" s="0" t="n">
        <f aca="false">IF(Matrice_OD!D76&lt;=Param!$B$2,EXP(-(Matrice_OD!D76^2)/Param!$B$5),0)</f>
        <v>0.493988051540635</v>
      </c>
      <c r="E76" s="0" t="n">
        <f aca="false">IF(Matrice_OD!E76&lt;=Param!$B$2,EXP(-(Matrice_OD!E76^2)/Param!$B$5),0)</f>
        <v>0.466727809890047</v>
      </c>
      <c r="F76" s="0" t="n">
        <f aca="false">IF(Matrice_OD!F76&lt;=Param!$B$2,EXP(-(Matrice_OD!F76^2)/Param!$B$5),0)</f>
        <v>0.471983712880589</v>
      </c>
      <c r="G76" s="0" t="n">
        <f aca="false">IF(Matrice_OD!G76&lt;=Param!$B$2,EXP(-(Matrice_OD!G76^2)/Param!$B$5),0)</f>
        <v>0.454351509555995</v>
      </c>
      <c r="H76" s="0" t="n">
        <f aca="false">IF(Matrice_OD!H76&lt;=Param!$B$2,EXP(-(Matrice_OD!H76^2)/Param!$B$5),0)</f>
        <v>0.511083025185278</v>
      </c>
      <c r="I76" s="0" t="n">
        <f aca="false">IF(Matrice_OD!I76&lt;=Param!$B$2,EXP(-(Matrice_OD!I76^2)/Param!$B$5),0)</f>
        <v>0.474130670033817</v>
      </c>
      <c r="J76" s="0" t="n">
        <f aca="false">IF(Matrice_OD!J76&lt;=Param!$B$2,EXP(-(Matrice_OD!J76^2)/Param!$B$5),0)</f>
        <v>0.463816582508315</v>
      </c>
      <c r="K76" s="0" t="n">
        <f aca="false">IF(Matrice_OD!K76&lt;=Param!$B$2,EXP(-(Matrice_OD!K76^2)/Param!$B$5),0)</f>
        <v>0.460138181300883</v>
      </c>
      <c r="L76" s="0" t="n">
        <f aca="false">IF(Matrice_OD!L76&lt;=Param!$B$2,EXP(-(Matrice_OD!L76^2)/Param!$B$5),0)</f>
        <v>0.474716763313502</v>
      </c>
      <c r="M76" s="0" t="n">
        <f aca="false">IF(Matrice_OD!M76&lt;=Param!$B$2,EXP(-(Matrice_OD!M76^2)/Param!$B$5),0)</f>
        <v>0.49616559013612</v>
      </c>
      <c r="N76" s="0" t="n">
        <f aca="false">IF(Matrice_OD!N76&lt;=Param!$B$2,EXP(-(Matrice_OD!N76^2)/Param!$B$5),0)</f>
        <v>0.472568925460177</v>
      </c>
      <c r="O76" s="0" t="n">
        <f aca="false">IF(Matrice_OD!O76&lt;=Param!$B$2,EXP(-(Matrice_OD!O76^2)/Param!$B$5),0)</f>
        <v>0.467116448706159</v>
      </c>
      <c r="P76" s="0" t="n">
        <f aca="false">IF(Matrice_OD!P76&lt;=Param!$B$2,EXP(-(Matrice_OD!P76^2)/Param!$B$5),0)</f>
        <v>0.465368451757458</v>
      </c>
      <c r="Q76" s="0" t="n">
        <f aca="false">IF(Matrice_OD!Q76&lt;=Param!$B$2,EXP(-(Matrice_OD!Q76^2)/Param!$B$5),0)</f>
        <v>0.458785599605712</v>
      </c>
      <c r="R76" s="0" t="n">
        <f aca="false">IF(Matrice_OD!R76&lt;=Param!$B$2,EXP(-(Matrice_OD!R76^2)/Param!$B$5),0)</f>
        <v>0.456277456941796</v>
      </c>
      <c r="S76" s="0" t="n">
        <f aca="false">IF(Matrice_OD!S76&lt;=Param!$B$2,EXP(-(Matrice_OD!S76^2)/Param!$B$5),0)</f>
        <v>0.450892347116993</v>
      </c>
      <c r="T76" s="0" t="n">
        <f aca="false">IF(Matrice_OD!T76&lt;=Param!$B$2,EXP(-(Matrice_OD!T76^2)/Param!$B$5),0)</f>
        <v>0.79767553375072</v>
      </c>
      <c r="U76" s="0" t="n">
        <f aca="false">IF(Matrice_OD!U76&lt;=Param!$B$2,EXP(-(Matrice_OD!U76^2)/Param!$B$5),0)</f>
        <v>0.155848673845695</v>
      </c>
      <c r="V76" s="0" t="n">
        <f aca="false">IF(Matrice_OD!V76&lt;=Param!$B$2,EXP(-(Matrice_OD!V76^2)/Param!$B$5),0)</f>
        <v>0.190429097270683</v>
      </c>
      <c r="W76" s="0" t="n">
        <f aca="false">IF(Matrice_OD!W76&lt;=Param!$B$2,EXP(-(Matrice_OD!W76^2)/Param!$B$5),0)</f>
        <v>0.166330020855674</v>
      </c>
      <c r="X76" s="0" t="n">
        <f aca="false">IF(Matrice_OD!X76&lt;=Param!$B$2,EXP(-(Matrice_OD!X76^2)/Param!$B$5),0)</f>
        <v>0.165164400163178</v>
      </c>
      <c r="Y76" s="0" t="n">
        <f aca="false">IF(Matrice_OD!Y76&lt;=Param!$B$2,EXP(-(Matrice_OD!Y76^2)/Param!$B$5),0)</f>
        <v>0.164953104587104</v>
      </c>
      <c r="Z76" s="0" t="n">
        <f aca="false">IF(Matrice_OD!Z76&lt;=Param!$B$2,EXP(-(Matrice_OD!Z76^2)/Param!$B$5),0)</f>
        <v>0.161911245031634</v>
      </c>
      <c r="AA76" s="0" t="n">
        <f aca="false">IF(Matrice_OD!AA76&lt;=Param!$B$2,EXP(-(Matrice_OD!AA76^2)/Param!$B$5),0)</f>
        <v>0.147311496687363</v>
      </c>
      <c r="AB76" s="0" t="n">
        <f aca="false">IF(Matrice_OD!AB76&lt;=Param!$B$2,EXP(-(Matrice_OD!AB76^2)/Param!$B$5),0)</f>
        <v>0.140340170558253</v>
      </c>
      <c r="AC76" s="0" t="n">
        <f aca="false">IF(Matrice_OD!AC76&lt;=Param!$B$2,EXP(-(Matrice_OD!AC76^2)/Param!$B$5),0)</f>
        <v>0</v>
      </c>
      <c r="AD76" s="0" t="n">
        <f aca="false">IF(Matrice_OD!AD76&lt;=Param!$B$2,EXP(-(Matrice_OD!AD76^2)/Param!$B$5),0)</f>
        <v>0</v>
      </c>
      <c r="AE76" s="0" t="n">
        <f aca="false">IF(Matrice_OD!AE76&lt;=Param!$B$2,EXP(-(Matrice_OD!AE76^2)/Param!$B$5),0)</f>
        <v>0</v>
      </c>
      <c r="AF76" s="0" t="n">
        <f aca="false">IF(Matrice_OD!AF76&lt;=Param!$B$2,EXP(-(Matrice_OD!AF76^2)/Param!$B$5),0)</f>
        <v>0</v>
      </c>
      <c r="AG76" s="0" t="n">
        <f aca="false">IF(Matrice_OD!AG76&lt;=Param!$B$2,EXP(-(Matrice_OD!AG76^2)/Param!$B$5),0)</f>
        <v>0</v>
      </c>
      <c r="AH76" s="0" t="n">
        <f aca="false">IF(Matrice_OD!AH76&lt;=Param!$B$2,EXP(-(Matrice_OD!AH76^2)/Param!$B$5),0)</f>
        <v>0.436018744951959</v>
      </c>
      <c r="AI76" s="0" t="n">
        <f aca="false">IF(Matrice_OD!AI76&lt;=Param!$B$2,EXP(-(Matrice_OD!AI76^2)/Param!$B$5),0)</f>
        <v>0.780832935300495</v>
      </c>
      <c r="AJ76" s="0" t="n">
        <f aca="false">IF(Matrice_OD!AJ76&lt;=Param!$B$2,EXP(-(Matrice_OD!AJ76^2)/Param!$B$5),0)</f>
        <v>0.156355925899411</v>
      </c>
      <c r="AK76" s="0" t="n">
        <f aca="false">IF(Matrice_OD!AK76&lt;=Param!$B$2,EXP(-(Matrice_OD!AK76^2)/Param!$B$5),0)</f>
        <v>0</v>
      </c>
      <c r="AL76" s="0" t="n">
        <f aca="false">IF(Matrice_OD!AL76&lt;=Param!$B$2,EXP(-(Matrice_OD!AL76^2)/Param!$B$5),0)</f>
        <v>0</v>
      </c>
      <c r="AM76" s="0" t="n">
        <f aca="false">IF(Matrice_OD!AM76&lt;=Param!$B$2,EXP(-(Matrice_OD!AM76^2)/Param!$B$5),0)</f>
        <v>0.52430345072383</v>
      </c>
      <c r="AN76" s="0" t="n">
        <f aca="false">IF(Matrice_OD!AN76&lt;=Param!$B$2,EXP(-(Matrice_OD!AN76^2)/Param!$B$5),0)</f>
        <v>0</v>
      </c>
    </row>
    <row r="77" customFormat="false" ht="15" hidden="false" customHeight="true" outlineLevel="0" collapsed="false">
      <c r="A77" s="0" t="s">
        <v>252</v>
      </c>
      <c r="B77" s="0" t="s">
        <v>253</v>
      </c>
      <c r="C77" s="0" t="n">
        <f aca="false">IF(Matrice_OD!C77&lt;=Param!$B$2,EXP(-(Matrice_OD!C77^2)/Param!$B$5),0)</f>
        <v>0.323884303541209</v>
      </c>
      <c r="D77" s="0" t="n">
        <f aca="false">IF(Matrice_OD!D77&lt;=Param!$B$2,EXP(-(Matrice_OD!D77^2)/Param!$B$5),0)</f>
        <v>0.473740073896159</v>
      </c>
      <c r="E77" s="0" t="n">
        <f aca="false">IF(Matrice_OD!E77&lt;=Param!$B$2,EXP(-(Matrice_OD!E77^2)/Param!$B$5),0)</f>
        <v>0.446677878148729</v>
      </c>
      <c r="F77" s="0" t="n">
        <f aca="false">IF(Matrice_OD!F77&lt;=Param!$B$2,EXP(-(Matrice_OD!F77^2)/Param!$B$5),0)</f>
        <v>0.451852245059357</v>
      </c>
      <c r="G77" s="0" t="n">
        <f aca="false">IF(Matrice_OD!G77&lt;=Param!$B$2,EXP(-(Matrice_OD!G77^2)/Param!$B$5),0)</f>
        <v>0.434504270639017</v>
      </c>
      <c r="H77" s="0" t="n">
        <f aca="false">IF(Matrice_OD!H77&lt;=Param!$B$2,EXP(-(Matrice_OD!H77^2)/Param!$B$5),0)</f>
        <v>0.49043084616406</v>
      </c>
      <c r="I77" s="0" t="n">
        <f aca="false">IF(Matrice_OD!I77&lt;=Param!$B$2,EXP(-(Matrice_OD!I77^2)/Param!$B$5),0)</f>
        <v>0.454159078474894</v>
      </c>
      <c r="J77" s="0" t="n">
        <f aca="false">IF(Matrice_OD!J77&lt;=Param!$B$2,EXP(-(Matrice_OD!J77^2)/Param!$B$5),0)</f>
        <v>0.443812980308139</v>
      </c>
      <c r="K77" s="0" t="n">
        <f aca="false">IF(Matrice_OD!K77&lt;=Param!$B$2,EXP(-(Matrice_OD!K77^2)/Param!$B$5),0)</f>
        <v>0.440194305172954</v>
      </c>
      <c r="L77" s="0" t="n">
        <f aca="false">IF(Matrice_OD!L77&lt;=Param!$B$2,EXP(-(Matrice_OD!L77^2)/Param!$B$5),0)</f>
        <v>0.454543970486543</v>
      </c>
      <c r="M77" s="0" t="n">
        <f aca="false">IF(Matrice_OD!M77&lt;=Param!$B$2,EXP(-(Matrice_OD!M77^2)/Param!$B$5),0)</f>
        <v>0.475889663216156</v>
      </c>
      <c r="N77" s="0" t="n">
        <f aca="false">IF(Matrice_OD!N77&lt;=Param!$B$2,EXP(-(Matrice_OD!N77^2)/Param!$B$5),0)</f>
        <v>0.452428547095611</v>
      </c>
      <c r="O77" s="0" t="n">
        <f aca="false">IF(Matrice_OD!O77&lt;=Param!$B$2,EXP(-(Matrice_OD!O77^2)/Param!$B$5),0)</f>
        <v>0.447060395029628</v>
      </c>
      <c r="P77" s="0" t="n">
        <f aca="false">IF(Matrice_OD!P77&lt;=Param!$B$2,EXP(-(Matrice_OD!P77^2)/Param!$B$5),0)</f>
        <v>0.445340049529268</v>
      </c>
      <c r="Q77" s="0" t="n">
        <f aca="false">IF(Matrice_OD!Q77&lt;=Param!$B$2,EXP(-(Matrice_OD!Q77^2)/Param!$B$5),0)</f>
        <v>0.438864018356287</v>
      </c>
      <c r="R77" s="0" t="n">
        <f aca="false">IF(Matrice_OD!R77&lt;=Param!$B$2,EXP(-(Matrice_OD!R77^2)/Param!$B$5),0)</f>
        <v>0.436397691395794</v>
      </c>
      <c r="S77" s="0" t="n">
        <f aca="false">IF(Matrice_OD!S77&lt;=Param!$B$2,EXP(-(Matrice_OD!S77^2)/Param!$B$5),0)</f>
        <v>0.431104438109576</v>
      </c>
      <c r="T77" s="0" t="n">
        <f aca="false">IF(Matrice_OD!T77&lt;=Param!$B$2,EXP(-(Matrice_OD!T77^2)/Param!$B$5),0)</f>
        <v>0.834141262402086</v>
      </c>
      <c r="U77" s="0" t="n">
        <f aca="false">IF(Matrice_OD!U77&lt;=Param!$B$2,EXP(-(Matrice_OD!U77^2)/Param!$B$5),0)</f>
        <v>0.348312580276957</v>
      </c>
      <c r="V77" s="0" t="n">
        <f aca="false">IF(Matrice_OD!V77&lt;=Param!$B$2,EXP(-(Matrice_OD!V77^2)/Param!$B$5),0)</f>
        <v>0.215717575677488</v>
      </c>
      <c r="W77" s="0" t="n">
        <f aca="false">IF(Matrice_OD!W77&lt;=Param!$B$2,EXP(-(Matrice_OD!W77^2)/Param!$B$5),0)</f>
        <v>0.189378583662791</v>
      </c>
      <c r="X77" s="0" t="n">
        <f aca="false">IF(Matrice_OD!X77&lt;=Param!$B$2,EXP(-(Matrice_OD!X77^2)/Param!$B$5),0)</f>
        <v>0.188100136674533</v>
      </c>
      <c r="Y77" s="0" t="n">
        <f aca="false">IF(Matrice_OD!Y77&lt;=Param!$B$2,EXP(-(Matrice_OD!Y77^2)/Param!$B$5),0)</f>
        <v>0.187868343013151</v>
      </c>
      <c r="Z77" s="0" t="n">
        <f aca="false">IF(Matrice_OD!Z77&lt;=Param!$B$2,EXP(-(Matrice_OD!Z77^2)/Param!$B$5),0)</f>
        <v>0.184529824160187</v>
      </c>
      <c r="AA77" s="0" t="n">
        <f aca="false">IF(Matrice_OD!AA77&lt;=Param!$B$2,EXP(-(Matrice_OD!AA77^2)/Param!$B$5),0)</f>
        <v>0.168464508700522</v>
      </c>
      <c r="AB77" s="0" t="n">
        <f aca="false">IF(Matrice_OD!AB77&lt;=Param!$B$2,EXP(-(Matrice_OD!AB77^2)/Param!$B$5),0)</f>
        <v>0.160871820050577</v>
      </c>
      <c r="AC77" s="0" t="n">
        <f aca="false">IF(Matrice_OD!AC77&lt;=Param!$B$2,EXP(-(Matrice_OD!AC77^2)/Param!$B$5),0)</f>
        <v>0</v>
      </c>
      <c r="AD77" s="0" t="n">
        <f aca="false">IF(Matrice_OD!AD77&lt;=Param!$B$2,EXP(-(Matrice_OD!AD77^2)/Param!$B$5),0)</f>
        <v>0</v>
      </c>
      <c r="AE77" s="0" t="n">
        <f aca="false">IF(Matrice_OD!AE77&lt;=Param!$B$2,EXP(-(Matrice_OD!AE77^2)/Param!$B$5),0)</f>
        <v>0</v>
      </c>
      <c r="AF77" s="0" t="n">
        <f aca="false">IF(Matrice_OD!AF77&lt;=Param!$B$2,EXP(-(Matrice_OD!AF77^2)/Param!$B$5),0)</f>
        <v>0</v>
      </c>
      <c r="AG77" s="0" t="n">
        <f aca="false">IF(Matrice_OD!AG77&lt;=Param!$B$2,EXP(-(Matrice_OD!AG77^2)/Param!$B$5),0)</f>
        <v>0</v>
      </c>
      <c r="AH77" s="0" t="n">
        <f aca="false">IF(Matrice_OD!AH77&lt;=Param!$B$2,EXP(-(Matrice_OD!AH77^2)/Param!$B$5),0)</f>
        <v>0.416499224903897</v>
      </c>
      <c r="AI77" s="0" t="n">
        <f aca="false">IF(Matrice_OD!AI77&lt;=Param!$B$2,EXP(-(Matrice_OD!AI77^2)/Param!$B$5),0)</f>
        <v>0.818132563723092</v>
      </c>
      <c r="AJ77" s="0" t="n">
        <f aca="false">IF(Matrice_OD!AJ77&lt;=Param!$B$2,EXP(-(Matrice_OD!AJ77^2)/Param!$B$5),0)</f>
        <v>0.178425080444546</v>
      </c>
      <c r="AK77" s="0" t="n">
        <f aca="false">IF(Matrice_OD!AK77&lt;=Param!$B$2,EXP(-(Matrice_OD!AK77^2)/Param!$B$5),0)</f>
        <v>0</v>
      </c>
      <c r="AL77" s="0" t="n">
        <f aca="false">IF(Matrice_OD!AL77&lt;=Param!$B$2,EXP(-(Matrice_OD!AL77^2)/Param!$B$5),0)</f>
        <v>0</v>
      </c>
      <c r="AM77" s="0" t="n">
        <f aca="false">IF(Matrice_OD!AM77&lt;=Param!$B$2,EXP(-(Matrice_OD!AM77^2)/Param!$B$5),0)</f>
        <v>0.309793003285928</v>
      </c>
      <c r="AN77" s="0" t="n">
        <f aca="false">IF(Matrice_OD!AN77&lt;=Param!$B$2,EXP(-(Matrice_OD!AN77^2)/Param!$B$5),0)</f>
        <v>0</v>
      </c>
    </row>
    <row r="78" customFormat="false" ht="15" hidden="false" customHeight="true" outlineLevel="0" collapsed="false">
      <c r="A78" s="0" t="s">
        <v>254</v>
      </c>
      <c r="B78" s="0" t="s">
        <v>255</v>
      </c>
      <c r="C78" s="0" t="n">
        <f aca="false">IF(Matrice_OD!C78&lt;=Param!$B$2,EXP(-(Matrice_OD!C78^2)/Param!$B$5),0)</f>
        <v>0.572113990170493</v>
      </c>
      <c r="D78" s="0" t="n">
        <f aca="false">IF(Matrice_OD!D78&lt;=Param!$B$2,EXP(-(Matrice_OD!D78^2)/Param!$B$5),0)</f>
        <v>0.763043173121995</v>
      </c>
      <c r="E78" s="0" t="n">
        <f aca="false">IF(Matrice_OD!E78&lt;=Param!$B$2,EXP(-(Matrice_OD!E78^2)/Param!$B$5),0)</f>
        <v>0.736184453593521</v>
      </c>
      <c r="F78" s="0" t="n">
        <f aca="false">IF(Matrice_OD!F78&lt;=Param!$B$2,EXP(-(Matrice_OD!F78^2)/Param!$B$5),0)</f>
        <v>0.7414183125923</v>
      </c>
      <c r="G78" s="0" t="n">
        <f aca="false">IF(Matrice_OD!G78&lt;=Param!$B$2,EXP(-(Matrice_OD!G78^2)/Param!$B$5),0)</f>
        <v>0.723685714881255</v>
      </c>
      <c r="H78" s="0" t="n">
        <f aca="false">IF(Matrice_OD!H78&lt;=Param!$B$2,EXP(-(Matrice_OD!H78^2)/Param!$B$5),0)</f>
        <v>0.778978607013146</v>
      </c>
      <c r="I78" s="0" t="n">
        <f aca="false">IF(Matrice_OD!I78&lt;=Param!$B$2,EXP(-(Matrice_OD!I78^2)/Param!$B$5),0)</f>
        <v>0.743736611007117</v>
      </c>
      <c r="J78" s="0" t="n">
        <f aca="false">IF(Matrice_OD!J78&lt;=Param!$B$2,EXP(-(Matrice_OD!J78^2)/Param!$B$5),0)</f>
        <v>0.73346122672997</v>
      </c>
      <c r="K78" s="0" t="n">
        <f aca="false">IF(Matrice_OD!K78&lt;=Param!$B$2,EXP(-(Matrice_OD!K78^2)/Param!$B$5),0)</f>
        <v>0.729560162020423</v>
      </c>
      <c r="L78" s="0" t="n">
        <f aca="false">IF(Matrice_OD!L78&lt;=Param!$B$2,EXP(-(Matrice_OD!L78^2)/Param!$B$5),0)</f>
        <v>0.744122513646933</v>
      </c>
      <c r="M78" s="0" t="n">
        <f aca="false">IF(Matrice_OD!M78&lt;=Param!$B$2,EXP(-(Matrice_OD!M78^2)/Param!$B$5),0)</f>
        <v>0.765122307481535</v>
      </c>
      <c r="N78" s="0" t="n">
        <f aca="false">IF(Matrice_OD!N78&lt;=Param!$B$2,EXP(-(Matrice_OD!N78^2)/Param!$B$5),0)</f>
        <v>0.742191624975099</v>
      </c>
      <c r="O78" s="0" t="n">
        <f aca="false">IF(Matrice_OD!O78&lt;=Param!$B$2,EXP(-(Matrice_OD!O78^2)/Param!$B$5),0)</f>
        <v>0.736572970441457</v>
      </c>
      <c r="P78" s="0" t="n">
        <f aca="false">IF(Matrice_OD!P78&lt;=Param!$B$2,EXP(-(Matrice_OD!P78^2)/Param!$B$5),0)</f>
        <v>0.734823625739044</v>
      </c>
      <c r="Q78" s="0" t="n">
        <f aca="false">IF(Matrice_OD!Q78&lt;=Param!$B$2,EXP(-(Matrice_OD!Q78^2)/Param!$B$5),0)</f>
        <v>0.728387433365786</v>
      </c>
      <c r="R78" s="0" t="n">
        <f aca="false">IF(Matrice_OD!R78&lt;=Param!$B$2,EXP(-(Matrice_OD!R78^2)/Param!$B$5),0)</f>
        <v>0.725842791143836</v>
      </c>
      <c r="S78" s="0" t="n">
        <f aca="false">IF(Matrice_OD!S78&lt;=Param!$B$2,EXP(-(Matrice_OD!S78^2)/Param!$B$5),0)</f>
        <v>0.720148399791155</v>
      </c>
      <c r="T78" s="0" t="n">
        <f aca="false">IF(Matrice_OD!T78&lt;=Param!$B$2,EXP(-(Matrice_OD!T78^2)/Param!$B$5),0)</f>
        <v>0.753150472838671</v>
      </c>
      <c r="U78" s="0" t="n">
        <f aca="false">IF(Matrice_OD!U78&lt;=Param!$B$2,EXP(-(Matrice_OD!U78^2)/Param!$B$5),0)</f>
        <v>0.145569211929963</v>
      </c>
      <c r="V78" s="0" t="n">
        <f aca="false">IF(Matrice_OD!V78&lt;=Param!$B$2,EXP(-(Matrice_OD!V78^2)/Param!$B$5),0)</f>
        <v>0.163794469799986</v>
      </c>
      <c r="W78" s="0" t="n">
        <f aca="false">IF(Matrice_OD!W78&lt;=Param!$B$2,EXP(-(Matrice_OD!W78^2)/Param!$B$5),0)</f>
        <v>0.14231994845281</v>
      </c>
      <c r="X78" s="0" t="n">
        <f aca="false">IF(Matrice_OD!X78&lt;=Param!$B$2,EXP(-(Matrice_OD!X78^2)/Param!$B$5),0)</f>
        <v>0.141280347057522</v>
      </c>
      <c r="Y78" s="0" t="n">
        <f aca="false">IF(Matrice_OD!Y78&lt;=Param!$B$2,EXP(-(Matrice_OD!Y78^2)/Param!$B$5),0)</f>
        <v>0.141091937569463</v>
      </c>
      <c r="Z78" s="0" t="n">
        <f aca="false">IF(Matrice_OD!Z78&lt;=Param!$B$2,EXP(-(Matrice_OD!Z78^2)/Param!$B$5),0)</f>
        <v>0.138380993553674</v>
      </c>
      <c r="AA78" s="0" t="n">
        <f aca="false">IF(Matrice_OD!AA78&lt;=Param!$B$2,EXP(-(Matrice_OD!AA78^2)/Param!$B$5),0)</f>
        <v>0.125407848183556</v>
      </c>
      <c r="AB78" s="0" t="n">
        <f aca="false">IF(Matrice_OD!AB78&lt;=Param!$B$2,EXP(-(Matrice_OD!AB78^2)/Param!$B$5),0)</f>
        <v>0.119236300760723</v>
      </c>
      <c r="AC78" s="0" t="n">
        <f aca="false">IF(Matrice_OD!AC78&lt;=Param!$B$2,EXP(-(Matrice_OD!AC78^2)/Param!$B$5),0)</f>
        <v>0</v>
      </c>
      <c r="AD78" s="0" t="n">
        <f aca="false">IF(Matrice_OD!AD78&lt;=Param!$B$2,EXP(-(Matrice_OD!AD78^2)/Param!$B$5),0)</f>
        <v>0</v>
      </c>
      <c r="AE78" s="0" t="n">
        <f aca="false">IF(Matrice_OD!AE78&lt;=Param!$B$2,EXP(-(Matrice_OD!AE78^2)/Param!$B$5),0)</f>
        <v>0</v>
      </c>
      <c r="AF78" s="0" t="n">
        <f aca="false">IF(Matrice_OD!AF78&lt;=Param!$B$2,EXP(-(Matrice_OD!AF78^2)/Param!$B$5),0)</f>
        <v>0</v>
      </c>
      <c r="AG78" s="0" t="n">
        <f aca="false">IF(Matrice_OD!AG78&lt;=Param!$B$2,EXP(-(Matrice_OD!AG78^2)/Param!$B$5),0)</f>
        <v>0</v>
      </c>
      <c r="AH78" s="0" t="n">
        <f aca="false">IF(Matrice_OD!AH78&lt;=Param!$B$2,EXP(-(Matrice_OD!AH78^2)/Param!$B$5),0)</f>
        <v>0.704917466372058</v>
      </c>
      <c r="AI78" s="0" t="n">
        <f aca="false">IF(Matrice_OD!AI78&lt;=Param!$B$2,EXP(-(Matrice_OD!AI78^2)/Param!$B$5),0)</f>
        <v>0.735407031117477</v>
      </c>
      <c r="AJ78" s="0" t="n">
        <f aca="false">IF(Matrice_OD!AJ78&lt;=Param!$B$2,EXP(-(Matrice_OD!AJ78^2)/Param!$B$5),0)</f>
        <v>0.133437053791914</v>
      </c>
      <c r="AK78" s="0" t="n">
        <f aca="false">IF(Matrice_OD!AK78&lt;=Param!$B$2,EXP(-(Matrice_OD!AK78^2)/Param!$B$5),0)</f>
        <v>0</v>
      </c>
      <c r="AL78" s="0" t="n">
        <f aca="false">IF(Matrice_OD!AL78&lt;=Param!$B$2,EXP(-(Matrice_OD!AL78^2)/Param!$B$5),0)</f>
        <v>0</v>
      </c>
      <c r="AM78" s="0" t="n">
        <f aca="false">IF(Matrice_OD!AM78&lt;=Param!$B$2,EXP(-(Matrice_OD!AM78^2)/Param!$B$5),0)</f>
        <v>0.554613100035662</v>
      </c>
      <c r="AN78" s="0" t="n">
        <f aca="false">IF(Matrice_OD!AN78&lt;=Param!$B$2,EXP(-(Matrice_OD!AN78^2)/Param!$B$5),0)</f>
        <v>0</v>
      </c>
    </row>
    <row r="79" customFormat="false" ht="15" hidden="false" customHeight="true" outlineLevel="0" collapsed="false">
      <c r="A79" s="0" t="s">
        <v>256</v>
      </c>
      <c r="B79" s="0" t="s">
        <v>257</v>
      </c>
      <c r="C79" s="0" t="n">
        <f aca="false">IF(Matrice_OD!C79&lt;=Param!$B$2,EXP(-(Matrice_OD!C79^2)/Param!$B$5),0)</f>
        <v>0.345758793870121</v>
      </c>
      <c r="D79" s="0" t="n">
        <f aca="false">IF(Matrice_OD!D79&lt;=Param!$B$2,EXP(-(Matrice_OD!D79^2)/Param!$B$5),0)</f>
        <v>0.102702732842345</v>
      </c>
      <c r="E79" s="0" t="n">
        <f aca="false">IF(Matrice_OD!E79&lt;=Param!$B$2,EXP(-(Matrice_OD!E79^2)/Param!$B$5),0)</f>
        <v>0.0927589506906591</v>
      </c>
      <c r="F79" s="0" t="n">
        <f aca="false">IF(Matrice_OD!F79&lt;=Param!$B$2,EXP(-(Matrice_OD!F79^2)/Param!$B$5),0)</f>
        <v>0.0946151089563842</v>
      </c>
      <c r="G79" s="0" t="n">
        <f aca="false">IF(Matrice_OD!G79&lt;=Param!$B$2,EXP(-(Matrice_OD!G79^2)/Param!$B$5),0)</f>
        <v>0.0884740234612667</v>
      </c>
      <c r="H79" s="0" t="n">
        <f aca="false">IF(Matrice_OD!H79&lt;=Param!$B$2,EXP(-(Matrice_OD!H79^2)/Param!$B$5),0)</f>
        <v>0.109134329034459</v>
      </c>
      <c r="I79" s="0" t="n">
        <f aca="false">IF(Matrice_OD!I79&lt;=Param!$B$2,EXP(-(Matrice_OD!I79^2)/Param!$B$5),0)</f>
        <v>0.0954494069951311</v>
      </c>
      <c r="J79" s="0" t="n">
        <f aca="false">IF(Matrice_OD!J79&lt;=Param!$B$2,EXP(-(Matrice_OD!J79^2)/Param!$B$5),0)</f>
        <v>0.091740246186598</v>
      </c>
      <c r="K79" s="0" t="n">
        <f aca="false">IF(Matrice_OD!K79&lt;=Param!$B$2,EXP(-(Matrice_OD!K79^2)/Param!$B$5),0)</f>
        <v>0.0904626094556665</v>
      </c>
      <c r="L79" s="0" t="n">
        <f aca="false">IF(Matrice_OD!L79&lt;=Param!$B$2,EXP(-(Matrice_OD!L79^2)/Param!$B$5),0)</f>
        <v>0.0955890179870345</v>
      </c>
      <c r="M79" s="0" t="n">
        <f aca="false">IF(Matrice_OD!M79&lt;=Param!$B$2,EXP(-(Matrice_OD!M79^2)/Param!$B$5),0)</f>
        <v>0.103518006801226</v>
      </c>
      <c r="N79" s="0" t="n">
        <f aca="false">IF(Matrice_OD!N79&lt;=Param!$B$2,EXP(-(Matrice_OD!N79^2)/Param!$B$5),0)</f>
        <v>0.0948231428621795</v>
      </c>
      <c r="O79" s="0" t="n">
        <f aca="false">IF(Matrice_OD!O79&lt;=Param!$B$2,EXP(-(Matrice_OD!O79^2)/Param!$B$5),0)</f>
        <v>0.0928954503388421</v>
      </c>
      <c r="P79" s="0" t="n">
        <f aca="false">IF(Matrice_OD!P79&lt;=Param!$B$2,EXP(-(Matrice_OD!P79^2)/Param!$B$5),0)</f>
        <v>0.0922824489495933</v>
      </c>
      <c r="Q79" s="0" t="n">
        <f aca="false">IF(Matrice_OD!Q79&lt;=Param!$B$2,EXP(-(Matrice_OD!Q79^2)/Param!$B$5),0)</f>
        <v>0.0899954684613864</v>
      </c>
      <c r="R79" s="0" t="n">
        <f aca="false">IF(Matrice_OD!R79&lt;=Param!$B$2,EXP(-(Matrice_OD!R79^2)/Param!$B$5),0)</f>
        <v>0.089132993794028</v>
      </c>
      <c r="S79" s="0" t="n">
        <f aca="false">IF(Matrice_OD!S79&lt;=Param!$B$2,EXP(-(Matrice_OD!S79^2)/Param!$B$5),0)</f>
        <v>0.0872976281957374</v>
      </c>
      <c r="T79" s="0" t="n">
        <f aca="false">IF(Matrice_OD!T79&lt;=Param!$B$2,EXP(-(Matrice_OD!T79^2)/Param!$B$5),0)</f>
        <v>0.673242855099522</v>
      </c>
      <c r="U79" s="0" t="n">
        <f aca="false">IF(Matrice_OD!U79&lt;=Param!$B$2,EXP(-(Matrice_OD!U79^2)/Param!$B$5),0)</f>
        <v>0.0785672327223124</v>
      </c>
      <c r="V79" s="0" t="n">
        <f aca="false">IF(Matrice_OD!V79&lt;=Param!$B$2,EXP(-(Matrice_OD!V79^2)/Param!$B$5),0)</f>
        <v>0.0994195973703431</v>
      </c>
      <c r="W79" s="0" t="n">
        <f aca="false">IF(Matrice_OD!W79&lt;=Param!$B$2,EXP(-(Matrice_OD!W79^2)/Param!$B$5),0)</f>
        <v>0.0847914378750207</v>
      </c>
      <c r="X79" s="0" t="n">
        <f aca="false">IF(Matrice_OD!X79&lt;=Param!$B$2,EXP(-(Matrice_OD!X79^2)/Param!$B$5),0)</f>
        <v>0.0840950330676821</v>
      </c>
      <c r="Y79" s="0" t="n">
        <f aca="false">IF(Matrice_OD!Y79&lt;=Param!$B$2,EXP(-(Matrice_OD!Y79^2)/Param!$B$5),0)</f>
        <v>0.0839689057810528</v>
      </c>
      <c r="Z79" s="0" t="n">
        <f aca="false">IF(Matrice_OD!Z79&lt;=Param!$B$2,EXP(-(Matrice_OD!Z79^2)/Param!$B$5),0)</f>
        <v>0.0821569757905367</v>
      </c>
      <c r="AA79" s="0" t="n">
        <f aca="false">IF(Matrice_OD!AA79&lt;=Param!$B$2,EXP(-(Matrice_OD!AA79^2)/Param!$B$5),0)</f>
        <v>0.0735616114817753</v>
      </c>
      <c r="AB79" s="0" t="n">
        <f aca="false">IF(Matrice_OD!AB79&lt;=Param!$B$2,EXP(-(Matrice_OD!AB79^2)/Param!$B$5),0)</f>
        <v>0.0695178284612048</v>
      </c>
      <c r="AC79" s="0" t="n">
        <f aca="false">IF(Matrice_OD!AC79&lt;=Param!$B$2,EXP(-(Matrice_OD!AC79^2)/Param!$B$5),0)</f>
        <v>0</v>
      </c>
      <c r="AD79" s="0" t="n">
        <f aca="false">IF(Matrice_OD!AD79&lt;=Param!$B$2,EXP(-(Matrice_OD!AD79^2)/Param!$B$5),0)</f>
        <v>0</v>
      </c>
      <c r="AE79" s="0" t="n">
        <f aca="false">IF(Matrice_OD!AE79&lt;=Param!$B$2,EXP(-(Matrice_OD!AE79^2)/Param!$B$5),0)</f>
        <v>0</v>
      </c>
      <c r="AF79" s="0" t="n">
        <f aca="false">IF(Matrice_OD!AF79&lt;=Param!$B$2,EXP(-(Matrice_OD!AF79^2)/Param!$B$5),0)</f>
        <v>0</v>
      </c>
      <c r="AG79" s="0" t="n">
        <f aca="false">IF(Matrice_OD!AG79&lt;=Param!$B$2,EXP(-(Matrice_OD!AG79^2)/Param!$B$5),0)</f>
        <v>0</v>
      </c>
      <c r="AH79" s="0" t="n">
        <f aca="false">IF(Matrice_OD!AH79&lt;=Param!$B$2,EXP(-(Matrice_OD!AH79^2)/Param!$B$5),0)</f>
        <v>0.0823429542789056</v>
      </c>
      <c r="AI79" s="0" t="n">
        <f aca="false">IF(Matrice_OD!AI79&lt;=Param!$B$2,EXP(-(Matrice_OD!AI79^2)/Param!$B$5),0)</f>
        <v>0.698145234309109</v>
      </c>
      <c r="AJ79" s="0" t="n">
        <f aca="false">IF(Matrice_OD!AJ79&lt;=Param!$B$2,EXP(-(Matrice_OD!AJ79^2)/Param!$B$5),0)</f>
        <v>0.0788664776009877</v>
      </c>
      <c r="AK79" s="0" t="n">
        <f aca="false">IF(Matrice_OD!AK79&lt;=Param!$B$2,EXP(-(Matrice_OD!AK79^2)/Param!$B$5),0)</f>
        <v>0</v>
      </c>
      <c r="AL79" s="0" t="n">
        <f aca="false">IF(Matrice_OD!AL79&lt;=Param!$B$2,EXP(-(Matrice_OD!AL79^2)/Param!$B$5),0)</f>
        <v>0</v>
      </c>
      <c r="AM79" s="0" t="n">
        <f aca="false">IF(Matrice_OD!AM79&lt;=Param!$B$2,EXP(-(Matrice_OD!AM79^2)/Param!$B$5),0)</f>
        <v>0.346098725485353</v>
      </c>
      <c r="AN79" s="0" t="n">
        <f aca="false">IF(Matrice_OD!AN79&lt;=Param!$B$2,EXP(-(Matrice_OD!AN79^2)/Param!$B$5),0)</f>
        <v>0</v>
      </c>
    </row>
    <row r="80" customFormat="false" ht="15" hidden="false" customHeight="true" outlineLevel="0" collapsed="false">
      <c r="A80" s="0" t="s">
        <v>258</v>
      </c>
      <c r="B80" s="0" t="s">
        <v>259</v>
      </c>
      <c r="C80" s="0" t="n">
        <f aca="false">IF(Matrice_OD!C80&lt;=Param!$B$2,EXP(-(Matrice_OD!C80^2)/Param!$B$5),0)</f>
        <v>0.251118675667613</v>
      </c>
      <c r="D80" s="0" t="n">
        <f aca="false">IF(Matrice_OD!D80&lt;=Param!$B$2,EXP(-(Matrice_OD!D80^2)/Param!$B$5),0)</f>
        <v>0.154736956092327</v>
      </c>
      <c r="E80" s="0" t="n">
        <f aca="false">IF(Matrice_OD!E80&lt;=Param!$B$2,EXP(-(Matrice_OD!E80^2)/Param!$B$5),0)</f>
        <v>0.141091937569463</v>
      </c>
      <c r="F80" s="0" t="n">
        <f aca="false">IF(Matrice_OD!F80&lt;=Param!$B$2,EXP(-(Matrice_OD!F80^2)/Param!$B$5),0)</f>
        <v>0.143746738607717</v>
      </c>
      <c r="G80" s="0" t="n">
        <f aca="false">IF(Matrice_OD!G80&lt;=Param!$B$2,EXP(-(Matrice_OD!G80^2)/Param!$B$5),0)</f>
        <v>0.135252433070793</v>
      </c>
      <c r="H80" s="0" t="n">
        <f aca="false">IF(Matrice_OD!H80&lt;=Param!$B$2,EXP(-(Matrice_OD!H80^2)/Param!$B$5),0)</f>
        <v>0.163479502967969</v>
      </c>
      <c r="I80" s="0" t="n">
        <f aca="false">IF(Matrice_OD!I80&lt;=Param!$B$2,EXP(-(Matrice_OD!I80^2)/Param!$B$5),0)</f>
        <v>0.144799779737811</v>
      </c>
      <c r="J80" s="0" t="n">
        <f aca="false">IF(Matrice_OD!J80&lt;=Param!$B$2,EXP(-(Matrice_OD!J80^2)/Param!$B$5),0)</f>
        <v>0.139778307578969</v>
      </c>
      <c r="K80" s="0" t="n">
        <f aca="false">IF(Matrice_OD!K80&lt;=Param!$B$2,EXP(-(Matrice_OD!K80^2)/Param!$B$5),0)</f>
        <v>0.137917549118752</v>
      </c>
      <c r="L80" s="0" t="n">
        <f aca="false">IF(Matrice_OD!L80&lt;=Param!$B$2,EXP(-(Matrice_OD!L80^2)/Param!$B$5),0)</f>
        <v>0.144991854585298</v>
      </c>
      <c r="M80" s="0" t="n">
        <f aca="false">IF(Matrice_OD!M80&lt;=Param!$B$2,EXP(-(Matrice_OD!M80^2)/Param!$B$5),0)</f>
        <v>0.155848673845695</v>
      </c>
      <c r="N80" s="0" t="n">
        <f aca="false">IF(Matrice_OD!N80&lt;=Param!$B$2,EXP(-(Matrice_OD!N80^2)/Param!$B$5),0)</f>
        <v>0.144033366338895</v>
      </c>
      <c r="O80" s="0" t="n">
        <f aca="false">IF(Matrice_OD!O80&lt;=Param!$B$2,EXP(-(Matrice_OD!O80^2)/Param!$B$5),0)</f>
        <v>0.141374622015858</v>
      </c>
      <c r="P80" s="0" t="n">
        <f aca="false">IF(Matrice_OD!P80&lt;=Param!$B$2,EXP(-(Matrice_OD!P80^2)/Param!$B$5),0)</f>
        <v>0.140433977830687</v>
      </c>
      <c r="Q80" s="0" t="n">
        <f aca="false">IF(Matrice_OD!Q80&lt;=Param!$B$2,EXP(-(Matrice_OD!Q80^2)/Param!$B$5),0)</f>
        <v>0.137362948671011</v>
      </c>
      <c r="R80" s="0" t="n">
        <f aca="false">IF(Matrice_OD!R80&lt;=Param!$B$2,EXP(-(Matrice_OD!R80^2)/Param!$B$5),0)</f>
        <v>0.136167040981728</v>
      </c>
      <c r="S80" s="0" t="n">
        <f aca="false">IF(Matrice_OD!S80&lt;=Param!$B$2,EXP(-(Matrice_OD!S80^2)/Param!$B$5),0)</f>
        <v>0.13361776328232</v>
      </c>
      <c r="T80" s="0" t="n">
        <f aca="false">IF(Matrice_OD!T80&lt;=Param!$B$2,EXP(-(Matrice_OD!T80^2)/Param!$B$5),0)</f>
        <v>0.744701107988291</v>
      </c>
      <c r="U80" s="0" t="n">
        <f aca="false">IF(Matrice_OD!U80&lt;=Param!$B$2,EXP(-(Matrice_OD!U80^2)/Param!$B$5),0)</f>
        <v>0.165799459758922</v>
      </c>
      <c r="V80" s="0" t="n">
        <f aca="false">IF(Matrice_OD!V80&lt;=Param!$B$2,EXP(-(Matrice_OD!V80^2)/Param!$B$5),0)</f>
        <v>0.304699681318594</v>
      </c>
      <c r="W80" s="0" t="n">
        <f aca="false">IF(Matrice_OD!W80&lt;=Param!$B$2,EXP(-(Matrice_OD!W80^2)/Param!$B$5),0)</f>
        <v>0.27176180585388</v>
      </c>
      <c r="X80" s="0" t="n">
        <f aca="false">IF(Matrice_OD!X80&lt;=Param!$B$2,EXP(-(Matrice_OD!X80^2)/Param!$B$5),0)</f>
        <v>0.270137630667598</v>
      </c>
      <c r="Y80" s="0" t="n">
        <f aca="false">IF(Matrice_OD!Y80&lt;=Param!$B$2,EXP(-(Matrice_OD!Y80^2)/Param!$B$5),0)</f>
        <v>0.269842971792143</v>
      </c>
      <c r="Z80" s="0" t="n">
        <f aca="false">IF(Matrice_OD!Z80&lt;=Param!$B$2,EXP(-(Matrice_OD!Z80^2)/Param!$B$5),0)</f>
        <v>0.265592784168022</v>
      </c>
      <c r="AA80" s="0" t="n">
        <f aca="false">IF(Matrice_OD!AA80&lt;=Param!$B$2,EXP(-(Matrice_OD!AA80^2)/Param!$B$5),0)</f>
        <v>0.244973502254314</v>
      </c>
      <c r="AB80" s="0" t="n">
        <f aca="false">IF(Matrice_OD!AB80&lt;=Param!$B$2,EXP(-(Matrice_OD!AB80^2)/Param!$B$5),0)</f>
        <v>0.234993888610917</v>
      </c>
      <c r="AC80" s="0" t="n">
        <f aca="false">IF(Matrice_OD!AC80&lt;=Param!$B$2,EXP(-(Matrice_OD!AC80^2)/Param!$B$5),0)</f>
        <v>0</v>
      </c>
      <c r="AD80" s="0" t="n">
        <f aca="false">IF(Matrice_OD!AD80&lt;=Param!$B$2,EXP(-(Matrice_OD!AD80^2)/Param!$B$5),0)</f>
        <v>0</v>
      </c>
      <c r="AE80" s="0" t="n">
        <f aca="false">IF(Matrice_OD!AE80&lt;=Param!$B$2,EXP(-(Matrice_OD!AE80^2)/Param!$B$5),0)</f>
        <v>0</v>
      </c>
      <c r="AF80" s="0" t="n">
        <f aca="false">IF(Matrice_OD!AF80&lt;=Param!$B$2,EXP(-(Matrice_OD!AF80^2)/Param!$B$5),0)</f>
        <v>0</v>
      </c>
      <c r="AG80" s="0" t="n">
        <f aca="false">IF(Matrice_OD!AG80&lt;=Param!$B$2,EXP(-(Matrice_OD!AG80^2)/Param!$B$5),0)</f>
        <v>0</v>
      </c>
      <c r="AH80" s="0" t="n">
        <f aca="false">IF(Matrice_OD!AH80&lt;=Param!$B$2,EXP(-(Matrice_OD!AH80^2)/Param!$B$5),0)</f>
        <v>0.126705497010583</v>
      </c>
      <c r="AI80" s="0" t="n">
        <f aca="false">IF(Matrice_OD!AI80&lt;=Param!$B$2,EXP(-(Matrice_OD!AI80^2)/Param!$B$5),0)</f>
        <v>0.741224899718123</v>
      </c>
      <c r="AJ80" s="0" t="n">
        <f aca="false">IF(Matrice_OD!AJ80&lt;=Param!$B$2,EXP(-(Matrice_OD!AJ80^2)/Param!$B$5),0)</f>
        <v>0.257790517462477</v>
      </c>
      <c r="AK80" s="0" t="n">
        <f aca="false">IF(Matrice_OD!AK80&lt;=Param!$B$2,EXP(-(Matrice_OD!AK80^2)/Param!$B$5),0)</f>
        <v>0</v>
      </c>
      <c r="AL80" s="0" t="n">
        <f aca="false">IF(Matrice_OD!AL80&lt;=Param!$B$2,EXP(-(Matrice_OD!AL80^2)/Param!$B$5),0)</f>
        <v>0</v>
      </c>
      <c r="AM80" s="0" t="n">
        <f aca="false">IF(Matrice_OD!AM80&lt;=Param!$B$2,EXP(-(Matrice_OD!AM80^2)/Param!$B$5),0)</f>
        <v>0.238653551265038</v>
      </c>
      <c r="AN80" s="0" t="n">
        <f aca="false">IF(Matrice_OD!AN80&lt;=Param!$B$2,EXP(-(Matrice_OD!AN80^2)/Param!$B$5),0)</f>
        <v>0</v>
      </c>
    </row>
    <row r="81" customFormat="false" ht="15" hidden="false" customHeight="true" outlineLevel="0" collapsed="false">
      <c r="A81" s="0" t="s">
        <v>260</v>
      </c>
      <c r="B81" s="0" t="s">
        <v>261</v>
      </c>
      <c r="C81" s="0" t="n">
        <f aca="false">IF(Matrice_OD!C81&lt;=Param!$B$2,EXP(-(Matrice_OD!C81^2)/Param!$B$5),0)</f>
        <v>0.642595608248992</v>
      </c>
      <c r="D81" s="0" t="n">
        <f aca="false">IF(Matrice_OD!D81&lt;=Param!$B$2,EXP(-(Matrice_OD!D81^2)/Param!$B$5),0)</f>
        <v>0.145665603453016</v>
      </c>
      <c r="E81" s="0" t="n">
        <f aca="false">IF(Matrice_OD!E81&lt;=Param!$B$2,EXP(-(Matrice_OD!E81^2)/Param!$B$5),0)</f>
        <v>0.131193664879079</v>
      </c>
      <c r="F81" s="0" t="n">
        <f aca="false">IF(Matrice_OD!F81&lt;=Param!$B$2,EXP(-(Matrice_OD!F81^2)/Param!$B$5),0)</f>
        <v>0.130215628397878</v>
      </c>
      <c r="G81" s="0" t="n">
        <f aca="false">IF(Matrice_OD!G81&lt;=Param!$B$2,EXP(-(Matrice_OD!G81^2)/Param!$B$5),0)</f>
        <v>0.125580282817068</v>
      </c>
      <c r="H81" s="0" t="n">
        <f aca="false">IF(Matrice_OD!H81&lt;=Param!$B$2,EXP(-(Matrice_OD!H81^2)/Param!$B$5),0)</f>
        <v>0.120067722165843</v>
      </c>
      <c r="I81" s="0" t="n">
        <f aca="false">IF(Matrice_OD!I81&lt;=Param!$B$2,EXP(-(Matrice_OD!I81^2)/Param!$B$5),0)</f>
        <v>0.118987734992635</v>
      </c>
      <c r="J81" s="0" t="n">
        <f aca="false">IF(Matrice_OD!J81&lt;=Param!$B$2,EXP(-(Matrice_OD!J81^2)/Param!$B$5),0)</f>
        <v>0.116442390076206</v>
      </c>
      <c r="K81" s="0" t="n">
        <f aca="false">IF(Matrice_OD!K81&lt;=Param!$B$2,EXP(-(Matrice_OD!K81^2)/Param!$B$5),0)</f>
        <v>0.114903121529119</v>
      </c>
      <c r="L81" s="0" t="n">
        <f aca="false">IF(Matrice_OD!L81&lt;=Param!$B$2,EXP(-(Matrice_OD!L81^2)/Param!$B$5),0)</f>
        <v>0.114259708331529</v>
      </c>
      <c r="M81" s="0" t="n">
        <f aca="false">IF(Matrice_OD!M81&lt;=Param!$B$2,EXP(-(Matrice_OD!M81^2)/Param!$B$5),0)</f>
        <v>0.11401914441169</v>
      </c>
      <c r="N81" s="0" t="n">
        <f aca="false">IF(Matrice_OD!N81&lt;=Param!$B$2,EXP(-(Matrice_OD!N81^2)/Param!$B$5),0)</f>
        <v>0.111713752970732</v>
      </c>
      <c r="O81" s="0" t="n">
        <f aca="false">IF(Matrice_OD!O81&lt;=Param!$B$2,EXP(-(Matrice_OD!O81^2)/Param!$B$5),0)</f>
        <v>0.111241298427855</v>
      </c>
      <c r="P81" s="0" t="n">
        <f aca="false">IF(Matrice_OD!P81&lt;=Param!$B$2,EXP(-(Matrice_OD!P81^2)/Param!$B$5),0)</f>
        <v>0.110457305404576</v>
      </c>
      <c r="Q81" s="0" t="n">
        <f aca="false">IF(Matrice_OD!Q81&lt;=Param!$B$2,EXP(-(Matrice_OD!Q81^2)/Param!$B$5),0)</f>
        <v>0.1079004140231</v>
      </c>
      <c r="R81" s="0" t="n">
        <f aca="false">IF(Matrice_OD!R81&lt;=Param!$B$2,EXP(-(Matrice_OD!R81^2)/Param!$B$5),0)</f>
        <v>0.106905846524842</v>
      </c>
      <c r="S81" s="0" t="n">
        <f aca="false">IF(Matrice_OD!S81&lt;=Param!$B$2,EXP(-(Matrice_OD!S81^2)/Param!$B$5),0)</f>
        <v>0.104787887802149</v>
      </c>
      <c r="T81" s="0" t="n">
        <f aca="false">IF(Matrice_OD!T81&lt;=Param!$B$2,EXP(-(Matrice_OD!T81^2)/Param!$B$5),0)</f>
        <v>0.516481523914104</v>
      </c>
      <c r="U81" s="0" t="n">
        <f aca="false">IF(Matrice_OD!U81&lt;=Param!$B$2,EXP(-(Matrice_OD!U81^2)/Param!$B$5),0)</f>
        <v>0.0422916656525332</v>
      </c>
      <c r="V81" s="0" t="n">
        <f aca="false">IF(Matrice_OD!V81&lt;=Param!$B$2,EXP(-(Matrice_OD!V81^2)/Param!$B$5),0)</f>
        <v>0.0549776844710006</v>
      </c>
      <c r="W81" s="0" t="n">
        <f aca="false">IF(Matrice_OD!W81&lt;=Param!$B$2,EXP(-(Matrice_OD!W81^2)/Param!$B$5),0)</f>
        <v>0.0460089629650676</v>
      </c>
      <c r="X81" s="0" t="n">
        <f aca="false">IF(Matrice_OD!X81&lt;=Param!$B$2,EXP(-(Matrice_OD!X81^2)/Param!$B$5),0)</f>
        <v>0.0455871010128196</v>
      </c>
      <c r="Y81" s="0" t="n">
        <f aca="false">IF(Matrice_OD!Y81&lt;=Param!$B$2,EXP(-(Matrice_OD!Y81^2)/Param!$B$5),0)</f>
        <v>0.0455489111927649</v>
      </c>
      <c r="Z81" s="0" t="n">
        <f aca="false">IF(Matrice_OD!Z81&lt;=Param!$B$2,EXP(-(Matrice_OD!Z81^2)/Param!$B$5),0)</f>
        <v>0.0444530162785368</v>
      </c>
      <c r="AA81" s="0" t="n">
        <f aca="false">IF(Matrice_OD!AA81&lt;=Param!$B$2,EXP(-(Matrice_OD!AA81^2)/Param!$B$5),0)</f>
        <v>0.0392664669795846</v>
      </c>
      <c r="AB81" s="0" t="n">
        <f aca="false">IF(Matrice_OD!AB81&lt;=Param!$B$2,EXP(-(Matrice_OD!AB81^2)/Param!$B$5),0)</f>
        <v>0.0369031641430498</v>
      </c>
      <c r="AC81" s="0" t="n">
        <f aca="false">IF(Matrice_OD!AC81&lt;=Param!$B$2,EXP(-(Matrice_OD!AC81^2)/Param!$B$5),0)</f>
        <v>0</v>
      </c>
      <c r="AD81" s="0" t="n">
        <f aca="false">IF(Matrice_OD!AD81&lt;=Param!$B$2,EXP(-(Matrice_OD!AD81^2)/Param!$B$5),0)</f>
        <v>0</v>
      </c>
      <c r="AE81" s="0" t="n">
        <f aca="false">IF(Matrice_OD!AE81&lt;=Param!$B$2,EXP(-(Matrice_OD!AE81^2)/Param!$B$5),0)</f>
        <v>0</v>
      </c>
      <c r="AF81" s="0" t="n">
        <f aca="false">IF(Matrice_OD!AF81&lt;=Param!$B$2,EXP(-(Matrice_OD!AF81^2)/Param!$B$5),0)</f>
        <v>0</v>
      </c>
      <c r="AG81" s="0" t="n">
        <f aca="false">IF(Matrice_OD!AG81&lt;=Param!$B$2,EXP(-(Matrice_OD!AG81^2)/Param!$B$5),0)</f>
        <v>0</v>
      </c>
      <c r="AH81" s="0" t="n">
        <f aca="false">IF(Matrice_OD!AH81&lt;=Param!$B$2,EXP(-(Matrice_OD!AH81^2)/Param!$B$5),0)</f>
        <v>0.0990599374420888</v>
      </c>
      <c r="AI81" s="0" t="n">
        <f aca="false">IF(Matrice_OD!AI81&lt;=Param!$B$2,EXP(-(Matrice_OD!AI81^2)/Param!$B$5),0)</f>
        <v>0.541439579829766</v>
      </c>
      <c r="AJ81" s="0" t="n">
        <f aca="false">IF(Matrice_OD!AJ81&lt;=Param!$B$2,EXP(-(Matrice_OD!AJ81^2)/Param!$B$5),0)</f>
        <v>0.0424713339111581</v>
      </c>
      <c r="AK81" s="0" t="n">
        <f aca="false">IF(Matrice_OD!AK81&lt;=Param!$B$2,EXP(-(Matrice_OD!AK81^2)/Param!$B$5),0)</f>
        <v>0</v>
      </c>
      <c r="AL81" s="0" t="n">
        <f aca="false">IF(Matrice_OD!AL81&lt;=Param!$B$2,EXP(-(Matrice_OD!AL81^2)/Param!$B$5),0)</f>
        <v>0</v>
      </c>
      <c r="AM81" s="0" t="n">
        <f aca="false">IF(Matrice_OD!AM81&lt;=Param!$B$2,EXP(-(Matrice_OD!AM81^2)/Param!$B$5),0)</f>
        <v>0.648501688379905</v>
      </c>
      <c r="AN81" s="0" t="n">
        <f aca="false">IF(Matrice_OD!AN81&lt;=Param!$B$2,EXP(-(Matrice_OD!AN81^2)/Param!$B$5),0)</f>
        <v>0</v>
      </c>
    </row>
    <row r="82" customFormat="false" ht="15" hidden="false" customHeight="true" outlineLevel="0" collapsed="false">
      <c r="A82" s="0" t="s">
        <v>262</v>
      </c>
      <c r="B82" s="0" t="s">
        <v>263</v>
      </c>
      <c r="C82" s="0" t="n">
        <f aca="false">IF(Matrice_OD!C82&lt;=Param!$B$2,EXP(-(Matrice_OD!C82^2)/Param!$B$5),0)</f>
        <v>0.305492302374386</v>
      </c>
      <c r="D82" s="0" t="n">
        <f aca="false">IF(Matrice_OD!D82&lt;=Param!$B$2,EXP(-(Matrice_OD!D82^2)/Param!$B$5),0)</f>
        <v>0.0387305116758812</v>
      </c>
      <c r="E82" s="0" t="n">
        <f aca="false">IF(Matrice_OD!E82&lt;=Param!$B$2,EXP(-(Matrice_OD!E82^2)/Param!$B$5),0)</f>
        <v>0.0338218172260284</v>
      </c>
      <c r="F82" s="0" t="n">
        <f aca="false">IF(Matrice_OD!F82&lt;=Param!$B$2,EXP(-(Matrice_OD!F82^2)/Param!$B$5),0)</f>
        <v>0.0334966562762161</v>
      </c>
      <c r="G82" s="0" t="n">
        <f aca="false">IF(Matrice_OD!G82&lt;=Param!$B$2,EXP(-(Matrice_OD!G82^2)/Param!$B$5),0)</f>
        <v>0.031967090541241</v>
      </c>
      <c r="H82" s="0" t="n">
        <f aca="false">IF(Matrice_OD!H82&lt;=Param!$B$2,EXP(-(Matrice_OD!H82^2)/Param!$B$5),0)</f>
        <v>0.0302000048251447</v>
      </c>
      <c r="I82" s="0" t="n">
        <f aca="false">IF(Matrice_OD!I82&lt;=Param!$B$2,EXP(-(Matrice_OD!I82^2)/Param!$B$5),0)</f>
        <v>0.0298514822988092</v>
      </c>
      <c r="J82" s="0" t="n">
        <f aca="false">IF(Matrice_OD!J82&lt;=Param!$B$2,EXP(-(Matrice_OD!J82^2)/Param!$B$5),0)</f>
        <v>0.0290342833668517</v>
      </c>
      <c r="K82" s="0" t="n">
        <f aca="false">IF(Matrice_OD!K82&lt;=Param!$B$2,EXP(-(Matrice_OD!K82^2)/Param!$B$5),0)</f>
        <v>0.0285173156001457</v>
      </c>
      <c r="L82" s="0" t="n">
        <f aca="false">IF(Matrice_OD!L82&lt;=Param!$B$2,EXP(-(Matrice_OD!L82^2)/Param!$B$5),0)</f>
        <v>0.0283382554673089</v>
      </c>
      <c r="M82" s="0" t="n">
        <f aca="false">IF(Matrice_OD!M82&lt;=Param!$B$2,EXP(-(Matrice_OD!M82^2)/Param!$B$5),0)</f>
        <v>0.0282618117981016</v>
      </c>
      <c r="N82" s="0" t="n">
        <f aca="false">IF(Matrice_OD!N82&lt;=Param!$B$2,EXP(-(Matrice_OD!N82^2)/Param!$B$5),0)</f>
        <v>0.0275070770811862</v>
      </c>
      <c r="O82" s="0" t="n">
        <f aca="false">IF(Matrice_OD!O82&lt;=Param!$B$2,EXP(-(Matrice_OD!O82^2)/Param!$B$5),0)</f>
        <v>0.0273582302309422</v>
      </c>
      <c r="P82" s="0" t="n">
        <f aca="false">IF(Matrice_OD!P82&lt;=Param!$B$2,EXP(-(Matrice_OD!P82^2)/Param!$B$5),0)</f>
        <v>0.0271362605191193</v>
      </c>
      <c r="Q82" s="0" t="n">
        <f aca="false">IF(Matrice_OD!Q82&lt;=Param!$B$2,EXP(-(Matrice_OD!Q82^2)/Param!$B$5),0)</f>
        <v>0.0263116524215209</v>
      </c>
      <c r="R82" s="0" t="n">
        <f aca="false">IF(Matrice_OD!R82&lt;=Param!$B$2,EXP(-(Matrice_OD!R82^2)/Param!$B$5),0)</f>
        <v>0.0260021219094624</v>
      </c>
      <c r="S82" s="0" t="n">
        <f aca="false">IF(Matrice_OD!S82&lt;=Param!$B$2,EXP(-(Matrice_OD!S82^2)/Param!$B$5),0)</f>
        <v>0.0253460980809287</v>
      </c>
      <c r="T82" s="0" t="n">
        <f aca="false">IF(Matrice_OD!T82&lt;=Param!$B$2,EXP(-(Matrice_OD!T82^2)/Param!$B$5),0)</f>
        <v>0.0788664776009877</v>
      </c>
      <c r="U82" s="0" t="n">
        <f aca="false">IF(Matrice_OD!U82&lt;=Param!$B$2,EXP(-(Matrice_OD!U82^2)/Param!$B$5),0)</f>
        <v>0</v>
      </c>
      <c r="V82" s="0" t="n">
        <f aca="false">IF(Matrice_OD!V82&lt;=Param!$B$2,EXP(-(Matrice_OD!V82^2)/Param!$B$5),0)</f>
        <v>0</v>
      </c>
      <c r="W82" s="0" t="n">
        <f aca="false">IF(Matrice_OD!W82&lt;=Param!$B$2,EXP(-(Matrice_OD!W82^2)/Param!$B$5),0)</f>
        <v>0</v>
      </c>
      <c r="X82" s="0" t="n">
        <f aca="false">IF(Matrice_OD!X82&lt;=Param!$B$2,EXP(-(Matrice_OD!X82^2)/Param!$B$5),0)</f>
        <v>0</v>
      </c>
      <c r="Y82" s="0" t="n">
        <f aca="false">IF(Matrice_OD!Y82&lt;=Param!$B$2,EXP(-(Matrice_OD!Y82^2)/Param!$B$5),0)</f>
        <v>0</v>
      </c>
      <c r="Z82" s="0" t="n">
        <f aca="false">IF(Matrice_OD!Z82&lt;=Param!$B$2,EXP(-(Matrice_OD!Z82^2)/Param!$B$5),0)</f>
        <v>0</v>
      </c>
      <c r="AA82" s="0" t="n">
        <f aca="false">IF(Matrice_OD!AA82&lt;=Param!$B$2,EXP(-(Matrice_OD!AA82^2)/Param!$B$5),0)</f>
        <v>0</v>
      </c>
      <c r="AB82" s="0" t="n">
        <f aca="false">IF(Matrice_OD!AB82&lt;=Param!$B$2,EXP(-(Matrice_OD!AB82^2)/Param!$B$5),0)</f>
        <v>0</v>
      </c>
      <c r="AC82" s="0" t="n">
        <f aca="false">IF(Matrice_OD!AC82&lt;=Param!$B$2,EXP(-(Matrice_OD!AC82^2)/Param!$B$5),0)</f>
        <v>0</v>
      </c>
      <c r="AD82" s="0" t="n">
        <f aca="false">IF(Matrice_OD!AD82&lt;=Param!$B$2,EXP(-(Matrice_OD!AD82^2)/Param!$B$5),0)</f>
        <v>0</v>
      </c>
      <c r="AE82" s="0" t="n">
        <f aca="false">IF(Matrice_OD!AE82&lt;=Param!$B$2,EXP(-(Matrice_OD!AE82^2)/Param!$B$5),0)</f>
        <v>0</v>
      </c>
      <c r="AF82" s="0" t="n">
        <f aca="false">IF(Matrice_OD!AF82&lt;=Param!$B$2,EXP(-(Matrice_OD!AF82^2)/Param!$B$5),0)</f>
        <v>0</v>
      </c>
      <c r="AG82" s="0" t="n">
        <f aca="false">IF(Matrice_OD!AG82&lt;=Param!$B$2,EXP(-(Matrice_OD!AG82^2)/Param!$B$5),0)</f>
        <v>0</v>
      </c>
      <c r="AH82" s="0" t="n">
        <f aca="false">IF(Matrice_OD!AH82&lt;=Param!$B$2,EXP(-(Matrice_OD!AH82^2)/Param!$B$5),0)</f>
        <v>0.0235934798184782</v>
      </c>
      <c r="AI82" s="0" t="n">
        <f aca="false">IF(Matrice_OD!AI82&lt;=Param!$B$2,EXP(-(Matrice_OD!AI82^2)/Param!$B$5),0)</f>
        <v>0.0865202966849932</v>
      </c>
      <c r="AJ82" s="0" t="n">
        <f aca="false">IF(Matrice_OD!AJ82&lt;=Param!$B$2,EXP(-(Matrice_OD!AJ82^2)/Param!$B$5),0)</f>
        <v>0</v>
      </c>
      <c r="AK82" s="0" t="n">
        <f aca="false">IF(Matrice_OD!AK82&lt;=Param!$B$2,EXP(-(Matrice_OD!AK82^2)/Param!$B$5),0)</f>
        <v>0</v>
      </c>
      <c r="AL82" s="0" t="n">
        <f aca="false">IF(Matrice_OD!AL82&lt;=Param!$B$2,EXP(-(Matrice_OD!AL82^2)/Param!$B$5),0)</f>
        <v>0</v>
      </c>
      <c r="AM82" s="0" t="n">
        <f aca="false">IF(Matrice_OD!AM82&lt;=Param!$B$2,EXP(-(Matrice_OD!AM82^2)/Param!$B$5),0)</f>
        <v>0.280273938265806</v>
      </c>
      <c r="AN82" s="0" t="n">
        <f aca="false">IF(Matrice_OD!AN82&lt;=Param!$B$2,EXP(-(Matrice_OD!AN82^2)/Param!$B$5),0)</f>
        <v>0</v>
      </c>
    </row>
    <row r="83" customFormat="false" ht="15" hidden="false" customHeight="true" outlineLevel="0" collapsed="false">
      <c r="A83" s="0" t="s">
        <v>264</v>
      </c>
      <c r="B83" s="0" t="s">
        <v>265</v>
      </c>
      <c r="C83" s="0" t="n">
        <f aca="false">IF(Matrice_OD!C83&lt;=Param!$B$2,EXP(-(Matrice_OD!C83^2)/Param!$B$5),0)</f>
        <v>0.872787303178602</v>
      </c>
      <c r="D83" s="0" t="n">
        <f aca="false">IF(Matrice_OD!D83&lt;=Param!$B$2,EXP(-(Matrice_OD!D83^2)/Param!$B$5),0)</f>
        <v>0.295281640115656</v>
      </c>
      <c r="E83" s="0" t="n">
        <f aca="false">IF(Matrice_OD!E83&lt;=Param!$B$2,EXP(-(Matrice_OD!E83^2)/Param!$B$5),0)</f>
        <v>0.27176180585388</v>
      </c>
      <c r="F83" s="0" t="n">
        <f aca="false">IF(Matrice_OD!F83&lt;=Param!$B$2,EXP(-(Matrice_OD!F83^2)/Param!$B$5),0)</f>
        <v>0.269990276382209</v>
      </c>
      <c r="G83" s="0" t="n">
        <f aca="false">IF(Matrice_OD!G83&lt;=Param!$B$2,EXP(-(Matrice_OD!G83^2)/Param!$B$5),0)</f>
        <v>0.262396477122266</v>
      </c>
      <c r="H83" s="0" t="n">
        <f aca="false">IF(Matrice_OD!H83&lt;=Param!$B$2,EXP(-(Matrice_OD!H83^2)/Param!$B$5),0)</f>
        <v>0.253094418586638</v>
      </c>
      <c r="I83" s="0" t="n">
        <f aca="false">IF(Matrice_OD!I83&lt;=Param!$B$2,EXP(-(Matrice_OD!I83^2)/Param!$B$5),0)</f>
        <v>0.251259472948013</v>
      </c>
      <c r="J83" s="0" t="n">
        <f aca="false">IF(Matrice_OD!J83&lt;=Param!$B$2,EXP(-(Matrice_OD!J83^2)/Param!$B$5),0)</f>
        <v>0.246918190937697</v>
      </c>
      <c r="K83" s="0" t="n">
        <f aca="false">IF(Matrice_OD!K83&lt;=Param!$B$2,EXP(-(Matrice_OD!K83^2)/Param!$B$5),0)</f>
        <v>0.244143094227061</v>
      </c>
      <c r="L83" s="0" t="n">
        <f aca="false">IF(Matrice_OD!L83&lt;=Param!$B$2,EXP(-(Matrice_OD!L83^2)/Param!$B$5),0)</f>
        <v>0.24317658379214</v>
      </c>
      <c r="M83" s="0" t="n">
        <f aca="false">IF(Matrice_OD!M83&lt;=Param!$B$2,EXP(-(Matrice_OD!M83^2)/Param!$B$5),0)</f>
        <v>0.242763123145625</v>
      </c>
      <c r="N83" s="0" t="n">
        <f aca="false">IF(Matrice_OD!N83&lt;=Param!$B$2,EXP(-(Matrice_OD!N83^2)/Param!$B$5),0)</f>
        <v>0.238653551265038</v>
      </c>
      <c r="O83" s="0" t="n">
        <f aca="false">IF(Matrice_OD!O83&lt;=Param!$B$2,EXP(-(Matrice_OD!O83^2)/Param!$B$5),0)</f>
        <v>0.237837102276603</v>
      </c>
      <c r="P83" s="0" t="n">
        <f aca="false">IF(Matrice_OD!P83&lt;=Param!$B$2,EXP(-(Matrice_OD!P83^2)/Param!$B$5),0)</f>
        <v>0.236615846813298</v>
      </c>
      <c r="Q83" s="0" t="n">
        <f aca="false">IF(Matrice_OD!Q83&lt;=Param!$B$2,EXP(-(Matrice_OD!Q83^2)/Param!$B$5),0)</f>
        <v>0.232039251989718</v>
      </c>
      <c r="R83" s="0" t="n">
        <f aca="false">IF(Matrice_OD!R83&lt;=Param!$B$2,EXP(-(Matrice_OD!R83^2)/Param!$B$5),0)</f>
        <v>0.230304864436749</v>
      </c>
      <c r="S83" s="0" t="n">
        <f aca="false">IF(Matrice_OD!S83&lt;=Param!$B$2,EXP(-(Matrice_OD!S83^2)/Param!$B$5),0)</f>
        <v>0.226598374494667</v>
      </c>
      <c r="T83" s="0" t="n">
        <f aca="false">IF(Matrice_OD!T83&lt;=Param!$B$2,EXP(-(Matrice_OD!T83^2)/Param!$B$5),0)</f>
        <v>0.338325256503778</v>
      </c>
      <c r="U83" s="0" t="n">
        <f aca="false">IF(Matrice_OD!U83&lt;=Param!$B$2,EXP(-(Matrice_OD!U83^2)/Param!$B$5),0)</f>
        <v>0.0178122503352829</v>
      </c>
      <c r="V83" s="0" t="n">
        <f aca="false">IF(Matrice_OD!V83&lt;=Param!$B$2,EXP(-(Matrice_OD!V83^2)/Param!$B$5),0)</f>
        <v>0.0239883291901949</v>
      </c>
      <c r="W83" s="0" t="n">
        <f aca="false">IF(Matrice_OD!W83&lt;=Param!$B$2,EXP(-(Matrice_OD!W83^2)/Param!$B$5),0)</f>
        <v>0.019608663782117</v>
      </c>
      <c r="X83" s="0" t="n">
        <f aca="false">IF(Matrice_OD!X83&lt;=Param!$B$2,EXP(-(Matrice_OD!X83^2)/Param!$B$5),0)</f>
        <v>0.0194056269803885</v>
      </c>
      <c r="Y83" s="0" t="n">
        <f aca="false">IF(Matrice_OD!Y83&lt;=Param!$B$2,EXP(-(Matrice_OD!Y83^2)/Param!$B$5),0)</f>
        <v>0.019368909078422</v>
      </c>
      <c r="Z83" s="0" t="n">
        <f aca="false">IF(Matrice_OD!Z83&lt;=Param!$B$2,EXP(-(Matrice_OD!Z83^2)/Param!$B$5),0)</f>
        <v>0.0188432775231178</v>
      </c>
      <c r="AA83" s="0" t="n">
        <f aca="false">IF(Matrice_OD!AA83&lt;=Param!$B$2,EXP(-(Matrice_OD!AA83^2)/Param!$B$5),0)</f>
        <v>0.0163979629656252</v>
      </c>
      <c r="AB83" s="0" t="n">
        <f aca="false">IF(Matrice_OD!AB83&lt;=Param!$B$2,EXP(-(Matrice_OD!AB83^2)/Param!$B$5),0)</f>
        <v>0.0152758551235175</v>
      </c>
      <c r="AC83" s="0" t="n">
        <f aca="false">IF(Matrice_OD!AC83&lt;=Param!$B$2,EXP(-(Matrice_OD!AC83^2)/Param!$B$5),0)</f>
        <v>0</v>
      </c>
      <c r="AD83" s="0" t="n">
        <f aca="false">IF(Matrice_OD!AD83&lt;=Param!$B$2,EXP(-(Matrice_OD!AD83^2)/Param!$B$5),0)</f>
        <v>0</v>
      </c>
      <c r="AE83" s="0" t="n">
        <f aca="false">IF(Matrice_OD!AE83&lt;=Param!$B$2,EXP(-(Matrice_OD!AE83^2)/Param!$B$5),0)</f>
        <v>0</v>
      </c>
      <c r="AF83" s="0" t="n">
        <f aca="false">IF(Matrice_OD!AF83&lt;=Param!$B$2,EXP(-(Matrice_OD!AF83^2)/Param!$B$5),0)</f>
        <v>0</v>
      </c>
      <c r="AG83" s="0" t="n">
        <f aca="false">IF(Matrice_OD!AG83&lt;=Param!$B$2,EXP(-(Matrice_OD!AG83^2)/Param!$B$5),0)</f>
        <v>0</v>
      </c>
      <c r="AH83" s="0" t="n">
        <f aca="false">IF(Matrice_OD!AH83&lt;=Param!$B$2,EXP(-(Matrice_OD!AH83^2)/Param!$B$5),0)</f>
        <v>0.216482903911379</v>
      </c>
      <c r="AI83" s="0" t="n">
        <f aca="false">IF(Matrice_OD!AI83&lt;=Param!$B$2,EXP(-(Matrice_OD!AI83^2)/Param!$B$5),0)</f>
        <v>0.359839340368759</v>
      </c>
      <c r="AJ83" s="0" t="n">
        <f aca="false">IF(Matrice_OD!AJ83&lt;=Param!$B$2,EXP(-(Matrice_OD!AJ83^2)/Param!$B$5),0)</f>
        <v>0.0178976678658339</v>
      </c>
      <c r="AK83" s="0" t="n">
        <f aca="false">IF(Matrice_OD!AK83&lt;=Param!$B$2,EXP(-(Matrice_OD!AK83^2)/Param!$B$5),0)</f>
        <v>0</v>
      </c>
      <c r="AL83" s="0" t="n">
        <f aca="false">IF(Matrice_OD!AL83&lt;=Param!$B$2,EXP(-(Matrice_OD!AL83^2)/Param!$B$5),0)</f>
        <v>0</v>
      </c>
      <c r="AM83" s="0" t="n">
        <f aca="false">IF(Matrice_OD!AM83&lt;=Param!$B$2,EXP(-(Matrice_OD!AM83^2)/Param!$B$5),0)</f>
        <v>0.846837341322241</v>
      </c>
      <c r="AN83" s="0" t="n">
        <f aca="false">IF(Matrice_OD!AN83&lt;=Param!$B$2,EXP(-(Matrice_OD!AN83^2)/Param!$B$5),0)</f>
        <v>0</v>
      </c>
    </row>
    <row r="84" customFormat="false" ht="15" hidden="false" customHeight="true" outlineLevel="0" collapsed="false">
      <c r="A84" s="0" t="s">
        <v>266</v>
      </c>
      <c r="B84" s="0" t="s">
        <v>267</v>
      </c>
      <c r="C84" s="0" t="n">
        <f aca="false">IF(Matrice_OD!C84&lt;=Param!$B$2,EXP(-(Matrice_OD!C84^2)/Param!$B$5),0)</f>
        <v>0</v>
      </c>
      <c r="D84" s="0" t="n">
        <f aca="false">IF(Matrice_OD!D84&lt;=Param!$B$2,EXP(-(Matrice_OD!D84^2)/Param!$B$5),0)</f>
        <v>0</v>
      </c>
      <c r="E84" s="0" t="n">
        <f aca="false">IF(Matrice_OD!E84&lt;=Param!$B$2,EXP(-(Matrice_OD!E84^2)/Param!$B$5),0)</f>
        <v>0</v>
      </c>
      <c r="F84" s="0" t="n">
        <f aca="false">IF(Matrice_OD!F84&lt;=Param!$B$2,EXP(-(Matrice_OD!F84^2)/Param!$B$5),0)</f>
        <v>0</v>
      </c>
      <c r="G84" s="0" t="n">
        <f aca="false">IF(Matrice_OD!G84&lt;=Param!$B$2,EXP(-(Matrice_OD!G84^2)/Param!$B$5),0)</f>
        <v>0</v>
      </c>
      <c r="H84" s="0" t="n">
        <f aca="false">IF(Matrice_OD!H84&lt;=Param!$B$2,EXP(-(Matrice_OD!H84^2)/Param!$B$5),0)</f>
        <v>0</v>
      </c>
      <c r="I84" s="0" t="n">
        <f aca="false">IF(Matrice_OD!I84&lt;=Param!$B$2,EXP(-(Matrice_OD!I84^2)/Param!$B$5),0)</f>
        <v>0</v>
      </c>
      <c r="J84" s="0" t="n">
        <f aca="false">IF(Matrice_OD!J84&lt;=Param!$B$2,EXP(-(Matrice_OD!J84^2)/Param!$B$5),0)</f>
        <v>0</v>
      </c>
      <c r="K84" s="0" t="n">
        <f aca="false">IF(Matrice_OD!K84&lt;=Param!$B$2,EXP(-(Matrice_OD!K84^2)/Param!$B$5),0)</f>
        <v>0</v>
      </c>
      <c r="L84" s="0" t="n">
        <f aca="false">IF(Matrice_OD!L84&lt;=Param!$B$2,EXP(-(Matrice_OD!L84^2)/Param!$B$5),0)</f>
        <v>0</v>
      </c>
      <c r="M84" s="0" t="n">
        <f aca="false">IF(Matrice_OD!M84&lt;=Param!$B$2,EXP(-(Matrice_OD!M84^2)/Param!$B$5),0)</f>
        <v>0</v>
      </c>
      <c r="N84" s="0" t="n">
        <f aca="false">IF(Matrice_OD!N84&lt;=Param!$B$2,EXP(-(Matrice_OD!N84^2)/Param!$B$5),0)</f>
        <v>0</v>
      </c>
      <c r="O84" s="0" t="n">
        <f aca="false">IF(Matrice_OD!O84&lt;=Param!$B$2,EXP(-(Matrice_OD!O84^2)/Param!$B$5),0)</f>
        <v>0</v>
      </c>
      <c r="P84" s="0" t="n">
        <f aca="false">IF(Matrice_OD!P84&lt;=Param!$B$2,EXP(-(Matrice_OD!P84^2)/Param!$B$5),0)</f>
        <v>0</v>
      </c>
      <c r="Q84" s="0" t="n">
        <f aca="false">IF(Matrice_OD!Q84&lt;=Param!$B$2,EXP(-(Matrice_OD!Q84^2)/Param!$B$5),0)</f>
        <v>0</v>
      </c>
      <c r="R84" s="0" t="n">
        <f aca="false">IF(Matrice_OD!R84&lt;=Param!$B$2,EXP(-(Matrice_OD!R84^2)/Param!$B$5),0)</f>
        <v>0</v>
      </c>
      <c r="S84" s="0" t="n">
        <f aca="false">IF(Matrice_OD!S84&lt;=Param!$B$2,EXP(-(Matrice_OD!S84^2)/Param!$B$5),0)</f>
        <v>0</v>
      </c>
      <c r="T84" s="0" t="n">
        <f aca="false">IF(Matrice_OD!T84&lt;=Param!$B$2,EXP(-(Matrice_OD!T84^2)/Param!$B$5),0)</f>
        <v>0</v>
      </c>
      <c r="U84" s="0" t="n">
        <f aca="false">IF(Matrice_OD!U84&lt;=Param!$B$2,EXP(-(Matrice_OD!U84^2)/Param!$B$5),0)</f>
        <v>0</v>
      </c>
      <c r="V84" s="0" t="n">
        <f aca="false">IF(Matrice_OD!V84&lt;=Param!$B$2,EXP(-(Matrice_OD!V84^2)/Param!$B$5),0)</f>
        <v>0</v>
      </c>
      <c r="W84" s="0" t="n">
        <f aca="false">IF(Matrice_OD!W84&lt;=Param!$B$2,EXP(-(Matrice_OD!W84^2)/Param!$B$5),0)</f>
        <v>0</v>
      </c>
      <c r="X84" s="0" t="n">
        <f aca="false">IF(Matrice_OD!X84&lt;=Param!$B$2,EXP(-(Matrice_OD!X84^2)/Param!$B$5),0)</f>
        <v>0</v>
      </c>
      <c r="Y84" s="0" t="n">
        <f aca="false">IF(Matrice_OD!Y84&lt;=Param!$B$2,EXP(-(Matrice_OD!Y84^2)/Param!$B$5),0)</f>
        <v>0</v>
      </c>
      <c r="Z84" s="0" t="n">
        <f aca="false">IF(Matrice_OD!Z84&lt;=Param!$B$2,EXP(-(Matrice_OD!Z84^2)/Param!$B$5),0)</f>
        <v>0</v>
      </c>
      <c r="AA84" s="0" t="n">
        <f aca="false">IF(Matrice_OD!AA84&lt;=Param!$B$2,EXP(-(Matrice_OD!AA84^2)/Param!$B$5),0)</f>
        <v>0</v>
      </c>
      <c r="AB84" s="0" t="n">
        <f aca="false">IF(Matrice_OD!AB84&lt;=Param!$B$2,EXP(-(Matrice_OD!AB84^2)/Param!$B$5),0)</f>
        <v>0</v>
      </c>
      <c r="AC84" s="0" t="n">
        <f aca="false">IF(Matrice_OD!AC84&lt;=Param!$B$2,EXP(-(Matrice_OD!AC84^2)/Param!$B$5),0)</f>
        <v>0.998738581649177</v>
      </c>
      <c r="AD84" s="0" t="n">
        <f aca="false">IF(Matrice_OD!AD84&lt;=Param!$B$2,EXP(-(Matrice_OD!AD84^2)/Param!$B$5),0)</f>
        <v>0.999287078264202</v>
      </c>
      <c r="AE84" s="0" t="n">
        <f aca="false">IF(Matrice_OD!AE84&lt;=Param!$B$2,EXP(-(Matrice_OD!AE84^2)/Param!$B$5),0)</f>
        <v>0.999009867229691</v>
      </c>
      <c r="AF84" s="0" t="n">
        <f aca="false">IF(Matrice_OD!AF84&lt;=Param!$B$2,EXP(-(Matrice_OD!AF84^2)/Param!$B$5),0)</f>
        <v>0.99770567943441</v>
      </c>
      <c r="AG84" s="0" t="n">
        <f aca="false">IF(Matrice_OD!AG84&lt;=Param!$B$2,EXP(-(Matrice_OD!AG84^2)/Param!$B$5),0)</f>
        <v>0</v>
      </c>
      <c r="AH84" s="0" t="n">
        <f aca="false">IF(Matrice_OD!AH84&lt;=Param!$B$2,EXP(-(Matrice_OD!AH84^2)/Param!$B$5),0)</f>
        <v>0</v>
      </c>
      <c r="AI84" s="0" t="n">
        <f aca="false">IF(Matrice_OD!AI84&lt;=Param!$B$2,EXP(-(Matrice_OD!AI84^2)/Param!$B$5),0)</f>
        <v>0</v>
      </c>
      <c r="AJ84" s="0" t="n">
        <f aca="false">IF(Matrice_OD!AJ84&lt;=Param!$B$2,EXP(-(Matrice_OD!AJ84^2)/Param!$B$5),0)</f>
        <v>0</v>
      </c>
      <c r="AK84" s="0" t="n">
        <f aca="false">IF(Matrice_OD!AK84&lt;=Param!$B$2,EXP(-(Matrice_OD!AK84^2)/Param!$B$5),0)</f>
        <v>0.979202455419818</v>
      </c>
      <c r="AL84" s="0" t="n">
        <f aca="false">IF(Matrice_OD!AL84&lt;=Param!$B$2,EXP(-(Matrice_OD!AL84^2)/Param!$B$5),0)</f>
        <v>1</v>
      </c>
      <c r="AM84" s="0" t="n">
        <f aca="false">IF(Matrice_OD!AM84&lt;=Param!$B$2,EXP(-(Matrice_OD!AM84^2)/Param!$B$5),0)</f>
        <v>0</v>
      </c>
      <c r="AN84" s="0" t="n">
        <f aca="false">IF(Matrice_OD!AN84&lt;=Param!$B$2,EXP(-(Matrice_OD!AN84^2)/Param!$B$5),0)</f>
        <v>0</v>
      </c>
    </row>
    <row r="85" customFormat="false" ht="15" hidden="false" customHeight="true" outlineLevel="0" collapsed="false">
      <c r="A85" s="0" t="s">
        <v>268</v>
      </c>
      <c r="B85" s="0" t="s">
        <v>269</v>
      </c>
      <c r="C85" s="0" t="n">
        <f aca="false">IF(Matrice_OD!C85&lt;=Param!$B$2,EXP(-(Matrice_OD!C85^2)/Param!$B$5),0)</f>
        <v>0</v>
      </c>
      <c r="D85" s="0" t="n">
        <f aca="false">IF(Matrice_OD!D85&lt;=Param!$B$2,EXP(-(Matrice_OD!D85^2)/Param!$B$5),0)</f>
        <v>0</v>
      </c>
      <c r="E85" s="0" t="n">
        <f aca="false">IF(Matrice_OD!E85&lt;=Param!$B$2,EXP(-(Matrice_OD!E85^2)/Param!$B$5),0)</f>
        <v>0</v>
      </c>
      <c r="F85" s="0" t="n">
        <f aca="false">IF(Matrice_OD!F85&lt;=Param!$B$2,EXP(-(Matrice_OD!F85^2)/Param!$B$5),0)</f>
        <v>0</v>
      </c>
      <c r="G85" s="0" t="n">
        <f aca="false">IF(Matrice_OD!G85&lt;=Param!$B$2,EXP(-(Matrice_OD!G85^2)/Param!$B$5),0)</f>
        <v>0</v>
      </c>
      <c r="H85" s="0" t="n">
        <f aca="false">IF(Matrice_OD!H85&lt;=Param!$B$2,EXP(-(Matrice_OD!H85^2)/Param!$B$5),0)</f>
        <v>0</v>
      </c>
      <c r="I85" s="0" t="n">
        <f aca="false">IF(Matrice_OD!I85&lt;=Param!$B$2,EXP(-(Matrice_OD!I85^2)/Param!$B$5),0)</f>
        <v>0</v>
      </c>
      <c r="J85" s="0" t="n">
        <f aca="false">IF(Matrice_OD!J85&lt;=Param!$B$2,EXP(-(Matrice_OD!J85^2)/Param!$B$5),0)</f>
        <v>0</v>
      </c>
      <c r="K85" s="0" t="n">
        <f aca="false">IF(Matrice_OD!K85&lt;=Param!$B$2,EXP(-(Matrice_OD!K85^2)/Param!$B$5),0)</f>
        <v>0</v>
      </c>
      <c r="L85" s="0" t="n">
        <f aca="false">IF(Matrice_OD!L85&lt;=Param!$B$2,EXP(-(Matrice_OD!L85^2)/Param!$B$5),0)</f>
        <v>0</v>
      </c>
      <c r="M85" s="0" t="n">
        <f aca="false">IF(Matrice_OD!M85&lt;=Param!$B$2,EXP(-(Matrice_OD!M85^2)/Param!$B$5),0)</f>
        <v>0</v>
      </c>
      <c r="N85" s="0" t="n">
        <f aca="false">IF(Matrice_OD!N85&lt;=Param!$B$2,EXP(-(Matrice_OD!N85^2)/Param!$B$5),0)</f>
        <v>0</v>
      </c>
      <c r="O85" s="0" t="n">
        <f aca="false">IF(Matrice_OD!O85&lt;=Param!$B$2,EXP(-(Matrice_OD!O85^2)/Param!$B$5),0)</f>
        <v>0</v>
      </c>
      <c r="P85" s="0" t="n">
        <f aca="false">IF(Matrice_OD!P85&lt;=Param!$B$2,EXP(-(Matrice_OD!P85^2)/Param!$B$5),0)</f>
        <v>0</v>
      </c>
      <c r="Q85" s="0" t="n">
        <f aca="false">IF(Matrice_OD!Q85&lt;=Param!$B$2,EXP(-(Matrice_OD!Q85^2)/Param!$B$5),0)</f>
        <v>0</v>
      </c>
      <c r="R85" s="0" t="n">
        <f aca="false">IF(Matrice_OD!R85&lt;=Param!$B$2,EXP(-(Matrice_OD!R85^2)/Param!$B$5),0)</f>
        <v>0</v>
      </c>
      <c r="S85" s="0" t="n">
        <f aca="false">IF(Matrice_OD!S85&lt;=Param!$B$2,EXP(-(Matrice_OD!S85^2)/Param!$B$5),0)</f>
        <v>0</v>
      </c>
      <c r="T85" s="0" t="n">
        <f aca="false">IF(Matrice_OD!T85&lt;=Param!$B$2,EXP(-(Matrice_OD!T85^2)/Param!$B$5),0)</f>
        <v>0</v>
      </c>
      <c r="U85" s="0" t="n">
        <f aca="false">IF(Matrice_OD!U85&lt;=Param!$B$2,EXP(-(Matrice_OD!U85^2)/Param!$B$5),0)</f>
        <v>0</v>
      </c>
      <c r="V85" s="0" t="n">
        <f aca="false">IF(Matrice_OD!V85&lt;=Param!$B$2,EXP(-(Matrice_OD!V85^2)/Param!$B$5),0)</f>
        <v>0</v>
      </c>
      <c r="W85" s="0" t="n">
        <f aca="false">IF(Matrice_OD!W85&lt;=Param!$B$2,EXP(-(Matrice_OD!W85^2)/Param!$B$5),0)</f>
        <v>0</v>
      </c>
      <c r="X85" s="0" t="n">
        <f aca="false">IF(Matrice_OD!X85&lt;=Param!$B$2,EXP(-(Matrice_OD!X85^2)/Param!$B$5),0)</f>
        <v>0</v>
      </c>
      <c r="Y85" s="0" t="n">
        <f aca="false">IF(Matrice_OD!Y85&lt;=Param!$B$2,EXP(-(Matrice_OD!Y85^2)/Param!$B$5),0)</f>
        <v>0</v>
      </c>
      <c r="Z85" s="0" t="n">
        <f aca="false">IF(Matrice_OD!Z85&lt;=Param!$B$2,EXP(-(Matrice_OD!Z85^2)/Param!$B$5),0)</f>
        <v>0</v>
      </c>
      <c r="AA85" s="0" t="n">
        <f aca="false">IF(Matrice_OD!AA85&lt;=Param!$B$2,EXP(-(Matrice_OD!AA85^2)/Param!$B$5),0)</f>
        <v>0</v>
      </c>
      <c r="AB85" s="0" t="n">
        <f aca="false">IF(Matrice_OD!AB85&lt;=Param!$B$2,EXP(-(Matrice_OD!AB85^2)/Param!$B$5),0)</f>
        <v>0</v>
      </c>
      <c r="AC85" s="0" t="n">
        <f aca="false">IF(Matrice_OD!AC85&lt;=Param!$B$2,EXP(-(Matrice_OD!AC85^2)/Param!$B$5),0)</f>
        <v>0.526514511754221</v>
      </c>
      <c r="AD85" s="0" t="n">
        <f aca="false">IF(Matrice_OD!AD85&lt;=Param!$B$2,EXP(-(Matrice_OD!AD85^2)/Param!$B$5),0)</f>
        <v>0.534168162955648</v>
      </c>
      <c r="AE85" s="0" t="n">
        <f aca="false">IF(Matrice_OD!AE85&lt;=Param!$B$2,EXP(-(Matrice_OD!AE85^2)/Param!$B$5),0)</f>
        <v>0.54406992040569</v>
      </c>
      <c r="AF85" s="0" t="n">
        <f aca="false">IF(Matrice_OD!AF85&lt;=Param!$B$2,EXP(-(Matrice_OD!AF85^2)/Param!$B$5),0)</f>
        <v>0.542046375092272</v>
      </c>
      <c r="AG85" s="0" t="n">
        <f aca="false">IF(Matrice_OD!AG85&lt;=Param!$B$2,EXP(-(Matrice_OD!AG85^2)/Param!$B$5),0)</f>
        <v>0</v>
      </c>
      <c r="AH85" s="0" t="n">
        <f aca="false">IF(Matrice_OD!AH85&lt;=Param!$B$2,EXP(-(Matrice_OD!AH85^2)/Param!$B$5),0)</f>
        <v>0</v>
      </c>
      <c r="AI85" s="0" t="n">
        <f aca="false">IF(Matrice_OD!AI85&lt;=Param!$B$2,EXP(-(Matrice_OD!AI85^2)/Param!$B$5),0)</f>
        <v>0</v>
      </c>
      <c r="AJ85" s="0" t="n">
        <f aca="false">IF(Matrice_OD!AJ85&lt;=Param!$B$2,EXP(-(Matrice_OD!AJ85^2)/Param!$B$5),0)</f>
        <v>0</v>
      </c>
      <c r="AK85" s="0" t="n">
        <f aca="false">IF(Matrice_OD!AK85&lt;=Param!$B$2,EXP(-(Matrice_OD!AK85^2)/Param!$B$5),0)</f>
        <v>0.644836746028691</v>
      </c>
      <c r="AL85" s="0" t="n">
        <f aca="false">IF(Matrice_OD!AL85&lt;=Param!$B$2,EXP(-(Matrice_OD!AL85^2)/Param!$B$5),0)</f>
        <v>0.52430345072383</v>
      </c>
      <c r="AM85" s="0" t="n">
        <f aca="false">IF(Matrice_OD!AM85&lt;=Param!$B$2,EXP(-(Matrice_OD!AM85^2)/Param!$B$5),0)</f>
        <v>0</v>
      </c>
      <c r="AN85" s="0" t="n">
        <f aca="false">IF(Matrice_OD!AN85&lt;=Param!$B$2,EXP(-(Matrice_OD!AN85^2)/Param!$B$5),0)</f>
        <v>0</v>
      </c>
    </row>
    <row r="86" customFormat="false" ht="15" hidden="false" customHeight="true" outlineLevel="0" collapsed="false">
      <c r="A86" s="0" t="s">
        <v>270</v>
      </c>
      <c r="B86" s="0" t="s">
        <v>271</v>
      </c>
      <c r="C86" s="0" t="n">
        <f aca="false">IF(Matrice_OD!C86&lt;=Param!$B$2,EXP(-(Matrice_OD!C86^2)/Param!$B$5),0)</f>
        <v>0</v>
      </c>
      <c r="D86" s="0" t="n">
        <f aca="false">IF(Matrice_OD!D86&lt;=Param!$B$2,EXP(-(Matrice_OD!D86^2)/Param!$B$5),0)</f>
        <v>0.0237025912481686</v>
      </c>
      <c r="E86" s="0" t="n">
        <f aca="false">IF(Matrice_OD!E86&lt;=Param!$B$2,EXP(-(Matrice_OD!E86^2)/Param!$B$5),0)</f>
        <v>0.024344097515451</v>
      </c>
      <c r="F86" s="0" t="n">
        <f aca="false">IF(Matrice_OD!F86&lt;=Param!$B$2,EXP(-(Matrice_OD!F86^2)/Param!$B$5),0)</f>
        <v>0.0249548144864866</v>
      </c>
      <c r="G86" s="0" t="n">
        <f aca="false">IF(Matrice_OD!G86&lt;=Param!$B$2,EXP(-(Matrice_OD!G86^2)/Param!$B$5),0)</f>
        <v>0.0242993781984456</v>
      </c>
      <c r="H86" s="0" t="n">
        <f aca="false">IF(Matrice_OD!H86&lt;=Param!$B$2,EXP(-(Matrice_OD!H86^2)/Param!$B$5),0)</f>
        <v>0.0298248163259103</v>
      </c>
      <c r="I86" s="0" t="n">
        <f aca="false">IF(Matrice_OD!I86&lt;=Param!$B$2,EXP(-(Matrice_OD!I86^2)/Param!$B$5),0)</f>
        <v>0.0292957714118821</v>
      </c>
      <c r="J86" s="0" t="n">
        <f aca="false">IF(Matrice_OD!J86&lt;=Param!$B$2,EXP(-(Matrice_OD!J86^2)/Param!$B$5),0)</f>
        <v>0.0274822209659523</v>
      </c>
      <c r="K86" s="0" t="n">
        <f aca="false">IF(Matrice_OD!K86&lt;=Param!$B$2,EXP(-(Matrice_OD!K86^2)/Param!$B$5),0)</f>
        <v>0.0257426709194512</v>
      </c>
      <c r="L86" s="0" t="n">
        <f aca="false">IF(Matrice_OD!L86&lt;=Param!$B$2,EXP(-(Matrice_OD!L86^2)/Param!$B$5),0)</f>
        <v>0.0293483109003457</v>
      </c>
      <c r="M86" s="0" t="n">
        <f aca="false">IF(Matrice_OD!M86&lt;=Param!$B$2,EXP(-(Matrice_OD!M86^2)/Param!$B$5),0)</f>
        <v>0.0326809811465134</v>
      </c>
      <c r="N86" s="0" t="n">
        <f aca="false">IF(Matrice_OD!N86&lt;=Param!$B$2,EXP(-(Matrice_OD!N86^2)/Param!$B$5),0)</f>
        <v>0.0279326013172725</v>
      </c>
      <c r="O86" s="0" t="n">
        <f aca="false">IF(Matrice_OD!O86&lt;=Param!$B$2,EXP(-(Matrice_OD!O86^2)/Param!$B$5),0)</f>
        <v>0.0283382554673089</v>
      </c>
      <c r="P86" s="0" t="n">
        <f aca="false">IF(Matrice_OD!P86&lt;=Param!$B$2,EXP(-(Matrice_OD!P86^2)/Param!$B$5),0)</f>
        <v>0.0292957714118821</v>
      </c>
      <c r="Q86" s="0" t="n">
        <f aca="false">IF(Matrice_OD!Q86&lt;=Param!$B$2,EXP(-(Matrice_OD!Q86^2)/Param!$B$5),0)</f>
        <v>0.0295592783516052</v>
      </c>
      <c r="R86" s="0" t="n">
        <f aca="false">IF(Matrice_OD!R86&lt;=Param!$B$2,EXP(-(Matrice_OD!R86^2)/Param!$B$5),0)</f>
        <v>0.0290603416662604</v>
      </c>
      <c r="S86" s="0" t="n">
        <f aca="false">IF(Matrice_OD!S86&lt;=Param!$B$2,EXP(-(Matrice_OD!S86^2)/Param!$B$5),0)</f>
        <v>0.0275568473745439</v>
      </c>
      <c r="T86" s="0" t="n">
        <f aca="false">IF(Matrice_OD!T86&lt;=Param!$B$2,EXP(-(Matrice_OD!T86^2)/Param!$B$5),0)</f>
        <v>0.0111386787589343</v>
      </c>
      <c r="U86" s="0" t="n">
        <f aca="false">IF(Matrice_OD!U86&lt;=Param!$B$2,EXP(-(Matrice_OD!U86^2)/Param!$B$5),0)</f>
        <v>0.0108491953927966</v>
      </c>
      <c r="V86" s="0" t="n">
        <f aca="false">IF(Matrice_OD!V86&lt;=Param!$B$2,EXP(-(Matrice_OD!V86^2)/Param!$B$5),0)</f>
        <v>0</v>
      </c>
      <c r="W86" s="0" t="n">
        <f aca="false">IF(Matrice_OD!W86&lt;=Param!$B$2,EXP(-(Matrice_OD!W86^2)/Param!$B$5),0)</f>
        <v>0</v>
      </c>
      <c r="X86" s="0" t="n">
        <f aca="false">IF(Matrice_OD!X86&lt;=Param!$B$2,EXP(-(Matrice_OD!X86^2)/Param!$B$5),0)</f>
        <v>0</v>
      </c>
      <c r="Y86" s="0" t="n">
        <f aca="false">IF(Matrice_OD!Y86&lt;=Param!$B$2,EXP(-(Matrice_OD!Y86^2)/Param!$B$5),0)</f>
        <v>0</v>
      </c>
      <c r="Z86" s="0" t="n">
        <f aca="false">IF(Matrice_OD!Z86&lt;=Param!$B$2,EXP(-(Matrice_OD!Z86^2)/Param!$B$5),0)</f>
        <v>0</v>
      </c>
      <c r="AA86" s="0" t="n">
        <f aca="false">IF(Matrice_OD!AA86&lt;=Param!$B$2,EXP(-(Matrice_OD!AA86^2)/Param!$B$5),0)</f>
        <v>0</v>
      </c>
      <c r="AB86" s="0" t="n">
        <f aca="false">IF(Matrice_OD!AB86&lt;=Param!$B$2,EXP(-(Matrice_OD!AB86^2)/Param!$B$5),0)</f>
        <v>0</v>
      </c>
      <c r="AC86" s="0" t="n">
        <f aca="false">IF(Matrice_OD!AC86&lt;=Param!$B$2,EXP(-(Matrice_OD!AC86^2)/Param!$B$5),0)</f>
        <v>0.315742549284725</v>
      </c>
      <c r="AD86" s="0" t="n">
        <f aca="false">IF(Matrice_OD!AD86&lt;=Param!$B$2,EXP(-(Matrice_OD!AD86^2)/Param!$B$5),0)</f>
        <v>0.308674684091961</v>
      </c>
      <c r="AE86" s="0" t="n">
        <f aca="false">IF(Matrice_OD!AE86&lt;=Param!$B$2,EXP(-(Matrice_OD!AE86^2)/Param!$B$5),0)</f>
        <v>0.295904120187079</v>
      </c>
      <c r="AF86" s="0" t="n">
        <f aca="false">IF(Matrice_OD!AF86&lt;=Param!$B$2,EXP(-(Matrice_OD!AF86^2)/Param!$B$5),0)</f>
        <v>0.294349370331003</v>
      </c>
      <c r="AG86" s="0" t="n">
        <f aca="false">IF(Matrice_OD!AG86&lt;=Param!$B$2,EXP(-(Matrice_OD!AG86^2)/Param!$B$5),0)</f>
        <v>0</v>
      </c>
      <c r="AH86" s="0" t="n">
        <f aca="false">IF(Matrice_OD!AH86&lt;=Param!$B$2,EXP(-(Matrice_OD!AH86^2)/Param!$B$5),0)</f>
        <v>0.0316011644850712</v>
      </c>
      <c r="AI86" s="0" t="n">
        <f aca="false">IF(Matrice_OD!AI86&lt;=Param!$B$2,EXP(-(Matrice_OD!AI86^2)/Param!$B$5),0)</f>
        <v>0.0101338297766189</v>
      </c>
      <c r="AJ86" s="0" t="n">
        <f aca="false">IF(Matrice_OD!AJ86&lt;=Param!$B$2,EXP(-(Matrice_OD!AJ86^2)/Param!$B$5),0)</f>
        <v>0</v>
      </c>
      <c r="AK86" s="0" t="n">
        <f aca="false">IF(Matrice_OD!AK86&lt;=Param!$B$2,EXP(-(Matrice_OD!AK86^2)/Param!$B$5),0)</f>
        <v>0.22990583829059</v>
      </c>
      <c r="AL86" s="0" t="n">
        <f aca="false">IF(Matrice_OD!AL86&lt;=Param!$B$2,EXP(-(Matrice_OD!AL86^2)/Param!$B$5),0)</f>
        <v>0.295592783516052</v>
      </c>
      <c r="AM86" s="0" t="n">
        <f aca="false">IF(Matrice_OD!AM86&lt;=Param!$B$2,EXP(-(Matrice_OD!AM86^2)/Param!$B$5),0)</f>
        <v>0</v>
      </c>
      <c r="AN86" s="0" t="n">
        <f aca="false">IF(Matrice_OD!AN86&lt;=Param!$B$2,EXP(-(Matrice_OD!AN86^2)/Param!$B$5),0)</f>
        <v>0</v>
      </c>
    </row>
    <row r="87" customFormat="false" ht="15" hidden="false" customHeight="true" outlineLevel="0" collapsed="false">
      <c r="A87" s="0" t="s">
        <v>272</v>
      </c>
      <c r="B87" s="0" t="s">
        <v>273</v>
      </c>
      <c r="C87" s="0" t="n">
        <f aca="false">IF(Matrice_OD!C87&lt;=Param!$B$2,EXP(-(Matrice_OD!C87^2)/Param!$B$5),0)</f>
        <v>0</v>
      </c>
      <c r="D87" s="0" t="n">
        <f aca="false">IF(Matrice_OD!D87&lt;=Param!$B$2,EXP(-(Matrice_OD!D87^2)/Param!$B$5),0)</f>
        <v>0.0104275124260457</v>
      </c>
      <c r="E87" s="0" t="n">
        <f aca="false">IF(Matrice_OD!E87&lt;=Param!$B$2,EXP(-(Matrice_OD!E87^2)/Param!$B$5),0)</f>
        <v>0.0107396498840157</v>
      </c>
      <c r="F87" s="0" t="n">
        <f aca="false">IF(Matrice_OD!F87&lt;=Param!$B$2,EXP(-(Matrice_OD!F87^2)/Param!$B$5),0)</f>
        <v>0.011037705189119</v>
      </c>
      <c r="G87" s="0" t="n">
        <f aca="false">IF(Matrice_OD!G87&lt;=Param!$B$2,EXP(-(Matrice_OD!G87^2)/Param!$B$5),0)</f>
        <v>0.0107178592479592</v>
      </c>
      <c r="H87" s="0" t="n">
        <f aca="false">IF(Matrice_OD!H87&lt;=Param!$B$2,EXP(-(Matrice_OD!H87^2)/Param!$B$5),0)</f>
        <v>0.0134441219870408</v>
      </c>
      <c r="I87" s="0" t="n">
        <f aca="false">IF(Matrice_OD!I87&lt;=Param!$B$2,EXP(-(Matrice_OD!I87^2)/Param!$B$5),0)</f>
        <v>0.0131802621833828</v>
      </c>
      <c r="J87" s="0" t="n">
        <f aca="false">IF(Matrice_OD!J87&lt;=Param!$B$2,EXP(-(Matrice_OD!J87^2)/Param!$B$5),0)</f>
        <v>0.0122801795309229</v>
      </c>
      <c r="K87" s="0" t="n">
        <f aca="false">IF(Matrice_OD!K87&lt;=Param!$B$2,EXP(-(Matrice_OD!K87^2)/Param!$B$5),0)</f>
        <v>0.0114350072539781</v>
      </c>
      <c r="L87" s="0" t="n">
        <f aca="false">IF(Matrice_OD!L87&lt;=Param!$B$2,EXP(-(Matrice_OD!L87^2)/Param!$B$5),0)</f>
        <v>0.0132064404614965</v>
      </c>
      <c r="M87" s="0" t="n">
        <f aca="false">IF(Matrice_OD!M87&lt;=Param!$B$2,EXP(-(Matrice_OD!M87^2)/Param!$B$5),0)</f>
        <v>0.0148782846795592</v>
      </c>
      <c r="N87" s="0" t="n">
        <f aca="false">IF(Matrice_OD!N87&lt;=Param!$B$2,EXP(-(Matrice_OD!N87^2)/Param!$B$5),0)</f>
        <v>0.01250305874244</v>
      </c>
      <c r="O87" s="0" t="n">
        <f aca="false">IF(Matrice_OD!O87&lt;=Param!$B$2,EXP(-(Matrice_OD!O87^2)/Param!$B$5),0)</f>
        <v>0.0127041743246809</v>
      </c>
      <c r="P87" s="0" t="n">
        <f aca="false">IF(Matrice_OD!P87&lt;=Param!$B$2,EXP(-(Matrice_OD!P87^2)/Param!$B$5),0)</f>
        <v>0.0131802621833828</v>
      </c>
      <c r="Q87" s="0" t="n">
        <f aca="false">IF(Matrice_OD!Q87&lt;=Param!$B$2,EXP(-(Matrice_OD!Q87^2)/Param!$B$5),0)</f>
        <v>0.0133248126393271</v>
      </c>
      <c r="R87" s="0" t="n">
        <f aca="false">IF(Matrice_OD!R87&lt;=Param!$B$2,EXP(-(Matrice_OD!R87^2)/Param!$B$5),0)</f>
        <v>0.0130630270801934</v>
      </c>
      <c r="S87" s="0" t="n">
        <f aca="false">IF(Matrice_OD!S87&lt;=Param!$B$2,EXP(-(Matrice_OD!S87^2)/Param!$B$5),0)</f>
        <v>0.0123170797416477</v>
      </c>
      <c r="T87" s="0" t="n">
        <f aca="false">IF(Matrice_OD!T87&lt;=Param!$B$2,EXP(-(Matrice_OD!T87^2)/Param!$B$5),0)</f>
        <v>0</v>
      </c>
      <c r="U87" s="0" t="n">
        <f aca="false">IF(Matrice_OD!U87&lt;=Param!$B$2,EXP(-(Matrice_OD!U87^2)/Param!$B$5),0)</f>
        <v>0</v>
      </c>
      <c r="V87" s="0" t="n">
        <f aca="false">IF(Matrice_OD!V87&lt;=Param!$B$2,EXP(-(Matrice_OD!V87^2)/Param!$B$5),0)</f>
        <v>0</v>
      </c>
      <c r="W87" s="0" t="n">
        <f aca="false">IF(Matrice_OD!W87&lt;=Param!$B$2,EXP(-(Matrice_OD!W87^2)/Param!$B$5),0)</f>
        <v>0</v>
      </c>
      <c r="X87" s="0" t="n">
        <f aca="false">IF(Matrice_OD!X87&lt;=Param!$B$2,EXP(-(Matrice_OD!X87^2)/Param!$B$5),0)</f>
        <v>0</v>
      </c>
      <c r="Y87" s="0" t="n">
        <f aca="false">IF(Matrice_OD!Y87&lt;=Param!$B$2,EXP(-(Matrice_OD!Y87^2)/Param!$B$5),0)</f>
        <v>0</v>
      </c>
      <c r="Z87" s="0" t="n">
        <f aca="false">IF(Matrice_OD!Z87&lt;=Param!$B$2,EXP(-(Matrice_OD!Z87^2)/Param!$B$5),0)</f>
        <v>0</v>
      </c>
      <c r="AA87" s="0" t="n">
        <f aca="false">IF(Matrice_OD!AA87&lt;=Param!$B$2,EXP(-(Matrice_OD!AA87^2)/Param!$B$5),0)</f>
        <v>0</v>
      </c>
      <c r="AB87" s="0" t="n">
        <f aca="false">IF(Matrice_OD!AB87&lt;=Param!$B$2,EXP(-(Matrice_OD!AB87^2)/Param!$B$5),0)</f>
        <v>0</v>
      </c>
      <c r="AC87" s="0" t="n">
        <f aca="false">IF(Matrice_OD!AC87&lt;=Param!$B$2,EXP(-(Matrice_OD!AC87^2)/Param!$B$5),0)</f>
        <v>0.410938811449623</v>
      </c>
      <c r="AD87" s="0" t="n">
        <f aca="false">IF(Matrice_OD!AD87&lt;=Param!$B$2,EXP(-(Matrice_OD!AD87^2)/Param!$B$5),0)</f>
        <v>0.40284295941717</v>
      </c>
      <c r="AE87" s="0" t="n">
        <f aca="false">IF(Matrice_OD!AE87&lt;=Param!$B$2,EXP(-(Matrice_OD!AE87^2)/Param!$B$5),0)</f>
        <v>0.387950460401595</v>
      </c>
      <c r="AF87" s="0" t="n">
        <f aca="false">IF(Matrice_OD!AF87&lt;=Param!$B$2,EXP(-(Matrice_OD!AF87^2)/Param!$B$5),0)</f>
        <v>0.386331832268716</v>
      </c>
      <c r="AG87" s="0" t="n">
        <f aca="false">IF(Matrice_OD!AG87&lt;=Param!$B$2,EXP(-(Matrice_OD!AG87^2)/Param!$B$5),0)</f>
        <v>0</v>
      </c>
      <c r="AH87" s="0" t="n">
        <f aca="false">IF(Matrice_OD!AH87&lt;=Param!$B$2,EXP(-(Matrice_OD!AH87^2)/Param!$B$5),0)</f>
        <v>0.0143341950131531</v>
      </c>
      <c r="AI87" s="0" t="n">
        <f aca="false">IF(Matrice_OD!AI87&lt;=Param!$B$2,EXP(-(Matrice_OD!AI87^2)/Param!$B$5),0)</f>
        <v>0</v>
      </c>
      <c r="AJ87" s="0" t="n">
        <f aca="false">IF(Matrice_OD!AJ87&lt;=Param!$B$2,EXP(-(Matrice_OD!AJ87^2)/Param!$B$5),0)</f>
        <v>0</v>
      </c>
      <c r="AK87" s="0" t="n">
        <f aca="false">IF(Matrice_OD!AK87&lt;=Param!$B$2,EXP(-(Matrice_OD!AK87^2)/Param!$B$5),0)</f>
        <v>0.310272993175038</v>
      </c>
      <c r="AL87" s="0" t="n">
        <f aca="false">IF(Matrice_OD!AL87&lt;=Param!$B$2,EXP(-(Matrice_OD!AL87^2)/Param!$B$5),0)</f>
        <v>0.386331832268716</v>
      </c>
      <c r="AM87" s="0" t="n">
        <f aca="false">IF(Matrice_OD!AM87&lt;=Param!$B$2,EXP(-(Matrice_OD!AM87^2)/Param!$B$5),0)</f>
        <v>0</v>
      </c>
      <c r="AN87" s="0" t="n">
        <f aca="false">IF(Matrice_OD!AN87&lt;=Param!$B$2,EXP(-(Matrice_OD!AN87^2)/Param!$B$5),0)</f>
        <v>0</v>
      </c>
    </row>
    <row r="88" customFormat="false" ht="15" hidden="false" customHeight="true" outlineLevel="0" collapsed="false">
      <c r="A88" s="0" t="s">
        <v>274</v>
      </c>
      <c r="B88" s="0" t="s">
        <v>275</v>
      </c>
      <c r="C88" s="0" t="n">
        <f aca="false">IF(Matrice_OD!C88&lt;=Param!$B$2,EXP(-(Matrice_OD!C88^2)/Param!$B$5),0)</f>
        <v>0</v>
      </c>
      <c r="D88" s="0" t="n">
        <f aca="false">IF(Matrice_OD!D88&lt;=Param!$B$2,EXP(-(Matrice_OD!D88^2)/Param!$B$5),0)</f>
        <v>0</v>
      </c>
      <c r="E88" s="0" t="n">
        <f aca="false">IF(Matrice_OD!E88&lt;=Param!$B$2,EXP(-(Matrice_OD!E88^2)/Param!$B$5),0)</f>
        <v>0</v>
      </c>
      <c r="F88" s="0" t="n">
        <f aca="false">IF(Matrice_OD!F88&lt;=Param!$B$2,EXP(-(Matrice_OD!F88^2)/Param!$B$5),0)</f>
        <v>0</v>
      </c>
      <c r="G88" s="0" t="n">
        <f aca="false">IF(Matrice_OD!G88&lt;=Param!$B$2,EXP(-(Matrice_OD!G88^2)/Param!$B$5),0)</f>
        <v>0</v>
      </c>
      <c r="H88" s="0" t="n">
        <f aca="false">IF(Matrice_OD!H88&lt;=Param!$B$2,EXP(-(Matrice_OD!H88^2)/Param!$B$5),0)</f>
        <v>0</v>
      </c>
      <c r="I88" s="0" t="n">
        <f aca="false">IF(Matrice_OD!I88&lt;=Param!$B$2,EXP(-(Matrice_OD!I88^2)/Param!$B$5),0)</f>
        <v>0</v>
      </c>
      <c r="J88" s="0" t="n">
        <f aca="false">IF(Matrice_OD!J88&lt;=Param!$B$2,EXP(-(Matrice_OD!J88^2)/Param!$B$5),0)</f>
        <v>0</v>
      </c>
      <c r="K88" s="0" t="n">
        <f aca="false">IF(Matrice_OD!K88&lt;=Param!$B$2,EXP(-(Matrice_OD!K88^2)/Param!$B$5),0)</f>
        <v>0</v>
      </c>
      <c r="L88" s="0" t="n">
        <f aca="false">IF(Matrice_OD!L88&lt;=Param!$B$2,EXP(-(Matrice_OD!L88^2)/Param!$B$5),0)</f>
        <v>0</v>
      </c>
      <c r="M88" s="0" t="n">
        <f aca="false">IF(Matrice_OD!M88&lt;=Param!$B$2,EXP(-(Matrice_OD!M88^2)/Param!$B$5),0)</f>
        <v>0</v>
      </c>
      <c r="N88" s="0" t="n">
        <f aca="false">IF(Matrice_OD!N88&lt;=Param!$B$2,EXP(-(Matrice_OD!N88^2)/Param!$B$5),0)</f>
        <v>0</v>
      </c>
      <c r="O88" s="0" t="n">
        <f aca="false">IF(Matrice_OD!O88&lt;=Param!$B$2,EXP(-(Matrice_OD!O88^2)/Param!$B$5),0)</f>
        <v>0</v>
      </c>
      <c r="P88" s="0" t="n">
        <f aca="false">IF(Matrice_OD!P88&lt;=Param!$B$2,EXP(-(Matrice_OD!P88^2)/Param!$B$5),0)</f>
        <v>0</v>
      </c>
      <c r="Q88" s="0" t="n">
        <f aca="false">IF(Matrice_OD!Q88&lt;=Param!$B$2,EXP(-(Matrice_OD!Q88^2)/Param!$B$5),0)</f>
        <v>0</v>
      </c>
      <c r="R88" s="0" t="n">
        <f aca="false">IF(Matrice_OD!R88&lt;=Param!$B$2,EXP(-(Matrice_OD!R88^2)/Param!$B$5),0)</f>
        <v>0</v>
      </c>
      <c r="S88" s="0" t="n">
        <f aca="false">IF(Matrice_OD!S88&lt;=Param!$B$2,EXP(-(Matrice_OD!S88^2)/Param!$B$5),0)</f>
        <v>0</v>
      </c>
      <c r="T88" s="0" t="n">
        <f aca="false">IF(Matrice_OD!T88&lt;=Param!$B$2,EXP(-(Matrice_OD!T88^2)/Param!$B$5),0)</f>
        <v>0</v>
      </c>
      <c r="U88" s="0" t="n">
        <f aca="false">IF(Matrice_OD!U88&lt;=Param!$B$2,EXP(-(Matrice_OD!U88^2)/Param!$B$5),0)</f>
        <v>0</v>
      </c>
      <c r="V88" s="0" t="n">
        <f aca="false">IF(Matrice_OD!V88&lt;=Param!$B$2,EXP(-(Matrice_OD!V88^2)/Param!$B$5),0)</f>
        <v>0</v>
      </c>
      <c r="W88" s="0" t="n">
        <f aca="false">IF(Matrice_OD!W88&lt;=Param!$B$2,EXP(-(Matrice_OD!W88^2)/Param!$B$5),0)</f>
        <v>0</v>
      </c>
      <c r="X88" s="0" t="n">
        <f aca="false">IF(Matrice_OD!X88&lt;=Param!$B$2,EXP(-(Matrice_OD!X88^2)/Param!$B$5),0)</f>
        <v>0</v>
      </c>
      <c r="Y88" s="0" t="n">
        <f aca="false">IF(Matrice_OD!Y88&lt;=Param!$B$2,EXP(-(Matrice_OD!Y88^2)/Param!$B$5),0)</f>
        <v>0</v>
      </c>
      <c r="Z88" s="0" t="n">
        <f aca="false">IF(Matrice_OD!Z88&lt;=Param!$B$2,EXP(-(Matrice_OD!Z88^2)/Param!$B$5),0)</f>
        <v>0</v>
      </c>
      <c r="AA88" s="0" t="n">
        <f aca="false">IF(Matrice_OD!AA88&lt;=Param!$B$2,EXP(-(Matrice_OD!AA88^2)/Param!$B$5),0)</f>
        <v>0</v>
      </c>
      <c r="AB88" s="0" t="n">
        <f aca="false">IF(Matrice_OD!AB88&lt;=Param!$B$2,EXP(-(Matrice_OD!AB88^2)/Param!$B$5),0)</f>
        <v>0</v>
      </c>
      <c r="AC88" s="0" t="n">
        <f aca="false">IF(Matrice_OD!AC88&lt;=Param!$B$2,EXP(-(Matrice_OD!AC88^2)/Param!$B$5),0)</f>
        <v>0.19419718857838</v>
      </c>
      <c r="AD88" s="0" t="n">
        <f aca="false">IF(Matrice_OD!AD88&lt;=Param!$B$2,EXP(-(Matrice_OD!AD88^2)/Param!$B$5),0)</f>
        <v>0.189029314974907</v>
      </c>
      <c r="AE88" s="0" t="n">
        <f aca="false">IF(Matrice_OD!AE88&lt;=Param!$B$2,EXP(-(Matrice_OD!AE88^2)/Param!$B$5),0)</f>
        <v>0.179769148151526</v>
      </c>
      <c r="AF88" s="0" t="n">
        <f aca="false">IF(Matrice_OD!AF88&lt;=Param!$B$2,EXP(-(Matrice_OD!AF88^2)/Param!$B$5),0)</f>
        <v>0.17864859497507</v>
      </c>
      <c r="AG88" s="0" t="n">
        <f aca="false">IF(Matrice_OD!AG88&lt;=Param!$B$2,EXP(-(Matrice_OD!AG88^2)/Param!$B$5),0)</f>
        <v>0</v>
      </c>
      <c r="AH88" s="0" t="n">
        <f aca="false">IF(Matrice_OD!AH88&lt;=Param!$B$2,EXP(-(Matrice_OD!AH88^2)/Param!$B$5),0)</f>
        <v>0</v>
      </c>
      <c r="AI88" s="0" t="n">
        <f aca="false">IF(Matrice_OD!AI88&lt;=Param!$B$2,EXP(-(Matrice_OD!AI88^2)/Param!$B$5),0)</f>
        <v>0</v>
      </c>
      <c r="AJ88" s="0" t="n">
        <f aca="false">IF(Matrice_OD!AJ88&lt;=Param!$B$2,EXP(-(Matrice_OD!AJ88^2)/Param!$B$5),0)</f>
        <v>0</v>
      </c>
      <c r="AK88" s="0" t="n">
        <f aca="false">IF(Matrice_OD!AK88&lt;=Param!$B$2,EXP(-(Matrice_OD!AK88^2)/Param!$B$5),0)</f>
        <v>0.133527385558245</v>
      </c>
      <c r="AL88" s="0" t="n">
        <f aca="false">IF(Matrice_OD!AL88&lt;=Param!$B$2,EXP(-(Matrice_OD!AL88^2)/Param!$B$5),0)</f>
        <v>0.179096220006175</v>
      </c>
      <c r="AM88" s="0" t="n">
        <f aca="false">IF(Matrice_OD!AM88&lt;=Param!$B$2,EXP(-(Matrice_OD!AM88^2)/Param!$B$5),0)</f>
        <v>0</v>
      </c>
      <c r="AN88" s="0" t="n">
        <f aca="false">IF(Matrice_OD!AN88&lt;=Param!$B$2,EXP(-(Matrice_OD!AN88^2)/Param!$B$5),0)</f>
        <v>0</v>
      </c>
    </row>
    <row r="89" customFormat="false" ht="15" hidden="false" customHeight="true" outlineLevel="0" collapsed="false">
      <c r="A89" s="0" t="s">
        <v>276</v>
      </c>
      <c r="B89" s="0" t="s">
        <v>277</v>
      </c>
      <c r="C89" s="0" t="n">
        <f aca="false">IF(Matrice_OD!C89&lt;=Param!$B$2,EXP(-(Matrice_OD!C89^2)/Param!$B$5),0)</f>
        <v>0</v>
      </c>
      <c r="D89" s="0" t="n">
        <f aca="false">IF(Matrice_OD!D89&lt;=Param!$B$2,EXP(-(Matrice_OD!D89^2)/Param!$B$5),0)</f>
        <v>0</v>
      </c>
      <c r="E89" s="0" t="n">
        <f aca="false">IF(Matrice_OD!E89&lt;=Param!$B$2,EXP(-(Matrice_OD!E89^2)/Param!$B$5),0)</f>
        <v>0</v>
      </c>
      <c r="F89" s="0" t="n">
        <f aca="false">IF(Matrice_OD!F89&lt;=Param!$B$2,EXP(-(Matrice_OD!F89^2)/Param!$B$5),0)</f>
        <v>0</v>
      </c>
      <c r="G89" s="0" t="n">
        <f aca="false">IF(Matrice_OD!G89&lt;=Param!$B$2,EXP(-(Matrice_OD!G89^2)/Param!$B$5),0)</f>
        <v>0</v>
      </c>
      <c r="H89" s="0" t="n">
        <f aca="false">IF(Matrice_OD!H89&lt;=Param!$B$2,EXP(-(Matrice_OD!H89^2)/Param!$B$5),0)</f>
        <v>0</v>
      </c>
      <c r="I89" s="0" t="n">
        <f aca="false">IF(Matrice_OD!I89&lt;=Param!$B$2,EXP(-(Matrice_OD!I89^2)/Param!$B$5),0)</f>
        <v>0</v>
      </c>
      <c r="J89" s="0" t="n">
        <f aca="false">IF(Matrice_OD!J89&lt;=Param!$B$2,EXP(-(Matrice_OD!J89^2)/Param!$B$5),0)</f>
        <v>0</v>
      </c>
      <c r="K89" s="0" t="n">
        <f aca="false">IF(Matrice_OD!K89&lt;=Param!$B$2,EXP(-(Matrice_OD!K89^2)/Param!$B$5),0)</f>
        <v>0</v>
      </c>
      <c r="L89" s="0" t="n">
        <f aca="false">IF(Matrice_OD!L89&lt;=Param!$B$2,EXP(-(Matrice_OD!L89^2)/Param!$B$5),0)</f>
        <v>0</v>
      </c>
      <c r="M89" s="0" t="n">
        <f aca="false">IF(Matrice_OD!M89&lt;=Param!$B$2,EXP(-(Matrice_OD!M89^2)/Param!$B$5),0)</f>
        <v>0</v>
      </c>
      <c r="N89" s="0" t="n">
        <f aca="false">IF(Matrice_OD!N89&lt;=Param!$B$2,EXP(-(Matrice_OD!N89^2)/Param!$B$5),0)</f>
        <v>0</v>
      </c>
      <c r="O89" s="0" t="n">
        <f aca="false">IF(Matrice_OD!O89&lt;=Param!$B$2,EXP(-(Matrice_OD!O89^2)/Param!$B$5),0)</f>
        <v>0</v>
      </c>
      <c r="P89" s="0" t="n">
        <f aca="false">IF(Matrice_OD!P89&lt;=Param!$B$2,EXP(-(Matrice_OD!P89^2)/Param!$B$5),0)</f>
        <v>0</v>
      </c>
      <c r="Q89" s="0" t="n">
        <f aca="false">IF(Matrice_OD!Q89&lt;=Param!$B$2,EXP(-(Matrice_OD!Q89^2)/Param!$B$5),0)</f>
        <v>0</v>
      </c>
      <c r="R89" s="0" t="n">
        <f aca="false">IF(Matrice_OD!R89&lt;=Param!$B$2,EXP(-(Matrice_OD!R89^2)/Param!$B$5),0)</f>
        <v>0</v>
      </c>
      <c r="S89" s="0" t="n">
        <f aca="false">IF(Matrice_OD!S89&lt;=Param!$B$2,EXP(-(Matrice_OD!S89^2)/Param!$B$5),0)</f>
        <v>0</v>
      </c>
      <c r="T89" s="0" t="n">
        <f aca="false">IF(Matrice_OD!T89&lt;=Param!$B$2,EXP(-(Matrice_OD!T89^2)/Param!$B$5),0)</f>
        <v>0</v>
      </c>
      <c r="U89" s="0" t="n">
        <f aca="false">IF(Matrice_OD!U89&lt;=Param!$B$2,EXP(-(Matrice_OD!U89^2)/Param!$B$5),0)</f>
        <v>0</v>
      </c>
      <c r="V89" s="0" t="n">
        <f aca="false">IF(Matrice_OD!V89&lt;=Param!$B$2,EXP(-(Matrice_OD!V89^2)/Param!$B$5),0)</f>
        <v>0</v>
      </c>
      <c r="W89" s="0" t="n">
        <f aca="false">IF(Matrice_OD!W89&lt;=Param!$B$2,EXP(-(Matrice_OD!W89^2)/Param!$B$5),0)</f>
        <v>0</v>
      </c>
      <c r="X89" s="0" t="n">
        <f aca="false">IF(Matrice_OD!X89&lt;=Param!$B$2,EXP(-(Matrice_OD!X89^2)/Param!$B$5),0)</f>
        <v>0</v>
      </c>
      <c r="Y89" s="0" t="n">
        <f aca="false">IF(Matrice_OD!Y89&lt;=Param!$B$2,EXP(-(Matrice_OD!Y89^2)/Param!$B$5),0)</f>
        <v>0</v>
      </c>
      <c r="Z89" s="0" t="n">
        <f aca="false">IF(Matrice_OD!Z89&lt;=Param!$B$2,EXP(-(Matrice_OD!Z89^2)/Param!$B$5),0)</f>
        <v>0</v>
      </c>
      <c r="AA89" s="0" t="n">
        <f aca="false">IF(Matrice_OD!AA89&lt;=Param!$B$2,EXP(-(Matrice_OD!AA89^2)/Param!$B$5),0)</f>
        <v>0</v>
      </c>
      <c r="AB89" s="0" t="n">
        <f aca="false">IF(Matrice_OD!AB89&lt;=Param!$B$2,EXP(-(Matrice_OD!AB89^2)/Param!$B$5),0)</f>
        <v>0</v>
      </c>
      <c r="AC89" s="0" t="n">
        <f aca="false">IF(Matrice_OD!AC89&lt;=Param!$B$2,EXP(-(Matrice_OD!AC89^2)/Param!$B$5),0)</f>
        <v>0.0337921463791987</v>
      </c>
      <c r="AD89" s="0" t="n">
        <f aca="false">IF(Matrice_OD!AD89&lt;=Param!$B$2,EXP(-(Matrice_OD!AD89^2)/Param!$B$5),0)</f>
        <v>0.0325371238552444</v>
      </c>
      <c r="AE89" s="0" t="n">
        <f aca="false">IF(Matrice_OD!AE89&lt;=Param!$B$2,EXP(-(Matrice_OD!AE89^2)/Param!$B$5),0)</f>
        <v>0.0302539320512935</v>
      </c>
      <c r="AF89" s="0" t="n">
        <f aca="false">IF(Matrice_OD!AF89&lt;=Param!$B$2,EXP(-(Matrice_OD!AF89^2)/Param!$B$5),0)</f>
        <v>0.0300119078939981</v>
      </c>
      <c r="AG89" s="0" t="n">
        <f aca="false">IF(Matrice_OD!AG89&lt;=Param!$B$2,EXP(-(Matrice_OD!AG89^2)/Param!$B$5),0)</f>
        <v>0</v>
      </c>
      <c r="AH89" s="0" t="n">
        <f aca="false">IF(Matrice_OD!AH89&lt;=Param!$B$2,EXP(-(Matrice_OD!AH89^2)/Param!$B$5),0)</f>
        <v>0</v>
      </c>
      <c r="AI89" s="0" t="n">
        <f aca="false">IF(Matrice_OD!AI89&lt;=Param!$B$2,EXP(-(Matrice_OD!AI89^2)/Param!$B$5),0)</f>
        <v>0</v>
      </c>
      <c r="AJ89" s="0" t="n">
        <f aca="false">IF(Matrice_OD!AJ89&lt;=Param!$B$2,EXP(-(Matrice_OD!AJ89^2)/Param!$B$5),0)</f>
        <v>0</v>
      </c>
      <c r="AK89" s="0" t="n">
        <f aca="false">IF(Matrice_OD!AK89&lt;=Param!$B$2,EXP(-(Matrice_OD!AK89^2)/Param!$B$5),0)</f>
        <v>0.0199072992861566</v>
      </c>
      <c r="AL89" s="0" t="n">
        <f aca="false">IF(Matrice_OD!AL89&lt;=Param!$B$2,EXP(-(Matrice_OD!AL89^2)/Param!$B$5),0)</f>
        <v>0.0300923975142178</v>
      </c>
      <c r="AM89" s="0" t="n">
        <f aca="false">IF(Matrice_OD!AM89&lt;=Param!$B$2,EXP(-(Matrice_OD!AM89^2)/Param!$B$5),0)</f>
        <v>0</v>
      </c>
      <c r="AN89" s="0" t="n">
        <f aca="false">IF(Matrice_OD!AN89&lt;=Param!$B$2,EXP(-(Matrice_OD!AN89^2)/Param!$B$5),0)</f>
        <v>0</v>
      </c>
    </row>
    <row r="90" customFormat="false" ht="15" hidden="false" customHeight="true" outlineLevel="0" collapsed="false">
      <c r="A90" s="0" t="s">
        <v>278</v>
      </c>
      <c r="B90" s="0" t="s">
        <v>279</v>
      </c>
      <c r="C90" s="0" t="n">
        <f aca="false">IF(Matrice_OD!C90&lt;=Param!$B$2,EXP(-(Matrice_OD!C90^2)/Param!$B$5),0)</f>
        <v>0</v>
      </c>
      <c r="D90" s="0" t="n">
        <f aca="false">IF(Matrice_OD!D90&lt;=Param!$B$2,EXP(-(Matrice_OD!D90^2)/Param!$B$5),0)</f>
        <v>0</v>
      </c>
      <c r="E90" s="0" t="n">
        <f aca="false">IF(Matrice_OD!E90&lt;=Param!$B$2,EXP(-(Matrice_OD!E90^2)/Param!$B$5),0)</f>
        <v>0</v>
      </c>
      <c r="F90" s="0" t="n">
        <f aca="false">IF(Matrice_OD!F90&lt;=Param!$B$2,EXP(-(Matrice_OD!F90^2)/Param!$B$5),0)</f>
        <v>0</v>
      </c>
      <c r="G90" s="0" t="n">
        <f aca="false">IF(Matrice_OD!G90&lt;=Param!$B$2,EXP(-(Matrice_OD!G90^2)/Param!$B$5),0)</f>
        <v>0</v>
      </c>
      <c r="H90" s="0" t="n">
        <f aca="false">IF(Matrice_OD!H90&lt;=Param!$B$2,EXP(-(Matrice_OD!H90^2)/Param!$B$5),0)</f>
        <v>0</v>
      </c>
      <c r="I90" s="0" t="n">
        <f aca="false">IF(Matrice_OD!I90&lt;=Param!$B$2,EXP(-(Matrice_OD!I90^2)/Param!$B$5),0)</f>
        <v>0</v>
      </c>
      <c r="J90" s="0" t="n">
        <f aca="false">IF(Matrice_OD!J90&lt;=Param!$B$2,EXP(-(Matrice_OD!J90^2)/Param!$B$5),0)</f>
        <v>0</v>
      </c>
      <c r="K90" s="0" t="n">
        <f aca="false">IF(Matrice_OD!K90&lt;=Param!$B$2,EXP(-(Matrice_OD!K90^2)/Param!$B$5),0)</f>
        <v>0</v>
      </c>
      <c r="L90" s="0" t="n">
        <f aca="false">IF(Matrice_OD!L90&lt;=Param!$B$2,EXP(-(Matrice_OD!L90^2)/Param!$B$5),0)</f>
        <v>0</v>
      </c>
      <c r="M90" s="0" t="n">
        <f aca="false">IF(Matrice_OD!M90&lt;=Param!$B$2,EXP(-(Matrice_OD!M90^2)/Param!$B$5),0)</f>
        <v>0</v>
      </c>
      <c r="N90" s="0" t="n">
        <f aca="false">IF(Matrice_OD!N90&lt;=Param!$B$2,EXP(-(Matrice_OD!N90^2)/Param!$B$5),0)</f>
        <v>0</v>
      </c>
      <c r="O90" s="0" t="n">
        <f aca="false">IF(Matrice_OD!O90&lt;=Param!$B$2,EXP(-(Matrice_OD!O90^2)/Param!$B$5),0)</f>
        <v>0</v>
      </c>
      <c r="P90" s="0" t="n">
        <f aca="false">IF(Matrice_OD!P90&lt;=Param!$B$2,EXP(-(Matrice_OD!P90^2)/Param!$B$5),0)</f>
        <v>0</v>
      </c>
      <c r="Q90" s="0" t="n">
        <f aca="false">IF(Matrice_OD!Q90&lt;=Param!$B$2,EXP(-(Matrice_OD!Q90^2)/Param!$B$5),0)</f>
        <v>0</v>
      </c>
      <c r="R90" s="0" t="n">
        <f aca="false">IF(Matrice_OD!R90&lt;=Param!$B$2,EXP(-(Matrice_OD!R90^2)/Param!$B$5),0)</f>
        <v>0</v>
      </c>
      <c r="S90" s="0" t="n">
        <f aca="false">IF(Matrice_OD!S90&lt;=Param!$B$2,EXP(-(Matrice_OD!S90^2)/Param!$B$5),0)</f>
        <v>0</v>
      </c>
      <c r="T90" s="0" t="n">
        <f aca="false">IF(Matrice_OD!T90&lt;=Param!$B$2,EXP(-(Matrice_OD!T90^2)/Param!$B$5),0)</f>
        <v>0</v>
      </c>
      <c r="U90" s="0" t="n">
        <f aca="false">IF(Matrice_OD!U90&lt;=Param!$B$2,EXP(-(Matrice_OD!U90^2)/Param!$B$5),0)</f>
        <v>0</v>
      </c>
      <c r="V90" s="0" t="n">
        <f aca="false">IF(Matrice_OD!V90&lt;=Param!$B$2,EXP(-(Matrice_OD!V90^2)/Param!$B$5),0)</f>
        <v>0</v>
      </c>
      <c r="W90" s="0" t="n">
        <f aca="false">IF(Matrice_OD!W90&lt;=Param!$B$2,EXP(-(Matrice_OD!W90^2)/Param!$B$5),0)</f>
        <v>0</v>
      </c>
      <c r="X90" s="0" t="n">
        <f aca="false">IF(Matrice_OD!X90&lt;=Param!$B$2,EXP(-(Matrice_OD!X90^2)/Param!$B$5),0)</f>
        <v>0</v>
      </c>
      <c r="Y90" s="0" t="n">
        <f aca="false">IF(Matrice_OD!Y90&lt;=Param!$B$2,EXP(-(Matrice_OD!Y90^2)/Param!$B$5),0)</f>
        <v>0</v>
      </c>
      <c r="Z90" s="0" t="n">
        <f aca="false">IF(Matrice_OD!Z90&lt;=Param!$B$2,EXP(-(Matrice_OD!Z90^2)/Param!$B$5),0)</f>
        <v>0</v>
      </c>
      <c r="AA90" s="0" t="n">
        <f aca="false">IF(Matrice_OD!AA90&lt;=Param!$B$2,EXP(-(Matrice_OD!AA90^2)/Param!$B$5),0)</f>
        <v>0</v>
      </c>
      <c r="AB90" s="0" t="n">
        <f aca="false">IF(Matrice_OD!AB90&lt;=Param!$B$2,EXP(-(Matrice_OD!AB90^2)/Param!$B$5),0)</f>
        <v>0</v>
      </c>
      <c r="AC90" s="0" t="n">
        <f aca="false">IF(Matrice_OD!AC90&lt;=Param!$B$2,EXP(-(Matrice_OD!AC90^2)/Param!$B$5),0)</f>
        <v>0.0719329713230776</v>
      </c>
      <c r="AD90" s="0" t="n">
        <f aca="false">IF(Matrice_OD!AD90&lt;=Param!$B$2,EXP(-(Matrice_OD!AD90^2)/Param!$B$5),0)</f>
        <v>0.0695719771549819</v>
      </c>
      <c r="AE90" s="0" t="n">
        <f aca="false">IF(Matrice_OD!AE90&lt;=Param!$B$2,EXP(-(Matrice_OD!AE90^2)/Param!$B$5),0)</f>
        <v>0.0652442431447094</v>
      </c>
      <c r="AF90" s="0" t="n">
        <f aca="false">IF(Matrice_OD!AF90&lt;=Param!$B$2,EXP(-(Matrice_OD!AF90^2)/Param!$B$5),0)</f>
        <v>0.0647318471548883</v>
      </c>
      <c r="AG90" s="0" t="n">
        <f aca="false">IF(Matrice_OD!AG90&lt;=Param!$B$2,EXP(-(Matrice_OD!AG90^2)/Param!$B$5),0)</f>
        <v>0</v>
      </c>
      <c r="AH90" s="0" t="n">
        <f aca="false">IF(Matrice_OD!AH90&lt;=Param!$B$2,EXP(-(Matrice_OD!AH90^2)/Param!$B$5),0)</f>
        <v>0</v>
      </c>
      <c r="AI90" s="0" t="n">
        <f aca="false">IF(Matrice_OD!AI90&lt;=Param!$B$2,EXP(-(Matrice_OD!AI90^2)/Param!$B$5),0)</f>
        <v>0</v>
      </c>
      <c r="AJ90" s="0" t="n">
        <f aca="false">IF(Matrice_OD!AJ90&lt;=Param!$B$2,EXP(-(Matrice_OD!AJ90^2)/Param!$B$5),0)</f>
        <v>0</v>
      </c>
      <c r="AK90" s="0" t="n">
        <f aca="false">IF(Matrice_OD!AK90&lt;=Param!$B$2,EXP(-(Matrice_OD!AK90^2)/Param!$B$5),0)</f>
        <v>0.0450170633228417</v>
      </c>
      <c r="AL90" s="0" t="n">
        <f aca="false">IF(Matrice_OD!AL90&lt;=Param!$B$2,EXP(-(Matrice_OD!AL90^2)/Param!$B$5),0)</f>
        <v>0.0651928549134065</v>
      </c>
      <c r="AM90" s="0" t="n">
        <f aca="false">IF(Matrice_OD!AM90&lt;=Param!$B$2,EXP(-(Matrice_OD!AM90^2)/Param!$B$5),0)</f>
        <v>0</v>
      </c>
      <c r="AN90" s="0" t="n">
        <f aca="false">IF(Matrice_OD!AN90&lt;=Param!$B$2,EXP(-(Matrice_OD!AN90^2)/Param!$B$5),0)</f>
        <v>0</v>
      </c>
    </row>
    <row r="91" customFormat="false" ht="15" hidden="false" customHeight="true" outlineLevel="0" collapsed="false">
      <c r="A91" s="0" t="s">
        <v>280</v>
      </c>
      <c r="B91" s="0" t="s">
        <v>281</v>
      </c>
      <c r="C91" s="0" t="n">
        <f aca="false">IF(Matrice_OD!C91&lt;=Param!$B$2,EXP(-(Matrice_OD!C91^2)/Param!$B$5),0)</f>
        <v>0</v>
      </c>
      <c r="D91" s="0" t="n">
        <f aca="false">IF(Matrice_OD!D91&lt;=Param!$B$2,EXP(-(Matrice_OD!D91^2)/Param!$B$5),0)</f>
        <v>0</v>
      </c>
      <c r="E91" s="0" t="n">
        <f aca="false">IF(Matrice_OD!E91&lt;=Param!$B$2,EXP(-(Matrice_OD!E91^2)/Param!$B$5),0)</f>
        <v>0</v>
      </c>
      <c r="F91" s="0" t="n">
        <f aca="false">IF(Matrice_OD!F91&lt;=Param!$B$2,EXP(-(Matrice_OD!F91^2)/Param!$B$5),0)</f>
        <v>0</v>
      </c>
      <c r="G91" s="0" t="n">
        <f aca="false">IF(Matrice_OD!G91&lt;=Param!$B$2,EXP(-(Matrice_OD!G91^2)/Param!$B$5),0)</f>
        <v>0</v>
      </c>
      <c r="H91" s="0" t="n">
        <f aca="false">IF(Matrice_OD!H91&lt;=Param!$B$2,EXP(-(Matrice_OD!H91^2)/Param!$B$5),0)</f>
        <v>0</v>
      </c>
      <c r="I91" s="0" t="n">
        <f aca="false">IF(Matrice_OD!I91&lt;=Param!$B$2,EXP(-(Matrice_OD!I91^2)/Param!$B$5),0)</f>
        <v>0</v>
      </c>
      <c r="J91" s="0" t="n">
        <f aca="false">IF(Matrice_OD!J91&lt;=Param!$B$2,EXP(-(Matrice_OD!J91^2)/Param!$B$5),0)</f>
        <v>0</v>
      </c>
      <c r="K91" s="0" t="n">
        <f aca="false">IF(Matrice_OD!K91&lt;=Param!$B$2,EXP(-(Matrice_OD!K91^2)/Param!$B$5),0)</f>
        <v>0</v>
      </c>
      <c r="L91" s="0" t="n">
        <f aca="false">IF(Matrice_OD!L91&lt;=Param!$B$2,EXP(-(Matrice_OD!L91^2)/Param!$B$5),0)</f>
        <v>0</v>
      </c>
      <c r="M91" s="0" t="n">
        <f aca="false">IF(Matrice_OD!M91&lt;=Param!$B$2,EXP(-(Matrice_OD!M91^2)/Param!$B$5),0)</f>
        <v>0</v>
      </c>
      <c r="N91" s="0" t="n">
        <f aca="false">IF(Matrice_OD!N91&lt;=Param!$B$2,EXP(-(Matrice_OD!N91^2)/Param!$B$5),0)</f>
        <v>0</v>
      </c>
      <c r="O91" s="0" t="n">
        <f aca="false">IF(Matrice_OD!O91&lt;=Param!$B$2,EXP(-(Matrice_OD!O91^2)/Param!$B$5),0)</f>
        <v>0</v>
      </c>
      <c r="P91" s="0" t="n">
        <f aca="false">IF(Matrice_OD!P91&lt;=Param!$B$2,EXP(-(Matrice_OD!P91^2)/Param!$B$5),0)</f>
        <v>0</v>
      </c>
      <c r="Q91" s="0" t="n">
        <f aca="false">IF(Matrice_OD!Q91&lt;=Param!$B$2,EXP(-(Matrice_OD!Q91^2)/Param!$B$5),0)</f>
        <v>0</v>
      </c>
      <c r="R91" s="0" t="n">
        <f aca="false">IF(Matrice_OD!R91&lt;=Param!$B$2,EXP(-(Matrice_OD!R91^2)/Param!$B$5),0)</f>
        <v>0</v>
      </c>
      <c r="S91" s="0" t="n">
        <f aca="false">IF(Matrice_OD!S91&lt;=Param!$B$2,EXP(-(Matrice_OD!S91^2)/Param!$B$5),0)</f>
        <v>0</v>
      </c>
      <c r="T91" s="0" t="n">
        <f aca="false">IF(Matrice_OD!T91&lt;=Param!$B$2,EXP(-(Matrice_OD!T91^2)/Param!$B$5),0)</f>
        <v>0</v>
      </c>
      <c r="U91" s="0" t="n">
        <f aca="false">IF(Matrice_OD!U91&lt;=Param!$B$2,EXP(-(Matrice_OD!U91^2)/Param!$B$5),0)</f>
        <v>0</v>
      </c>
      <c r="V91" s="0" t="n">
        <f aca="false">IF(Matrice_OD!V91&lt;=Param!$B$2,EXP(-(Matrice_OD!V91^2)/Param!$B$5),0)</f>
        <v>0</v>
      </c>
      <c r="W91" s="0" t="n">
        <f aca="false">IF(Matrice_OD!W91&lt;=Param!$B$2,EXP(-(Matrice_OD!W91^2)/Param!$B$5),0)</f>
        <v>0</v>
      </c>
      <c r="X91" s="0" t="n">
        <f aca="false">IF(Matrice_OD!X91&lt;=Param!$B$2,EXP(-(Matrice_OD!X91^2)/Param!$B$5),0)</f>
        <v>0</v>
      </c>
      <c r="Y91" s="0" t="n">
        <f aca="false">IF(Matrice_OD!Y91&lt;=Param!$B$2,EXP(-(Matrice_OD!Y91^2)/Param!$B$5),0)</f>
        <v>0</v>
      </c>
      <c r="Z91" s="0" t="n">
        <f aca="false">IF(Matrice_OD!Z91&lt;=Param!$B$2,EXP(-(Matrice_OD!Z91^2)/Param!$B$5),0)</f>
        <v>0</v>
      </c>
      <c r="AA91" s="0" t="n">
        <f aca="false">IF(Matrice_OD!AA91&lt;=Param!$B$2,EXP(-(Matrice_OD!AA91^2)/Param!$B$5),0)</f>
        <v>0</v>
      </c>
      <c r="AB91" s="0" t="n">
        <f aca="false">IF(Matrice_OD!AB91&lt;=Param!$B$2,EXP(-(Matrice_OD!AB91^2)/Param!$B$5),0)</f>
        <v>0</v>
      </c>
      <c r="AC91" s="0" t="n">
        <f aca="false">IF(Matrice_OD!AC91&lt;=Param!$B$2,EXP(-(Matrice_OD!AC91^2)/Param!$B$5),0)</f>
        <v>0.0974895352419122</v>
      </c>
      <c r="AD91" s="0" t="n">
        <f aca="false">IF(Matrice_OD!AD91&lt;=Param!$B$2,EXP(-(Matrice_OD!AD91^2)/Param!$B$5),0)</f>
        <v>0.0944766195943819</v>
      </c>
      <c r="AE91" s="0" t="n">
        <f aca="false">IF(Matrice_OD!AE91&lt;=Param!$B$2,EXP(-(Matrice_OD!AE91^2)/Param!$B$5),0)</f>
        <v>0.0889348951791607</v>
      </c>
      <c r="AF91" s="0" t="n">
        <f aca="false">IF(Matrice_OD!AF91&lt;=Param!$B$2,EXP(-(Matrice_OD!AF91^2)/Param!$B$5),0)</f>
        <v>0.0883426946289972</v>
      </c>
      <c r="AG91" s="0" t="n">
        <f aca="false">IF(Matrice_OD!AG91&lt;=Param!$B$2,EXP(-(Matrice_OD!AG91^2)/Param!$B$5),0)</f>
        <v>0</v>
      </c>
      <c r="AH91" s="0" t="n">
        <f aca="false">IF(Matrice_OD!AH91&lt;=Param!$B$2,EXP(-(Matrice_OD!AH91^2)/Param!$B$5),0)</f>
        <v>0</v>
      </c>
      <c r="AI91" s="0" t="n">
        <f aca="false">IF(Matrice_OD!AI91&lt;=Param!$B$2,EXP(-(Matrice_OD!AI91^2)/Param!$B$5),0)</f>
        <v>0</v>
      </c>
      <c r="AJ91" s="0" t="n">
        <f aca="false">IF(Matrice_OD!AJ91&lt;=Param!$B$2,EXP(-(Matrice_OD!AJ91^2)/Param!$B$5),0)</f>
        <v>0</v>
      </c>
      <c r="AK91" s="0" t="n">
        <f aca="false">IF(Matrice_OD!AK91&lt;=Param!$B$2,EXP(-(Matrice_OD!AK91^2)/Param!$B$5),0)</f>
        <v>0.062665305392043</v>
      </c>
      <c r="AL91" s="0" t="n">
        <f aca="false">IF(Matrice_OD!AL91&lt;=Param!$B$2,EXP(-(Matrice_OD!AL91^2)/Param!$B$5),0)</f>
        <v>0.088539745969518</v>
      </c>
      <c r="AM91" s="0" t="n">
        <f aca="false">IF(Matrice_OD!AM91&lt;=Param!$B$2,EXP(-(Matrice_OD!AM91^2)/Param!$B$5),0)</f>
        <v>0</v>
      </c>
      <c r="AN91" s="0" t="n">
        <f aca="false">IF(Matrice_OD!AN91&lt;=Param!$B$2,EXP(-(Matrice_OD!AN91^2)/Param!$B$5),0)</f>
        <v>0</v>
      </c>
    </row>
    <row r="92" customFormat="false" ht="15" hidden="false" customHeight="true" outlineLevel="0" collapsed="false">
      <c r="A92" s="0" t="s">
        <v>282</v>
      </c>
      <c r="B92" s="0" t="s">
        <v>283</v>
      </c>
      <c r="C92" s="0" t="n">
        <f aca="false">IF(Matrice_OD!C92&lt;=Param!$B$2,EXP(-(Matrice_OD!C92^2)/Param!$B$5),0)</f>
        <v>0</v>
      </c>
      <c r="D92" s="0" t="n">
        <f aca="false">IF(Matrice_OD!D92&lt;=Param!$B$2,EXP(-(Matrice_OD!D92^2)/Param!$B$5),0)</f>
        <v>0</v>
      </c>
      <c r="E92" s="0" t="n">
        <f aca="false">IF(Matrice_OD!E92&lt;=Param!$B$2,EXP(-(Matrice_OD!E92^2)/Param!$B$5),0)</f>
        <v>0</v>
      </c>
      <c r="F92" s="0" t="n">
        <f aca="false">IF(Matrice_OD!F92&lt;=Param!$B$2,EXP(-(Matrice_OD!F92^2)/Param!$B$5),0)</f>
        <v>0</v>
      </c>
      <c r="G92" s="0" t="n">
        <f aca="false">IF(Matrice_OD!G92&lt;=Param!$B$2,EXP(-(Matrice_OD!G92^2)/Param!$B$5),0)</f>
        <v>0</v>
      </c>
      <c r="H92" s="0" t="n">
        <f aca="false">IF(Matrice_OD!H92&lt;=Param!$B$2,EXP(-(Matrice_OD!H92^2)/Param!$B$5),0)</f>
        <v>0</v>
      </c>
      <c r="I92" s="0" t="n">
        <f aca="false">IF(Matrice_OD!I92&lt;=Param!$B$2,EXP(-(Matrice_OD!I92^2)/Param!$B$5),0)</f>
        <v>0</v>
      </c>
      <c r="J92" s="0" t="n">
        <f aca="false">IF(Matrice_OD!J92&lt;=Param!$B$2,EXP(-(Matrice_OD!J92^2)/Param!$B$5),0)</f>
        <v>0</v>
      </c>
      <c r="K92" s="0" t="n">
        <f aca="false">IF(Matrice_OD!K92&lt;=Param!$B$2,EXP(-(Matrice_OD!K92^2)/Param!$B$5),0)</f>
        <v>0</v>
      </c>
      <c r="L92" s="0" t="n">
        <f aca="false">IF(Matrice_OD!L92&lt;=Param!$B$2,EXP(-(Matrice_OD!L92^2)/Param!$B$5),0)</f>
        <v>0</v>
      </c>
      <c r="M92" s="0" t="n">
        <f aca="false">IF(Matrice_OD!M92&lt;=Param!$B$2,EXP(-(Matrice_OD!M92^2)/Param!$B$5),0)</f>
        <v>0</v>
      </c>
      <c r="N92" s="0" t="n">
        <f aca="false">IF(Matrice_OD!N92&lt;=Param!$B$2,EXP(-(Matrice_OD!N92^2)/Param!$B$5),0)</f>
        <v>0</v>
      </c>
      <c r="O92" s="0" t="n">
        <f aca="false">IF(Matrice_OD!O92&lt;=Param!$B$2,EXP(-(Matrice_OD!O92^2)/Param!$B$5),0)</f>
        <v>0</v>
      </c>
      <c r="P92" s="0" t="n">
        <f aca="false">IF(Matrice_OD!P92&lt;=Param!$B$2,EXP(-(Matrice_OD!P92^2)/Param!$B$5),0)</f>
        <v>0</v>
      </c>
      <c r="Q92" s="0" t="n">
        <f aca="false">IF(Matrice_OD!Q92&lt;=Param!$B$2,EXP(-(Matrice_OD!Q92^2)/Param!$B$5),0)</f>
        <v>0</v>
      </c>
      <c r="R92" s="0" t="n">
        <f aca="false">IF(Matrice_OD!R92&lt;=Param!$B$2,EXP(-(Matrice_OD!R92^2)/Param!$B$5),0)</f>
        <v>0</v>
      </c>
      <c r="S92" s="0" t="n">
        <f aca="false">IF(Matrice_OD!S92&lt;=Param!$B$2,EXP(-(Matrice_OD!S92^2)/Param!$B$5),0)</f>
        <v>0</v>
      </c>
      <c r="T92" s="0" t="n">
        <f aca="false">IF(Matrice_OD!T92&lt;=Param!$B$2,EXP(-(Matrice_OD!T92^2)/Param!$B$5),0)</f>
        <v>0</v>
      </c>
      <c r="U92" s="0" t="n">
        <f aca="false">IF(Matrice_OD!U92&lt;=Param!$B$2,EXP(-(Matrice_OD!U92^2)/Param!$B$5),0)</f>
        <v>0</v>
      </c>
      <c r="V92" s="0" t="n">
        <f aca="false">IF(Matrice_OD!V92&lt;=Param!$B$2,EXP(-(Matrice_OD!V92^2)/Param!$B$5),0)</f>
        <v>0</v>
      </c>
      <c r="W92" s="0" t="n">
        <f aca="false">IF(Matrice_OD!W92&lt;=Param!$B$2,EXP(-(Matrice_OD!W92^2)/Param!$B$5),0)</f>
        <v>0</v>
      </c>
      <c r="X92" s="0" t="n">
        <f aca="false">IF(Matrice_OD!X92&lt;=Param!$B$2,EXP(-(Matrice_OD!X92^2)/Param!$B$5),0)</f>
        <v>0</v>
      </c>
      <c r="Y92" s="0" t="n">
        <f aca="false">IF(Matrice_OD!Y92&lt;=Param!$B$2,EXP(-(Matrice_OD!Y92^2)/Param!$B$5),0)</f>
        <v>0</v>
      </c>
      <c r="Z92" s="0" t="n">
        <f aca="false">IF(Matrice_OD!Z92&lt;=Param!$B$2,EXP(-(Matrice_OD!Z92^2)/Param!$B$5),0)</f>
        <v>0</v>
      </c>
      <c r="AA92" s="0" t="n">
        <f aca="false">IF(Matrice_OD!AA92&lt;=Param!$B$2,EXP(-(Matrice_OD!AA92^2)/Param!$B$5),0)</f>
        <v>0</v>
      </c>
      <c r="AB92" s="0" t="n">
        <f aca="false">IF(Matrice_OD!AB92&lt;=Param!$B$2,EXP(-(Matrice_OD!AB92^2)/Param!$B$5),0)</f>
        <v>0</v>
      </c>
      <c r="AC92" s="0" t="n">
        <f aca="false">IF(Matrice_OD!AC92&lt;=Param!$B$2,EXP(-(Matrice_OD!AC92^2)/Param!$B$5),0)</f>
        <v>0.1257528973502</v>
      </c>
      <c r="AD92" s="0" t="n">
        <f aca="false">IF(Matrice_OD!AD92&lt;=Param!$B$2,EXP(-(Matrice_OD!AD92^2)/Param!$B$5),0)</f>
        <v>0.121996794538701</v>
      </c>
      <c r="AE92" s="0" t="n">
        <f aca="false">IF(Matrice_OD!AE92&lt;=Param!$B$2,EXP(-(Matrice_OD!AE92^2)/Param!$B$5),0)</f>
        <v>0.11530666725065</v>
      </c>
      <c r="AF92" s="0" t="n">
        <f aca="false">IF(Matrice_OD!AF92&lt;=Param!$B$2,EXP(-(Matrice_OD!AF92^2)/Param!$B$5),0)</f>
        <v>0.114500662629744</v>
      </c>
      <c r="AG92" s="0" t="n">
        <f aca="false">IF(Matrice_OD!AG92&lt;=Param!$B$2,EXP(-(Matrice_OD!AG92^2)/Param!$B$5),0)</f>
        <v>0</v>
      </c>
      <c r="AH92" s="0" t="n">
        <f aca="false">IF(Matrice_OD!AH92&lt;=Param!$B$2,EXP(-(Matrice_OD!AH92^2)/Param!$B$5),0)</f>
        <v>0</v>
      </c>
      <c r="AI92" s="0" t="n">
        <f aca="false">IF(Matrice_OD!AI92&lt;=Param!$B$2,EXP(-(Matrice_OD!AI92^2)/Param!$B$5),0)</f>
        <v>0</v>
      </c>
      <c r="AJ92" s="0" t="n">
        <f aca="false">IF(Matrice_OD!AJ92&lt;=Param!$B$2,EXP(-(Matrice_OD!AJ92^2)/Param!$B$5),0)</f>
        <v>0</v>
      </c>
      <c r="AK92" s="0" t="n">
        <f aca="false">IF(Matrice_OD!AK92&lt;=Param!$B$2,EXP(-(Matrice_OD!AK92^2)/Param!$B$5),0)</f>
        <v>0.0827159212577664</v>
      </c>
      <c r="AL92" s="0" t="n">
        <f aca="false">IF(Matrice_OD!AL92&lt;=Param!$B$2,EXP(-(Matrice_OD!AL92^2)/Param!$B$5),0)</f>
        <v>0.114822542852137</v>
      </c>
      <c r="AM92" s="0" t="n">
        <f aca="false">IF(Matrice_OD!AM92&lt;=Param!$B$2,EXP(-(Matrice_OD!AM92^2)/Param!$B$5),0)</f>
        <v>0</v>
      </c>
      <c r="AN92" s="0" t="n">
        <f aca="false">IF(Matrice_OD!AN92&lt;=Param!$B$2,EXP(-(Matrice_OD!AN92^2)/Param!$B$5),0)</f>
        <v>0</v>
      </c>
    </row>
    <row r="93" customFormat="false" ht="15" hidden="false" customHeight="true" outlineLevel="0" collapsed="false">
      <c r="A93" s="0" t="s">
        <v>284</v>
      </c>
      <c r="B93" s="0" t="s">
        <v>285</v>
      </c>
      <c r="C93" s="0" t="n">
        <f aca="false">IF(Matrice_OD!C93&lt;=Param!$B$2,EXP(-(Matrice_OD!C93^2)/Param!$B$5),0)</f>
        <v>0</v>
      </c>
      <c r="D93" s="0" t="n">
        <f aca="false">IF(Matrice_OD!D93&lt;=Param!$B$2,EXP(-(Matrice_OD!D93^2)/Param!$B$5),0)</f>
        <v>0</v>
      </c>
      <c r="E93" s="0" t="n">
        <f aca="false">IF(Matrice_OD!E93&lt;=Param!$B$2,EXP(-(Matrice_OD!E93^2)/Param!$B$5),0)</f>
        <v>0</v>
      </c>
      <c r="F93" s="0" t="n">
        <f aca="false">IF(Matrice_OD!F93&lt;=Param!$B$2,EXP(-(Matrice_OD!F93^2)/Param!$B$5),0)</f>
        <v>0</v>
      </c>
      <c r="G93" s="0" t="n">
        <f aca="false">IF(Matrice_OD!G93&lt;=Param!$B$2,EXP(-(Matrice_OD!G93^2)/Param!$B$5),0)</f>
        <v>0</v>
      </c>
      <c r="H93" s="0" t="n">
        <f aca="false">IF(Matrice_OD!H93&lt;=Param!$B$2,EXP(-(Matrice_OD!H93^2)/Param!$B$5),0)</f>
        <v>0</v>
      </c>
      <c r="I93" s="0" t="n">
        <f aca="false">IF(Matrice_OD!I93&lt;=Param!$B$2,EXP(-(Matrice_OD!I93^2)/Param!$B$5),0)</f>
        <v>0</v>
      </c>
      <c r="J93" s="0" t="n">
        <f aca="false">IF(Matrice_OD!J93&lt;=Param!$B$2,EXP(-(Matrice_OD!J93^2)/Param!$B$5),0)</f>
        <v>0</v>
      </c>
      <c r="K93" s="0" t="n">
        <f aca="false">IF(Matrice_OD!K93&lt;=Param!$B$2,EXP(-(Matrice_OD!K93^2)/Param!$B$5),0)</f>
        <v>0</v>
      </c>
      <c r="L93" s="0" t="n">
        <f aca="false">IF(Matrice_OD!L93&lt;=Param!$B$2,EXP(-(Matrice_OD!L93^2)/Param!$B$5),0)</f>
        <v>0</v>
      </c>
      <c r="M93" s="0" t="n">
        <f aca="false">IF(Matrice_OD!M93&lt;=Param!$B$2,EXP(-(Matrice_OD!M93^2)/Param!$B$5),0)</f>
        <v>0</v>
      </c>
      <c r="N93" s="0" t="n">
        <f aca="false">IF(Matrice_OD!N93&lt;=Param!$B$2,EXP(-(Matrice_OD!N93^2)/Param!$B$5),0)</f>
        <v>0</v>
      </c>
      <c r="O93" s="0" t="n">
        <f aca="false">IF(Matrice_OD!O93&lt;=Param!$B$2,EXP(-(Matrice_OD!O93^2)/Param!$B$5),0)</f>
        <v>0</v>
      </c>
      <c r="P93" s="0" t="n">
        <f aca="false">IF(Matrice_OD!P93&lt;=Param!$B$2,EXP(-(Matrice_OD!P93^2)/Param!$B$5),0)</f>
        <v>0</v>
      </c>
      <c r="Q93" s="0" t="n">
        <f aca="false">IF(Matrice_OD!Q93&lt;=Param!$B$2,EXP(-(Matrice_OD!Q93^2)/Param!$B$5),0)</f>
        <v>0</v>
      </c>
      <c r="R93" s="0" t="n">
        <f aca="false">IF(Matrice_OD!R93&lt;=Param!$B$2,EXP(-(Matrice_OD!R93^2)/Param!$B$5),0)</f>
        <v>0</v>
      </c>
      <c r="S93" s="0" t="n">
        <f aca="false">IF(Matrice_OD!S93&lt;=Param!$B$2,EXP(-(Matrice_OD!S93^2)/Param!$B$5),0)</f>
        <v>0</v>
      </c>
      <c r="T93" s="0" t="n">
        <f aca="false">IF(Matrice_OD!T93&lt;=Param!$B$2,EXP(-(Matrice_OD!T93^2)/Param!$B$5),0)</f>
        <v>0</v>
      </c>
      <c r="U93" s="0" t="n">
        <f aca="false">IF(Matrice_OD!U93&lt;=Param!$B$2,EXP(-(Matrice_OD!U93^2)/Param!$B$5),0)</f>
        <v>0</v>
      </c>
      <c r="V93" s="0" t="n">
        <f aca="false">IF(Matrice_OD!V93&lt;=Param!$B$2,EXP(-(Matrice_OD!V93^2)/Param!$B$5),0)</f>
        <v>0</v>
      </c>
      <c r="W93" s="0" t="n">
        <f aca="false">IF(Matrice_OD!W93&lt;=Param!$B$2,EXP(-(Matrice_OD!W93^2)/Param!$B$5),0)</f>
        <v>0</v>
      </c>
      <c r="X93" s="0" t="n">
        <f aca="false">IF(Matrice_OD!X93&lt;=Param!$B$2,EXP(-(Matrice_OD!X93^2)/Param!$B$5),0)</f>
        <v>0</v>
      </c>
      <c r="Y93" s="0" t="n">
        <f aca="false">IF(Matrice_OD!Y93&lt;=Param!$B$2,EXP(-(Matrice_OD!Y93^2)/Param!$B$5),0)</f>
        <v>0</v>
      </c>
      <c r="Z93" s="0" t="n">
        <f aca="false">IF(Matrice_OD!Z93&lt;=Param!$B$2,EXP(-(Matrice_OD!Z93^2)/Param!$B$5),0)</f>
        <v>0</v>
      </c>
      <c r="AA93" s="0" t="n">
        <f aca="false">IF(Matrice_OD!AA93&lt;=Param!$B$2,EXP(-(Matrice_OD!AA93^2)/Param!$B$5),0)</f>
        <v>0</v>
      </c>
      <c r="AB93" s="0" t="n">
        <f aca="false">IF(Matrice_OD!AB93&lt;=Param!$B$2,EXP(-(Matrice_OD!AB93^2)/Param!$B$5),0)</f>
        <v>0</v>
      </c>
      <c r="AC93" s="0" t="n">
        <f aca="false">IF(Matrice_OD!AC93&lt;=Param!$B$2,EXP(-(Matrice_OD!AC93^2)/Param!$B$5),0)</f>
        <v>0.669807490540148</v>
      </c>
      <c r="AD93" s="0" t="n">
        <f aca="false">IF(Matrice_OD!AD93&lt;=Param!$B$2,EXP(-(Matrice_OD!AD93^2)/Param!$B$5),0)</f>
        <v>0.677480138906766</v>
      </c>
      <c r="AE93" s="0" t="n">
        <f aca="false">IF(Matrice_OD!AE93&lt;=Param!$B$2,EXP(-(Matrice_OD!AE93^2)/Param!$B$5),0)</f>
        <v>0.677076904493179</v>
      </c>
      <c r="AF93" s="0" t="n">
        <f aca="false">IF(Matrice_OD!AF93&lt;=Param!$B$2,EXP(-(Matrice_OD!AF93^2)/Param!$B$5),0)</f>
        <v>0.663126592864325</v>
      </c>
      <c r="AG93" s="0" t="n">
        <f aca="false">IF(Matrice_OD!AG93&lt;=Param!$B$2,EXP(-(Matrice_OD!AG93^2)/Param!$B$5),0)</f>
        <v>0</v>
      </c>
      <c r="AH93" s="0" t="n">
        <f aca="false">IF(Matrice_OD!AH93&lt;=Param!$B$2,EXP(-(Matrice_OD!AH93^2)/Param!$B$5),0)</f>
        <v>0</v>
      </c>
      <c r="AI93" s="0" t="n">
        <f aca="false">IF(Matrice_OD!AI93&lt;=Param!$B$2,EXP(-(Matrice_OD!AI93^2)/Param!$B$5),0)</f>
        <v>0</v>
      </c>
      <c r="AJ93" s="0" t="n">
        <f aca="false">IF(Matrice_OD!AJ93&lt;=Param!$B$2,EXP(-(Matrice_OD!AJ93^2)/Param!$B$5),0)</f>
        <v>0</v>
      </c>
      <c r="AK93" s="0" t="n">
        <f aca="false">IF(Matrice_OD!AK93&lt;=Param!$B$2,EXP(-(Matrice_OD!AK93^2)/Param!$B$5),0)</f>
        <v>0.587627515689986</v>
      </c>
      <c r="AL93" s="0" t="n">
        <f aca="false">IF(Matrice_OD!AL93&lt;=Param!$B$2,EXP(-(Matrice_OD!AL93^2)/Param!$B$5),0)</f>
        <v>0.666772650545938</v>
      </c>
      <c r="AM93" s="0" t="n">
        <f aca="false">IF(Matrice_OD!AM93&lt;=Param!$B$2,EXP(-(Matrice_OD!AM93^2)/Param!$B$5),0)</f>
        <v>0</v>
      </c>
      <c r="AN93" s="0" t="n">
        <f aca="false">IF(Matrice_OD!AN93&lt;=Param!$B$2,EXP(-(Matrice_OD!AN93^2)/Param!$B$5),0)</f>
        <v>0</v>
      </c>
    </row>
    <row r="94" customFormat="false" ht="15" hidden="false" customHeight="true" outlineLevel="0" collapsed="false">
      <c r="A94" s="0" t="s">
        <v>286</v>
      </c>
      <c r="B94" s="0" t="s">
        <v>287</v>
      </c>
      <c r="C94" s="0" t="n">
        <f aca="false">IF(Matrice_OD!C94&lt;=Param!$B$2,EXP(-(Matrice_OD!C94^2)/Param!$B$5),0)</f>
        <v>0</v>
      </c>
      <c r="D94" s="0" t="n">
        <f aca="false">IF(Matrice_OD!D94&lt;=Param!$B$2,EXP(-(Matrice_OD!D94^2)/Param!$B$5),0)</f>
        <v>0</v>
      </c>
      <c r="E94" s="0" t="n">
        <f aca="false">IF(Matrice_OD!E94&lt;=Param!$B$2,EXP(-(Matrice_OD!E94^2)/Param!$B$5),0)</f>
        <v>0</v>
      </c>
      <c r="F94" s="0" t="n">
        <f aca="false">IF(Matrice_OD!F94&lt;=Param!$B$2,EXP(-(Matrice_OD!F94^2)/Param!$B$5),0)</f>
        <v>0</v>
      </c>
      <c r="G94" s="0" t="n">
        <f aca="false">IF(Matrice_OD!G94&lt;=Param!$B$2,EXP(-(Matrice_OD!G94^2)/Param!$B$5),0)</f>
        <v>0</v>
      </c>
      <c r="H94" s="0" t="n">
        <f aca="false">IF(Matrice_OD!H94&lt;=Param!$B$2,EXP(-(Matrice_OD!H94^2)/Param!$B$5),0)</f>
        <v>0</v>
      </c>
      <c r="I94" s="0" t="n">
        <f aca="false">IF(Matrice_OD!I94&lt;=Param!$B$2,EXP(-(Matrice_OD!I94^2)/Param!$B$5),0)</f>
        <v>0</v>
      </c>
      <c r="J94" s="0" t="n">
        <f aca="false">IF(Matrice_OD!J94&lt;=Param!$B$2,EXP(-(Matrice_OD!J94^2)/Param!$B$5),0)</f>
        <v>0</v>
      </c>
      <c r="K94" s="0" t="n">
        <f aca="false">IF(Matrice_OD!K94&lt;=Param!$B$2,EXP(-(Matrice_OD!K94^2)/Param!$B$5),0)</f>
        <v>0</v>
      </c>
      <c r="L94" s="0" t="n">
        <f aca="false">IF(Matrice_OD!L94&lt;=Param!$B$2,EXP(-(Matrice_OD!L94^2)/Param!$B$5),0)</f>
        <v>0</v>
      </c>
      <c r="M94" s="0" t="n">
        <f aca="false">IF(Matrice_OD!M94&lt;=Param!$B$2,EXP(-(Matrice_OD!M94^2)/Param!$B$5),0)</f>
        <v>0</v>
      </c>
      <c r="N94" s="0" t="n">
        <f aca="false">IF(Matrice_OD!N94&lt;=Param!$B$2,EXP(-(Matrice_OD!N94^2)/Param!$B$5),0)</f>
        <v>0</v>
      </c>
      <c r="O94" s="0" t="n">
        <f aca="false">IF(Matrice_OD!O94&lt;=Param!$B$2,EXP(-(Matrice_OD!O94^2)/Param!$B$5),0)</f>
        <v>0</v>
      </c>
      <c r="P94" s="0" t="n">
        <f aca="false">IF(Matrice_OD!P94&lt;=Param!$B$2,EXP(-(Matrice_OD!P94^2)/Param!$B$5),0)</f>
        <v>0</v>
      </c>
      <c r="Q94" s="0" t="n">
        <f aca="false">IF(Matrice_OD!Q94&lt;=Param!$B$2,EXP(-(Matrice_OD!Q94^2)/Param!$B$5),0)</f>
        <v>0</v>
      </c>
      <c r="R94" s="0" t="n">
        <f aca="false">IF(Matrice_OD!R94&lt;=Param!$B$2,EXP(-(Matrice_OD!R94^2)/Param!$B$5),0)</f>
        <v>0</v>
      </c>
      <c r="S94" s="0" t="n">
        <f aca="false">IF(Matrice_OD!S94&lt;=Param!$B$2,EXP(-(Matrice_OD!S94^2)/Param!$B$5),0)</f>
        <v>0</v>
      </c>
      <c r="T94" s="0" t="n">
        <f aca="false">IF(Matrice_OD!T94&lt;=Param!$B$2,EXP(-(Matrice_OD!T94^2)/Param!$B$5),0)</f>
        <v>0</v>
      </c>
      <c r="U94" s="0" t="n">
        <f aca="false">IF(Matrice_OD!U94&lt;=Param!$B$2,EXP(-(Matrice_OD!U94^2)/Param!$B$5),0)</f>
        <v>0.0241878908418682</v>
      </c>
      <c r="V94" s="0" t="n">
        <f aca="false">IF(Matrice_OD!V94&lt;=Param!$B$2,EXP(-(Matrice_OD!V94^2)/Param!$B$5),0)</f>
        <v>0</v>
      </c>
      <c r="W94" s="0" t="n">
        <f aca="false">IF(Matrice_OD!W94&lt;=Param!$B$2,EXP(-(Matrice_OD!W94^2)/Param!$B$5),0)</f>
        <v>0</v>
      </c>
      <c r="X94" s="0" t="n">
        <f aca="false">IF(Matrice_OD!X94&lt;=Param!$B$2,EXP(-(Matrice_OD!X94^2)/Param!$B$5),0)</f>
        <v>0</v>
      </c>
      <c r="Y94" s="0" t="n">
        <f aca="false">IF(Matrice_OD!Y94&lt;=Param!$B$2,EXP(-(Matrice_OD!Y94^2)/Param!$B$5),0)</f>
        <v>0</v>
      </c>
      <c r="Z94" s="0" t="n">
        <f aca="false">IF(Matrice_OD!Z94&lt;=Param!$B$2,EXP(-(Matrice_OD!Z94^2)/Param!$B$5),0)</f>
        <v>0</v>
      </c>
      <c r="AA94" s="0" t="n">
        <f aca="false">IF(Matrice_OD!AA94&lt;=Param!$B$2,EXP(-(Matrice_OD!AA94^2)/Param!$B$5),0)</f>
        <v>0</v>
      </c>
      <c r="AB94" s="0" t="n">
        <f aca="false">IF(Matrice_OD!AB94&lt;=Param!$B$2,EXP(-(Matrice_OD!AB94^2)/Param!$B$5),0)</f>
        <v>0</v>
      </c>
      <c r="AC94" s="0" t="n">
        <f aca="false">IF(Matrice_OD!AC94&lt;=Param!$B$2,EXP(-(Matrice_OD!AC94^2)/Param!$B$5),0)</f>
        <v>0.34728987621675</v>
      </c>
      <c r="AD94" s="0" t="n">
        <f aca="false">IF(Matrice_OD!AD94&lt;=Param!$B$2,EXP(-(Matrice_OD!AD94^2)/Param!$B$5),0)</f>
        <v>0.353621664623131</v>
      </c>
      <c r="AE94" s="0" t="n">
        <f aca="false">IF(Matrice_OD!AE94&lt;=Param!$B$2,EXP(-(Matrice_OD!AE94^2)/Param!$B$5),0)</f>
        <v>0.353277879104757</v>
      </c>
      <c r="AF94" s="0" t="n">
        <f aca="false">IF(Matrice_OD!AF94&lt;=Param!$B$2,EXP(-(Matrice_OD!AF94^2)/Param!$B$5),0)</f>
        <v>0.341524606798946</v>
      </c>
      <c r="AG94" s="0" t="n">
        <f aca="false">IF(Matrice_OD!AG94&lt;=Param!$B$2,EXP(-(Matrice_OD!AG94^2)/Param!$B$5),0)</f>
        <v>0</v>
      </c>
      <c r="AH94" s="0" t="n">
        <f aca="false">IF(Matrice_OD!AH94&lt;=Param!$B$2,EXP(-(Matrice_OD!AH94^2)/Param!$B$5),0)</f>
        <v>0</v>
      </c>
      <c r="AI94" s="0" t="n">
        <f aca="false">IF(Matrice_OD!AI94&lt;=Param!$B$2,EXP(-(Matrice_OD!AI94^2)/Param!$B$5),0)</f>
        <v>0</v>
      </c>
      <c r="AJ94" s="0" t="n">
        <f aca="false">IF(Matrice_OD!AJ94&lt;=Param!$B$2,EXP(-(Matrice_OD!AJ94^2)/Param!$B$5),0)</f>
        <v>0</v>
      </c>
      <c r="AK94" s="0" t="n">
        <f aca="false">IF(Matrice_OD!AK94&lt;=Param!$B$2,EXP(-(Matrice_OD!AK94^2)/Param!$B$5),0)</f>
        <v>0.282237740349886</v>
      </c>
      <c r="AL94" s="0" t="n">
        <f aca="false">IF(Matrice_OD!AL94&lt;=Param!$B$2,EXP(-(Matrice_OD!AL94^2)/Param!$B$5),0)</f>
        <v>0.344400836428039</v>
      </c>
      <c r="AM94" s="0" t="n">
        <f aca="false">IF(Matrice_OD!AM94&lt;=Param!$B$2,EXP(-(Matrice_OD!AM94^2)/Param!$B$5),0)</f>
        <v>0</v>
      </c>
      <c r="AN94" s="0" t="n">
        <f aca="false">IF(Matrice_OD!AN94&lt;=Param!$B$2,EXP(-(Matrice_OD!AN94^2)/Param!$B$5),0)</f>
        <v>0</v>
      </c>
    </row>
    <row r="95" customFormat="false" ht="15" hidden="false" customHeight="true" outlineLevel="0" collapsed="false">
      <c r="A95" s="0" t="s">
        <v>288</v>
      </c>
      <c r="B95" s="0" t="s">
        <v>289</v>
      </c>
      <c r="C95" s="0" t="n">
        <f aca="false">IF(Matrice_OD!C95&lt;=Param!$B$2,EXP(-(Matrice_OD!C95^2)/Param!$B$5),0)</f>
        <v>0</v>
      </c>
      <c r="D95" s="0" t="n">
        <f aca="false">IF(Matrice_OD!D95&lt;=Param!$B$2,EXP(-(Matrice_OD!D95^2)/Param!$B$5),0)</f>
        <v>0</v>
      </c>
      <c r="E95" s="0" t="n">
        <f aca="false">IF(Matrice_OD!E95&lt;=Param!$B$2,EXP(-(Matrice_OD!E95^2)/Param!$B$5),0)</f>
        <v>0</v>
      </c>
      <c r="F95" s="0" t="n">
        <f aca="false">IF(Matrice_OD!F95&lt;=Param!$B$2,EXP(-(Matrice_OD!F95^2)/Param!$B$5),0)</f>
        <v>0</v>
      </c>
      <c r="G95" s="0" t="n">
        <f aca="false">IF(Matrice_OD!G95&lt;=Param!$B$2,EXP(-(Matrice_OD!G95^2)/Param!$B$5),0)</f>
        <v>0</v>
      </c>
      <c r="H95" s="0" t="n">
        <f aca="false">IF(Matrice_OD!H95&lt;=Param!$B$2,EXP(-(Matrice_OD!H95^2)/Param!$B$5),0)</f>
        <v>0</v>
      </c>
      <c r="I95" s="0" t="n">
        <f aca="false">IF(Matrice_OD!I95&lt;=Param!$B$2,EXP(-(Matrice_OD!I95^2)/Param!$B$5),0)</f>
        <v>0</v>
      </c>
      <c r="J95" s="0" t="n">
        <f aca="false">IF(Matrice_OD!J95&lt;=Param!$B$2,EXP(-(Matrice_OD!J95^2)/Param!$B$5),0)</f>
        <v>0</v>
      </c>
      <c r="K95" s="0" t="n">
        <f aca="false">IF(Matrice_OD!K95&lt;=Param!$B$2,EXP(-(Matrice_OD!K95^2)/Param!$B$5),0)</f>
        <v>0</v>
      </c>
      <c r="L95" s="0" t="n">
        <f aca="false">IF(Matrice_OD!L95&lt;=Param!$B$2,EXP(-(Matrice_OD!L95^2)/Param!$B$5),0)</f>
        <v>0</v>
      </c>
      <c r="M95" s="0" t="n">
        <f aca="false">IF(Matrice_OD!M95&lt;=Param!$B$2,EXP(-(Matrice_OD!M95^2)/Param!$B$5),0)</f>
        <v>0</v>
      </c>
      <c r="N95" s="0" t="n">
        <f aca="false">IF(Matrice_OD!N95&lt;=Param!$B$2,EXP(-(Matrice_OD!N95^2)/Param!$B$5),0)</f>
        <v>0</v>
      </c>
      <c r="O95" s="0" t="n">
        <f aca="false">IF(Matrice_OD!O95&lt;=Param!$B$2,EXP(-(Matrice_OD!O95^2)/Param!$B$5),0)</f>
        <v>0</v>
      </c>
      <c r="P95" s="0" t="n">
        <f aca="false">IF(Matrice_OD!P95&lt;=Param!$B$2,EXP(-(Matrice_OD!P95^2)/Param!$B$5),0)</f>
        <v>0</v>
      </c>
      <c r="Q95" s="0" t="n">
        <f aca="false">IF(Matrice_OD!Q95&lt;=Param!$B$2,EXP(-(Matrice_OD!Q95^2)/Param!$B$5),0)</f>
        <v>0</v>
      </c>
      <c r="R95" s="0" t="n">
        <f aca="false">IF(Matrice_OD!R95&lt;=Param!$B$2,EXP(-(Matrice_OD!R95^2)/Param!$B$5),0)</f>
        <v>0</v>
      </c>
      <c r="S95" s="0" t="n">
        <f aca="false">IF(Matrice_OD!S95&lt;=Param!$B$2,EXP(-(Matrice_OD!S95^2)/Param!$B$5),0)</f>
        <v>0</v>
      </c>
      <c r="T95" s="0" t="n">
        <f aca="false">IF(Matrice_OD!T95&lt;=Param!$B$2,EXP(-(Matrice_OD!T95^2)/Param!$B$5),0)</f>
        <v>0</v>
      </c>
      <c r="U95" s="0" t="n">
        <f aca="false">IF(Matrice_OD!U95&lt;=Param!$B$2,EXP(-(Matrice_OD!U95^2)/Param!$B$5),0)</f>
        <v>0</v>
      </c>
      <c r="V95" s="0" t="n">
        <f aca="false">IF(Matrice_OD!V95&lt;=Param!$B$2,EXP(-(Matrice_OD!V95^2)/Param!$B$5),0)</f>
        <v>0</v>
      </c>
      <c r="W95" s="0" t="n">
        <f aca="false">IF(Matrice_OD!W95&lt;=Param!$B$2,EXP(-(Matrice_OD!W95^2)/Param!$B$5),0)</f>
        <v>0</v>
      </c>
      <c r="X95" s="0" t="n">
        <f aca="false">IF(Matrice_OD!X95&lt;=Param!$B$2,EXP(-(Matrice_OD!X95^2)/Param!$B$5),0)</f>
        <v>0</v>
      </c>
      <c r="Y95" s="0" t="n">
        <f aca="false">IF(Matrice_OD!Y95&lt;=Param!$B$2,EXP(-(Matrice_OD!Y95^2)/Param!$B$5),0)</f>
        <v>0</v>
      </c>
      <c r="Z95" s="0" t="n">
        <f aca="false">IF(Matrice_OD!Z95&lt;=Param!$B$2,EXP(-(Matrice_OD!Z95^2)/Param!$B$5),0)</f>
        <v>0</v>
      </c>
      <c r="AA95" s="0" t="n">
        <f aca="false">IF(Matrice_OD!AA95&lt;=Param!$B$2,EXP(-(Matrice_OD!AA95^2)/Param!$B$5),0)</f>
        <v>0</v>
      </c>
      <c r="AB95" s="0" t="n">
        <f aca="false">IF(Matrice_OD!AB95&lt;=Param!$B$2,EXP(-(Matrice_OD!AB95^2)/Param!$B$5),0)</f>
        <v>0</v>
      </c>
      <c r="AC95" s="0" t="n">
        <f aca="false">IF(Matrice_OD!AC95&lt;=Param!$B$2,EXP(-(Matrice_OD!AC95^2)/Param!$B$5),0)</f>
        <v>0.864550016575974</v>
      </c>
      <c r="AD95" s="0" t="n">
        <f aca="false">IF(Matrice_OD!AD95&lt;=Param!$B$2,EXP(-(Matrice_OD!AD95^2)/Param!$B$5),0)</f>
        <v>0.870476273872424</v>
      </c>
      <c r="AE95" s="0" t="n">
        <f aca="false">IF(Matrice_OD!AE95&lt;=Param!$B$2,EXP(-(Matrice_OD!AE95^2)/Param!$B$5),0)</f>
        <v>0.877965213284444</v>
      </c>
      <c r="AF95" s="0" t="n">
        <f aca="false">IF(Matrice_OD!AF95&lt;=Param!$B$2,EXP(-(Matrice_OD!AF95^2)/Param!$B$5),0)</f>
        <v>0.876451076952831</v>
      </c>
      <c r="AG95" s="0" t="n">
        <f aca="false">IF(Matrice_OD!AG95&lt;=Param!$B$2,EXP(-(Matrice_OD!AG95^2)/Param!$B$5),0)</f>
        <v>0</v>
      </c>
      <c r="AH95" s="0" t="n">
        <f aca="false">IF(Matrice_OD!AH95&lt;=Param!$B$2,EXP(-(Matrice_OD!AH95^2)/Param!$B$5),0)</f>
        <v>0</v>
      </c>
      <c r="AI95" s="0" t="n">
        <f aca="false">IF(Matrice_OD!AI95&lt;=Param!$B$2,EXP(-(Matrice_OD!AI95^2)/Param!$B$5),0)</f>
        <v>0</v>
      </c>
      <c r="AJ95" s="0" t="n">
        <f aca="false">IF(Matrice_OD!AJ95&lt;=Param!$B$2,EXP(-(Matrice_OD!AJ95^2)/Param!$B$5),0)</f>
        <v>0</v>
      </c>
      <c r="AK95" s="0" t="n">
        <f aca="false">IF(Matrice_OD!AK95&lt;=Param!$B$2,EXP(-(Matrice_OD!AK95^2)/Param!$B$5),0)</f>
        <v>0.942783022230361</v>
      </c>
      <c r="AL95" s="0" t="n">
        <f aca="false">IF(Matrice_OD!AL95&lt;=Param!$B$2,EXP(-(Matrice_OD!AL95^2)/Param!$B$5),0)</f>
        <v>0.862973641406746</v>
      </c>
      <c r="AM95" s="0" t="n">
        <f aca="false">IF(Matrice_OD!AM95&lt;=Param!$B$2,EXP(-(Matrice_OD!AM95^2)/Param!$B$5),0)</f>
        <v>0</v>
      </c>
      <c r="AN95" s="0" t="n">
        <f aca="false">IF(Matrice_OD!AN95&lt;=Param!$B$2,EXP(-(Matrice_OD!AN95^2)/Param!$B$5),0)</f>
        <v>0</v>
      </c>
    </row>
    <row r="96" customFormat="false" ht="15" hidden="false" customHeight="true" outlineLevel="0" collapsed="false">
      <c r="A96" s="0" t="s">
        <v>290</v>
      </c>
      <c r="B96" s="0" t="s">
        <v>291</v>
      </c>
      <c r="C96" s="0" t="n">
        <f aca="false">IF(Matrice_OD!C96&lt;=Param!$B$2,EXP(-(Matrice_OD!C96^2)/Param!$B$5),0)</f>
        <v>0</v>
      </c>
      <c r="D96" s="0" t="n">
        <f aca="false">IF(Matrice_OD!D96&lt;=Param!$B$2,EXP(-(Matrice_OD!D96^2)/Param!$B$5),0)</f>
        <v>0</v>
      </c>
      <c r="E96" s="0" t="n">
        <f aca="false">IF(Matrice_OD!E96&lt;=Param!$B$2,EXP(-(Matrice_OD!E96^2)/Param!$B$5),0)</f>
        <v>0</v>
      </c>
      <c r="F96" s="0" t="n">
        <f aca="false">IF(Matrice_OD!F96&lt;=Param!$B$2,EXP(-(Matrice_OD!F96^2)/Param!$B$5),0)</f>
        <v>0</v>
      </c>
      <c r="G96" s="0" t="n">
        <f aca="false">IF(Matrice_OD!G96&lt;=Param!$B$2,EXP(-(Matrice_OD!G96^2)/Param!$B$5),0)</f>
        <v>0</v>
      </c>
      <c r="H96" s="0" t="n">
        <f aca="false">IF(Matrice_OD!H96&lt;=Param!$B$2,EXP(-(Matrice_OD!H96^2)/Param!$B$5),0)</f>
        <v>0</v>
      </c>
      <c r="I96" s="0" t="n">
        <f aca="false">IF(Matrice_OD!I96&lt;=Param!$B$2,EXP(-(Matrice_OD!I96^2)/Param!$B$5),0)</f>
        <v>0</v>
      </c>
      <c r="J96" s="0" t="n">
        <f aca="false">IF(Matrice_OD!J96&lt;=Param!$B$2,EXP(-(Matrice_OD!J96^2)/Param!$B$5),0)</f>
        <v>0</v>
      </c>
      <c r="K96" s="0" t="n">
        <f aca="false">IF(Matrice_OD!K96&lt;=Param!$B$2,EXP(-(Matrice_OD!K96^2)/Param!$B$5),0)</f>
        <v>0</v>
      </c>
      <c r="L96" s="0" t="n">
        <f aca="false">IF(Matrice_OD!L96&lt;=Param!$B$2,EXP(-(Matrice_OD!L96^2)/Param!$B$5),0)</f>
        <v>0</v>
      </c>
      <c r="M96" s="0" t="n">
        <f aca="false">IF(Matrice_OD!M96&lt;=Param!$B$2,EXP(-(Matrice_OD!M96^2)/Param!$B$5),0)</f>
        <v>0</v>
      </c>
      <c r="N96" s="0" t="n">
        <f aca="false">IF(Matrice_OD!N96&lt;=Param!$B$2,EXP(-(Matrice_OD!N96^2)/Param!$B$5),0)</f>
        <v>0</v>
      </c>
      <c r="O96" s="0" t="n">
        <f aca="false">IF(Matrice_OD!O96&lt;=Param!$B$2,EXP(-(Matrice_OD!O96^2)/Param!$B$5),0)</f>
        <v>0</v>
      </c>
      <c r="P96" s="0" t="n">
        <f aca="false">IF(Matrice_OD!P96&lt;=Param!$B$2,EXP(-(Matrice_OD!P96^2)/Param!$B$5),0)</f>
        <v>0</v>
      </c>
      <c r="Q96" s="0" t="n">
        <f aca="false">IF(Matrice_OD!Q96&lt;=Param!$B$2,EXP(-(Matrice_OD!Q96^2)/Param!$B$5),0)</f>
        <v>0</v>
      </c>
      <c r="R96" s="0" t="n">
        <f aca="false">IF(Matrice_OD!R96&lt;=Param!$B$2,EXP(-(Matrice_OD!R96^2)/Param!$B$5),0)</f>
        <v>0</v>
      </c>
      <c r="S96" s="0" t="n">
        <f aca="false">IF(Matrice_OD!S96&lt;=Param!$B$2,EXP(-(Matrice_OD!S96^2)/Param!$B$5),0)</f>
        <v>0</v>
      </c>
      <c r="T96" s="0" t="n">
        <f aca="false">IF(Matrice_OD!T96&lt;=Param!$B$2,EXP(-(Matrice_OD!T96^2)/Param!$B$5),0)</f>
        <v>0</v>
      </c>
      <c r="U96" s="0" t="n">
        <f aca="false">IF(Matrice_OD!U96&lt;=Param!$B$2,EXP(-(Matrice_OD!U96^2)/Param!$B$5),0)</f>
        <v>0</v>
      </c>
      <c r="V96" s="0" t="n">
        <f aca="false">IF(Matrice_OD!V96&lt;=Param!$B$2,EXP(-(Matrice_OD!V96^2)/Param!$B$5),0)</f>
        <v>0</v>
      </c>
      <c r="W96" s="0" t="n">
        <f aca="false">IF(Matrice_OD!W96&lt;=Param!$B$2,EXP(-(Matrice_OD!W96^2)/Param!$B$5),0)</f>
        <v>0</v>
      </c>
      <c r="X96" s="0" t="n">
        <f aca="false">IF(Matrice_OD!X96&lt;=Param!$B$2,EXP(-(Matrice_OD!X96^2)/Param!$B$5),0)</f>
        <v>0</v>
      </c>
      <c r="Y96" s="0" t="n">
        <f aca="false">IF(Matrice_OD!Y96&lt;=Param!$B$2,EXP(-(Matrice_OD!Y96^2)/Param!$B$5),0)</f>
        <v>0</v>
      </c>
      <c r="Z96" s="0" t="n">
        <f aca="false">IF(Matrice_OD!Z96&lt;=Param!$B$2,EXP(-(Matrice_OD!Z96^2)/Param!$B$5),0)</f>
        <v>0</v>
      </c>
      <c r="AA96" s="0" t="n">
        <f aca="false">IF(Matrice_OD!AA96&lt;=Param!$B$2,EXP(-(Matrice_OD!AA96^2)/Param!$B$5),0)</f>
        <v>0</v>
      </c>
      <c r="AB96" s="0" t="n">
        <f aca="false">IF(Matrice_OD!AB96&lt;=Param!$B$2,EXP(-(Matrice_OD!AB96^2)/Param!$B$5),0)</f>
        <v>0</v>
      </c>
      <c r="AC96" s="0" t="n">
        <f aca="false">IF(Matrice_OD!AC96&lt;=Param!$B$2,EXP(-(Matrice_OD!AC96^2)/Param!$B$5),0)</f>
        <v>0.978382423308773</v>
      </c>
      <c r="AD96" s="0" t="n">
        <f aca="false">IF(Matrice_OD!AD96&lt;=Param!$B$2,EXP(-(Matrice_OD!AD96^2)/Param!$B$5),0)</f>
        <v>0.980926448427235</v>
      </c>
      <c r="AE96" s="0" t="n">
        <f aca="false">IF(Matrice_OD!AE96&lt;=Param!$B$2,EXP(-(Matrice_OD!AE96^2)/Param!$B$5),0)</f>
        <v>0.980731218676768</v>
      </c>
      <c r="AF96" s="0" t="n">
        <f aca="false">IF(Matrice_OD!AF96&lt;=Param!$B$2,EXP(-(Matrice_OD!AF96^2)/Param!$B$5),0)</f>
        <v>0.975975939207433</v>
      </c>
      <c r="AG96" s="0" t="n">
        <f aca="false">IF(Matrice_OD!AG96&lt;=Param!$B$2,EXP(-(Matrice_OD!AG96^2)/Param!$B$5),0)</f>
        <v>0</v>
      </c>
      <c r="AH96" s="0" t="n">
        <f aca="false">IF(Matrice_OD!AH96&lt;=Param!$B$2,EXP(-(Matrice_OD!AH96^2)/Param!$B$5),0)</f>
        <v>0</v>
      </c>
      <c r="AI96" s="0" t="n">
        <f aca="false">IF(Matrice_OD!AI96&lt;=Param!$B$2,EXP(-(Matrice_OD!AI96^2)/Param!$B$5),0)</f>
        <v>0</v>
      </c>
      <c r="AJ96" s="0" t="n">
        <f aca="false">IF(Matrice_OD!AJ96&lt;=Param!$B$2,EXP(-(Matrice_OD!AJ96^2)/Param!$B$5),0)</f>
        <v>0</v>
      </c>
      <c r="AK96" s="0" t="n">
        <f aca="false">IF(Matrice_OD!AK96&lt;=Param!$B$2,EXP(-(Matrice_OD!AK96^2)/Param!$B$5),0)</f>
        <v>0.942126532168155</v>
      </c>
      <c r="AL96" s="0" t="n">
        <f aca="false">IF(Matrice_OD!AL96&lt;=Param!$B$2,EXP(-(Matrice_OD!AL96^2)/Param!$B$5),0)</f>
        <v>0.977687358967421</v>
      </c>
      <c r="AM96" s="0" t="n">
        <f aca="false">IF(Matrice_OD!AM96&lt;=Param!$B$2,EXP(-(Matrice_OD!AM96^2)/Param!$B$5),0)</f>
        <v>0</v>
      </c>
      <c r="AN96" s="0" t="n">
        <f aca="false">IF(Matrice_OD!AN96&lt;=Param!$B$2,EXP(-(Matrice_OD!AN96^2)/Param!$B$5),0)</f>
        <v>0</v>
      </c>
    </row>
    <row r="97" customFormat="false" ht="15" hidden="false" customHeight="true" outlineLevel="0" collapsed="false">
      <c r="A97" s="0" t="s">
        <v>292</v>
      </c>
      <c r="B97" s="0" t="s">
        <v>293</v>
      </c>
      <c r="C97" s="0" t="n">
        <f aca="false">IF(Matrice_OD!C97&lt;=Param!$B$2,EXP(-(Matrice_OD!C97^2)/Param!$B$5),0)</f>
        <v>0</v>
      </c>
      <c r="D97" s="0" t="n">
        <f aca="false">IF(Matrice_OD!D97&lt;=Param!$B$2,EXP(-(Matrice_OD!D97^2)/Param!$B$5),0)</f>
        <v>0</v>
      </c>
      <c r="E97" s="0" t="n">
        <f aca="false">IF(Matrice_OD!E97&lt;=Param!$B$2,EXP(-(Matrice_OD!E97^2)/Param!$B$5),0)</f>
        <v>0</v>
      </c>
      <c r="F97" s="0" t="n">
        <f aca="false">IF(Matrice_OD!F97&lt;=Param!$B$2,EXP(-(Matrice_OD!F97^2)/Param!$B$5),0)</f>
        <v>0</v>
      </c>
      <c r="G97" s="0" t="n">
        <f aca="false">IF(Matrice_OD!G97&lt;=Param!$B$2,EXP(-(Matrice_OD!G97^2)/Param!$B$5),0)</f>
        <v>0</v>
      </c>
      <c r="H97" s="0" t="n">
        <f aca="false">IF(Matrice_OD!H97&lt;=Param!$B$2,EXP(-(Matrice_OD!H97^2)/Param!$B$5),0)</f>
        <v>0</v>
      </c>
      <c r="I97" s="0" t="n">
        <f aca="false">IF(Matrice_OD!I97&lt;=Param!$B$2,EXP(-(Matrice_OD!I97^2)/Param!$B$5),0)</f>
        <v>0</v>
      </c>
      <c r="J97" s="0" t="n">
        <f aca="false">IF(Matrice_OD!J97&lt;=Param!$B$2,EXP(-(Matrice_OD!J97^2)/Param!$B$5),0)</f>
        <v>0</v>
      </c>
      <c r="K97" s="0" t="n">
        <f aca="false">IF(Matrice_OD!K97&lt;=Param!$B$2,EXP(-(Matrice_OD!K97^2)/Param!$B$5),0)</f>
        <v>0</v>
      </c>
      <c r="L97" s="0" t="n">
        <f aca="false">IF(Matrice_OD!L97&lt;=Param!$B$2,EXP(-(Matrice_OD!L97^2)/Param!$B$5),0)</f>
        <v>0</v>
      </c>
      <c r="M97" s="0" t="n">
        <f aca="false">IF(Matrice_OD!M97&lt;=Param!$B$2,EXP(-(Matrice_OD!M97^2)/Param!$B$5),0)</f>
        <v>0</v>
      </c>
      <c r="N97" s="0" t="n">
        <f aca="false">IF(Matrice_OD!N97&lt;=Param!$B$2,EXP(-(Matrice_OD!N97^2)/Param!$B$5),0)</f>
        <v>0</v>
      </c>
      <c r="O97" s="0" t="n">
        <f aca="false">IF(Matrice_OD!O97&lt;=Param!$B$2,EXP(-(Matrice_OD!O97^2)/Param!$B$5),0)</f>
        <v>0</v>
      </c>
      <c r="P97" s="0" t="n">
        <f aca="false">IF(Matrice_OD!P97&lt;=Param!$B$2,EXP(-(Matrice_OD!P97^2)/Param!$B$5),0)</f>
        <v>0</v>
      </c>
      <c r="Q97" s="0" t="n">
        <f aca="false">IF(Matrice_OD!Q97&lt;=Param!$B$2,EXP(-(Matrice_OD!Q97^2)/Param!$B$5),0)</f>
        <v>0</v>
      </c>
      <c r="R97" s="0" t="n">
        <f aca="false">IF(Matrice_OD!R97&lt;=Param!$B$2,EXP(-(Matrice_OD!R97^2)/Param!$B$5),0)</f>
        <v>0</v>
      </c>
      <c r="S97" s="0" t="n">
        <f aca="false">IF(Matrice_OD!S97&lt;=Param!$B$2,EXP(-(Matrice_OD!S97^2)/Param!$B$5),0)</f>
        <v>0</v>
      </c>
      <c r="T97" s="0" t="n">
        <f aca="false">IF(Matrice_OD!T97&lt;=Param!$B$2,EXP(-(Matrice_OD!T97^2)/Param!$B$5),0)</f>
        <v>0</v>
      </c>
      <c r="U97" s="0" t="n">
        <f aca="false">IF(Matrice_OD!U97&lt;=Param!$B$2,EXP(-(Matrice_OD!U97^2)/Param!$B$5),0)</f>
        <v>0</v>
      </c>
      <c r="V97" s="0" t="n">
        <f aca="false">IF(Matrice_OD!V97&lt;=Param!$B$2,EXP(-(Matrice_OD!V97^2)/Param!$B$5),0)</f>
        <v>0</v>
      </c>
      <c r="W97" s="0" t="n">
        <f aca="false">IF(Matrice_OD!W97&lt;=Param!$B$2,EXP(-(Matrice_OD!W97^2)/Param!$B$5),0)</f>
        <v>0</v>
      </c>
      <c r="X97" s="0" t="n">
        <f aca="false">IF(Matrice_OD!X97&lt;=Param!$B$2,EXP(-(Matrice_OD!X97^2)/Param!$B$5),0)</f>
        <v>0</v>
      </c>
      <c r="Y97" s="0" t="n">
        <f aca="false">IF(Matrice_OD!Y97&lt;=Param!$B$2,EXP(-(Matrice_OD!Y97^2)/Param!$B$5),0)</f>
        <v>0</v>
      </c>
      <c r="Z97" s="0" t="n">
        <f aca="false">IF(Matrice_OD!Z97&lt;=Param!$B$2,EXP(-(Matrice_OD!Z97^2)/Param!$B$5),0)</f>
        <v>0</v>
      </c>
      <c r="AA97" s="0" t="n">
        <f aca="false">IF(Matrice_OD!AA97&lt;=Param!$B$2,EXP(-(Matrice_OD!AA97^2)/Param!$B$5),0)</f>
        <v>0</v>
      </c>
      <c r="AB97" s="0" t="n">
        <f aca="false">IF(Matrice_OD!AB97&lt;=Param!$B$2,EXP(-(Matrice_OD!AB97^2)/Param!$B$5),0)</f>
        <v>0</v>
      </c>
      <c r="AC97" s="0" t="n">
        <f aca="false">IF(Matrice_OD!AC97&lt;=Param!$B$2,EXP(-(Matrice_OD!AC97^2)/Param!$B$5),0)</f>
        <v>0.487275324924567</v>
      </c>
      <c r="AD97" s="0" t="n">
        <f aca="false">IF(Matrice_OD!AD97&lt;=Param!$B$2,EXP(-(Matrice_OD!AD97^2)/Param!$B$5),0)</f>
        <v>0.480198326252235</v>
      </c>
      <c r="AE97" s="0" t="n">
        <f aca="false">IF(Matrice_OD!AE97&lt;=Param!$B$2,EXP(-(Matrice_OD!AE97^2)/Param!$B$5),0)</f>
        <v>0.508488876360017</v>
      </c>
      <c r="AF97" s="0" t="n">
        <f aca="false">IF(Matrice_OD!AF97&lt;=Param!$B$2,EXP(-(Matrice_OD!AF97^2)/Param!$B$5),0)</f>
        <v>0.506694940673554</v>
      </c>
      <c r="AG97" s="0" t="n">
        <f aca="false">IF(Matrice_OD!AG97&lt;=Param!$B$2,EXP(-(Matrice_OD!AG97^2)/Param!$B$5),0)</f>
        <v>0</v>
      </c>
      <c r="AH97" s="0" t="n">
        <f aca="false">IF(Matrice_OD!AH97&lt;=Param!$B$2,EXP(-(Matrice_OD!AH97^2)/Param!$B$5),0)</f>
        <v>0</v>
      </c>
      <c r="AI97" s="0" t="n">
        <f aca="false">IF(Matrice_OD!AI97&lt;=Param!$B$2,EXP(-(Matrice_OD!AI97^2)/Param!$B$5),0)</f>
        <v>0</v>
      </c>
      <c r="AJ97" s="0" t="n">
        <f aca="false">IF(Matrice_OD!AJ97&lt;=Param!$B$2,EXP(-(Matrice_OD!AJ97^2)/Param!$B$5),0)</f>
        <v>0</v>
      </c>
      <c r="AK97" s="0" t="n">
        <f aca="false">IF(Matrice_OD!AK97&lt;=Param!$B$2,EXP(-(Matrice_OD!AK97^2)/Param!$B$5),0)</f>
        <v>0.438294379249637</v>
      </c>
      <c r="AL97" s="0" t="n">
        <f aca="false">IF(Matrice_OD!AL97&lt;=Param!$B$2,EXP(-(Matrice_OD!AL97^2)/Param!$B$5),0)</f>
        <v>0.48255373230188</v>
      </c>
      <c r="AM97" s="0" t="n">
        <f aca="false">IF(Matrice_OD!AM97&lt;=Param!$B$2,EXP(-(Matrice_OD!AM97^2)/Param!$B$5),0)</f>
        <v>0</v>
      </c>
      <c r="AN97" s="0" t="n">
        <f aca="false">IF(Matrice_OD!AN97&lt;=Param!$B$2,EXP(-(Matrice_OD!AN97^2)/Param!$B$5),0)</f>
        <v>0</v>
      </c>
    </row>
    <row r="98" customFormat="false" ht="15" hidden="false" customHeight="true" outlineLevel="0" collapsed="false">
      <c r="A98" s="0" t="s">
        <v>294</v>
      </c>
      <c r="B98" s="0" t="s">
        <v>295</v>
      </c>
      <c r="C98" s="0" t="n">
        <f aca="false">IF(Matrice_OD!C98&lt;=Param!$B$2,EXP(-(Matrice_OD!C98^2)/Param!$B$5),0)</f>
        <v>0</v>
      </c>
      <c r="D98" s="0" t="n">
        <f aca="false">IF(Matrice_OD!D98&lt;=Param!$B$2,EXP(-(Matrice_OD!D98^2)/Param!$B$5),0)</f>
        <v>0</v>
      </c>
      <c r="E98" s="0" t="n">
        <f aca="false">IF(Matrice_OD!E98&lt;=Param!$B$2,EXP(-(Matrice_OD!E98^2)/Param!$B$5),0)</f>
        <v>0</v>
      </c>
      <c r="F98" s="0" t="n">
        <f aca="false">IF(Matrice_OD!F98&lt;=Param!$B$2,EXP(-(Matrice_OD!F98^2)/Param!$B$5),0)</f>
        <v>0</v>
      </c>
      <c r="G98" s="0" t="n">
        <f aca="false">IF(Matrice_OD!G98&lt;=Param!$B$2,EXP(-(Matrice_OD!G98^2)/Param!$B$5),0)</f>
        <v>0</v>
      </c>
      <c r="H98" s="0" t="n">
        <f aca="false">IF(Matrice_OD!H98&lt;=Param!$B$2,EXP(-(Matrice_OD!H98^2)/Param!$B$5),0)</f>
        <v>0</v>
      </c>
      <c r="I98" s="0" t="n">
        <f aca="false">IF(Matrice_OD!I98&lt;=Param!$B$2,EXP(-(Matrice_OD!I98^2)/Param!$B$5),0)</f>
        <v>0</v>
      </c>
      <c r="J98" s="0" t="n">
        <f aca="false">IF(Matrice_OD!J98&lt;=Param!$B$2,EXP(-(Matrice_OD!J98^2)/Param!$B$5),0)</f>
        <v>0</v>
      </c>
      <c r="K98" s="0" t="n">
        <f aca="false">IF(Matrice_OD!K98&lt;=Param!$B$2,EXP(-(Matrice_OD!K98^2)/Param!$B$5),0)</f>
        <v>0</v>
      </c>
      <c r="L98" s="0" t="n">
        <f aca="false">IF(Matrice_OD!L98&lt;=Param!$B$2,EXP(-(Matrice_OD!L98^2)/Param!$B$5),0)</f>
        <v>0</v>
      </c>
      <c r="M98" s="0" t="n">
        <f aca="false">IF(Matrice_OD!M98&lt;=Param!$B$2,EXP(-(Matrice_OD!M98^2)/Param!$B$5),0)</f>
        <v>0</v>
      </c>
      <c r="N98" s="0" t="n">
        <f aca="false">IF(Matrice_OD!N98&lt;=Param!$B$2,EXP(-(Matrice_OD!N98^2)/Param!$B$5),0)</f>
        <v>0</v>
      </c>
      <c r="O98" s="0" t="n">
        <f aca="false">IF(Matrice_OD!O98&lt;=Param!$B$2,EXP(-(Matrice_OD!O98^2)/Param!$B$5),0)</f>
        <v>0</v>
      </c>
      <c r="P98" s="0" t="n">
        <f aca="false">IF(Matrice_OD!P98&lt;=Param!$B$2,EXP(-(Matrice_OD!P98^2)/Param!$B$5),0)</f>
        <v>0</v>
      </c>
      <c r="Q98" s="0" t="n">
        <f aca="false">IF(Matrice_OD!Q98&lt;=Param!$B$2,EXP(-(Matrice_OD!Q98^2)/Param!$B$5),0)</f>
        <v>0</v>
      </c>
      <c r="R98" s="0" t="n">
        <f aca="false">IF(Matrice_OD!R98&lt;=Param!$B$2,EXP(-(Matrice_OD!R98^2)/Param!$B$5),0)</f>
        <v>0</v>
      </c>
      <c r="S98" s="0" t="n">
        <f aca="false">IF(Matrice_OD!S98&lt;=Param!$B$2,EXP(-(Matrice_OD!S98^2)/Param!$B$5),0)</f>
        <v>0</v>
      </c>
      <c r="T98" s="0" t="n">
        <f aca="false">IF(Matrice_OD!T98&lt;=Param!$B$2,EXP(-(Matrice_OD!T98^2)/Param!$B$5),0)</f>
        <v>0</v>
      </c>
      <c r="U98" s="0" t="n">
        <f aca="false">IF(Matrice_OD!U98&lt;=Param!$B$2,EXP(-(Matrice_OD!U98^2)/Param!$B$5),0)</f>
        <v>0</v>
      </c>
      <c r="V98" s="0" t="n">
        <f aca="false">IF(Matrice_OD!V98&lt;=Param!$B$2,EXP(-(Matrice_OD!V98^2)/Param!$B$5),0)</f>
        <v>0</v>
      </c>
      <c r="W98" s="0" t="n">
        <f aca="false">IF(Matrice_OD!W98&lt;=Param!$B$2,EXP(-(Matrice_OD!W98^2)/Param!$B$5),0)</f>
        <v>0</v>
      </c>
      <c r="X98" s="0" t="n">
        <f aca="false">IF(Matrice_OD!X98&lt;=Param!$B$2,EXP(-(Matrice_OD!X98^2)/Param!$B$5),0)</f>
        <v>0</v>
      </c>
      <c r="Y98" s="0" t="n">
        <f aca="false">IF(Matrice_OD!Y98&lt;=Param!$B$2,EXP(-(Matrice_OD!Y98^2)/Param!$B$5),0)</f>
        <v>0</v>
      </c>
      <c r="Z98" s="0" t="n">
        <f aca="false">IF(Matrice_OD!Z98&lt;=Param!$B$2,EXP(-(Matrice_OD!Z98^2)/Param!$B$5),0)</f>
        <v>0</v>
      </c>
      <c r="AA98" s="0" t="n">
        <f aca="false">IF(Matrice_OD!AA98&lt;=Param!$B$2,EXP(-(Matrice_OD!AA98^2)/Param!$B$5),0)</f>
        <v>0</v>
      </c>
      <c r="AB98" s="0" t="n">
        <f aca="false">IF(Matrice_OD!AB98&lt;=Param!$B$2,EXP(-(Matrice_OD!AB98^2)/Param!$B$5),0)</f>
        <v>0</v>
      </c>
      <c r="AC98" s="0" t="n">
        <f aca="false">IF(Matrice_OD!AC98&lt;=Param!$B$2,EXP(-(Matrice_OD!AC98^2)/Param!$B$5),0)</f>
        <v>0.767949595629655</v>
      </c>
      <c r="AD98" s="0" t="n">
        <f aca="false">IF(Matrice_OD!AD98&lt;=Param!$B$2,EXP(-(Matrice_OD!AD98^2)/Param!$B$5),0)</f>
        <v>0.759820509936157</v>
      </c>
      <c r="AE98" s="0" t="n">
        <f aca="false">IF(Matrice_OD!AE98&lt;=Param!$B$2,EXP(-(Matrice_OD!AE98^2)/Param!$B$5),0)</f>
        <v>0.744122513646933</v>
      </c>
      <c r="AF98" s="0" t="n">
        <f aca="false">IF(Matrice_OD!AF98&lt;=Param!$B$2,EXP(-(Matrice_OD!AF98^2)/Param!$B$5),0)</f>
        <v>0.742384868028234</v>
      </c>
      <c r="AG98" s="0" t="n">
        <f aca="false">IF(Matrice_OD!AG98&lt;=Param!$B$2,EXP(-(Matrice_OD!AG98^2)/Param!$B$5),0)</f>
        <v>0</v>
      </c>
      <c r="AH98" s="0" t="n">
        <f aca="false">IF(Matrice_OD!AH98&lt;=Param!$B$2,EXP(-(Matrice_OD!AH98^2)/Param!$B$5),0)</f>
        <v>0</v>
      </c>
      <c r="AI98" s="0" t="n">
        <f aca="false">IF(Matrice_OD!AI98&lt;=Param!$B$2,EXP(-(Matrice_OD!AI98^2)/Param!$B$5),0)</f>
        <v>0</v>
      </c>
      <c r="AJ98" s="0" t="n">
        <f aca="false">IF(Matrice_OD!AJ98&lt;=Param!$B$2,EXP(-(Matrice_OD!AJ98^2)/Param!$B$5),0)</f>
        <v>0</v>
      </c>
      <c r="AK98" s="0" t="n">
        <f aca="false">IF(Matrice_OD!AK98&lt;=Param!$B$2,EXP(-(Matrice_OD!AK98^2)/Param!$B$5),0)</f>
        <v>0.653383254818538</v>
      </c>
      <c r="AL98" s="0" t="n">
        <f aca="false">IF(Matrice_OD!AL98&lt;=Param!$B$2,EXP(-(Matrice_OD!AL98^2)/Param!$B$5),0)</f>
        <v>0.744122513646933</v>
      </c>
      <c r="AM98" s="0" t="n">
        <f aca="false">IF(Matrice_OD!AM98&lt;=Param!$B$2,EXP(-(Matrice_OD!AM98^2)/Param!$B$5),0)</f>
        <v>0</v>
      </c>
      <c r="AN98" s="0" t="n">
        <f aca="false">IF(Matrice_OD!AN98&lt;=Param!$B$2,EXP(-(Matrice_OD!AN98^2)/Param!$B$5),0)</f>
        <v>0</v>
      </c>
    </row>
    <row r="99" customFormat="false" ht="15" hidden="false" customHeight="true" outlineLevel="0" collapsed="false">
      <c r="A99" s="0" t="s">
        <v>296</v>
      </c>
      <c r="B99" s="0" t="s">
        <v>297</v>
      </c>
      <c r="C99" s="0" t="n">
        <f aca="false">IF(Matrice_OD!C99&lt;=Param!$B$2,EXP(-(Matrice_OD!C99^2)/Param!$B$5),0)</f>
        <v>0</v>
      </c>
      <c r="D99" s="0" t="n">
        <f aca="false">IF(Matrice_OD!D99&lt;=Param!$B$2,EXP(-(Matrice_OD!D99^2)/Param!$B$5),0)</f>
        <v>0</v>
      </c>
      <c r="E99" s="0" t="n">
        <f aca="false">IF(Matrice_OD!E99&lt;=Param!$B$2,EXP(-(Matrice_OD!E99^2)/Param!$B$5),0)</f>
        <v>0</v>
      </c>
      <c r="F99" s="0" t="n">
        <f aca="false">IF(Matrice_OD!F99&lt;=Param!$B$2,EXP(-(Matrice_OD!F99^2)/Param!$B$5),0)</f>
        <v>0</v>
      </c>
      <c r="G99" s="0" t="n">
        <f aca="false">IF(Matrice_OD!G99&lt;=Param!$B$2,EXP(-(Matrice_OD!G99^2)/Param!$B$5),0)</f>
        <v>0</v>
      </c>
      <c r="H99" s="0" t="n">
        <f aca="false">IF(Matrice_OD!H99&lt;=Param!$B$2,EXP(-(Matrice_OD!H99^2)/Param!$B$5),0)</f>
        <v>0</v>
      </c>
      <c r="I99" s="0" t="n">
        <f aca="false">IF(Matrice_OD!I99&lt;=Param!$B$2,EXP(-(Matrice_OD!I99^2)/Param!$B$5),0)</f>
        <v>0</v>
      </c>
      <c r="J99" s="0" t="n">
        <f aca="false">IF(Matrice_OD!J99&lt;=Param!$B$2,EXP(-(Matrice_OD!J99^2)/Param!$B$5),0)</f>
        <v>0</v>
      </c>
      <c r="K99" s="0" t="n">
        <f aca="false">IF(Matrice_OD!K99&lt;=Param!$B$2,EXP(-(Matrice_OD!K99^2)/Param!$B$5),0)</f>
        <v>0</v>
      </c>
      <c r="L99" s="0" t="n">
        <f aca="false">IF(Matrice_OD!L99&lt;=Param!$B$2,EXP(-(Matrice_OD!L99^2)/Param!$B$5),0)</f>
        <v>0</v>
      </c>
      <c r="M99" s="0" t="n">
        <f aca="false">IF(Matrice_OD!M99&lt;=Param!$B$2,EXP(-(Matrice_OD!M99^2)/Param!$B$5),0)</f>
        <v>0</v>
      </c>
      <c r="N99" s="0" t="n">
        <f aca="false">IF(Matrice_OD!N99&lt;=Param!$B$2,EXP(-(Matrice_OD!N99^2)/Param!$B$5),0)</f>
        <v>0</v>
      </c>
      <c r="O99" s="0" t="n">
        <f aca="false">IF(Matrice_OD!O99&lt;=Param!$B$2,EXP(-(Matrice_OD!O99^2)/Param!$B$5),0)</f>
        <v>0</v>
      </c>
      <c r="P99" s="0" t="n">
        <f aca="false">IF(Matrice_OD!P99&lt;=Param!$B$2,EXP(-(Matrice_OD!P99^2)/Param!$B$5),0)</f>
        <v>0</v>
      </c>
      <c r="Q99" s="0" t="n">
        <f aca="false">IF(Matrice_OD!Q99&lt;=Param!$B$2,EXP(-(Matrice_OD!Q99^2)/Param!$B$5),0)</f>
        <v>0</v>
      </c>
      <c r="R99" s="0" t="n">
        <f aca="false">IF(Matrice_OD!R99&lt;=Param!$B$2,EXP(-(Matrice_OD!R99^2)/Param!$B$5),0)</f>
        <v>0</v>
      </c>
      <c r="S99" s="0" t="n">
        <f aca="false">IF(Matrice_OD!S99&lt;=Param!$B$2,EXP(-(Matrice_OD!S99^2)/Param!$B$5),0)</f>
        <v>0</v>
      </c>
      <c r="T99" s="0" t="n">
        <f aca="false">IF(Matrice_OD!T99&lt;=Param!$B$2,EXP(-(Matrice_OD!T99^2)/Param!$B$5),0)</f>
        <v>0</v>
      </c>
      <c r="U99" s="0" t="n">
        <f aca="false">IF(Matrice_OD!U99&lt;=Param!$B$2,EXP(-(Matrice_OD!U99^2)/Param!$B$5),0)</f>
        <v>0</v>
      </c>
      <c r="V99" s="0" t="n">
        <f aca="false">IF(Matrice_OD!V99&lt;=Param!$B$2,EXP(-(Matrice_OD!V99^2)/Param!$B$5),0)</f>
        <v>0</v>
      </c>
      <c r="W99" s="0" t="n">
        <f aca="false">IF(Matrice_OD!W99&lt;=Param!$B$2,EXP(-(Matrice_OD!W99^2)/Param!$B$5),0)</f>
        <v>0</v>
      </c>
      <c r="X99" s="0" t="n">
        <f aca="false">IF(Matrice_OD!X99&lt;=Param!$B$2,EXP(-(Matrice_OD!X99^2)/Param!$B$5),0)</f>
        <v>0</v>
      </c>
      <c r="Y99" s="0" t="n">
        <f aca="false">IF(Matrice_OD!Y99&lt;=Param!$B$2,EXP(-(Matrice_OD!Y99^2)/Param!$B$5),0)</f>
        <v>0</v>
      </c>
      <c r="Z99" s="0" t="n">
        <f aca="false">IF(Matrice_OD!Z99&lt;=Param!$B$2,EXP(-(Matrice_OD!Z99^2)/Param!$B$5),0)</f>
        <v>0</v>
      </c>
      <c r="AA99" s="0" t="n">
        <f aca="false">IF(Matrice_OD!AA99&lt;=Param!$B$2,EXP(-(Matrice_OD!AA99^2)/Param!$B$5),0)</f>
        <v>0</v>
      </c>
      <c r="AB99" s="0" t="n">
        <f aca="false">IF(Matrice_OD!AB99&lt;=Param!$B$2,EXP(-(Matrice_OD!AB99^2)/Param!$B$5),0)</f>
        <v>0</v>
      </c>
      <c r="AC99" s="0" t="n">
        <f aca="false">IF(Matrice_OD!AC99&lt;=Param!$B$2,EXP(-(Matrice_OD!AC99^2)/Param!$B$5),0)</f>
        <v>0.0530417750525248</v>
      </c>
      <c r="AD99" s="0" t="n">
        <f aca="false">IF(Matrice_OD!AD99&lt;=Param!$B$2,EXP(-(Matrice_OD!AD99^2)/Param!$B$5),0)</f>
        <v>0.0547103018775986</v>
      </c>
      <c r="AE99" s="0" t="n">
        <f aca="false">IF(Matrice_OD!AE99&lt;=Param!$B$2,EXP(-(Matrice_OD!AE99^2)/Param!$B$5),0)</f>
        <v>0.0546214139519839</v>
      </c>
      <c r="AF99" s="0" t="n">
        <f aca="false">IF(Matrice_OD!AF99&lt;=Param!$B$2,EXP(-(Matrice_OD!AF99^2)/Param!$B$5),0)</f>
        <v>0.0516272523781037</v>
      </c>
      <c r="AG99" s="0" t="n">
        <f aca="false">IF(Matrice_OD!AG99&lt;=Param!$B$2,EXP(-(Matrice_OD!AG99^2)/Param!$B$5),0)</f>
        <v>0</v>
      </c>
      <c r="AH99" s="0" t="n">
        <f aca="false">IF(Matrice_OD!AH99&lt;=Param!$B$2,EXP(-(Matrice_OD!AH99^2)/Param!$B$5),0)</f>
        <v>0</v>
      </c>
      <c r="AI99" s="0" t="n">
        <f aca="false">IF(Matrice_OD!AI99&lt;=Param!$B$2,EXP(-(Matrice_OD!AI99^2)/Param!$B$5),0)</f>
        <v>0</v>
      </c>
      <c r="AJ99" s="0" t="n">
        <f aca="false">IF(Matrice_OD!AJ99&lt;=Param!$B$2,EXP(-(Matrice_OD!AJ99^2)/Param!$B$5),0)</f>
        <v>0</v>
      </c>
      <c r="AK99" s="0" t="n">
        <f aca="false">IF(Matrice_OD!AK99&lt;=Param!$B$2,EXP(-(Matrice_OD!AK99^2)/Param!$B$5),0)</f>
        <v>0.0377748665083647</v>
      </c>
      <c r="AL99" s="0" t="n">
        <f aca="false">IF(Matrice_OD!AL99&lt;=Param!$B$2,EXP(-(Matrice_OD!AL99^2)/Param!$B$5),0)</f>
        <v>0.0524807460249773</v>
      </c>
      <c r="AM99" s="0" t="n">
        <f aca="false">IF(Matrice_OD!AM99&lt;=Param!$B$2,EXP(-(Matrice_OD!AM99^2)/Param!$B$5),0)</f>
        <v>0</v>
      </c>
      <c r="AN99" s="0" t="n">
        <f aca="false">IF(Matrice_OD!AN99&lt;=Param!$B$2,EXP(-(Matrice_OD!AN99^2)/Param!$B$5),0)</f>
        <v>0</v>
      </c>
    </row>
    <row r="100" customFormat="false" ht="15" hidden="false" customHeight="true" outlineLevel="0" collapsed="false">
      <c r="A100" s="0" t="s">
        <v>298</v>
      </c>
      <c r="B100" s="0" t="s">
        <v>299</v>
      </c>
      <c r="C100" s="0" t="n">
        <f aca="false">IF(Matrice_OD!C100&lt;=Param!$B$2,EXP(-(Matrice_OD!C100^2)/Param!$B$5),0)</f>
        <v>0</v>
      </c>
      <c r="D100" s="0" t="n">
        <f aca="false">IF(Matrice_OD!D100&lt;=Param!$B$2,EXP(-(Matrice_OD!D100^2)/Param!$B$5),0)</f>
        <v>0</v>
      </c>
      <c r="E100" s="0" t="n">
        <f aca="false">IF(Matrice_OD!E100&lt;=Param!$B$2,EXP(-(Matrice_OD!E100^2)/Param!$B$5),0)</f>
        <v>0</v>
      </c>
      <c r="F100" s="0" t="n">
        <f aca="false">IF(Matrice_OD!F100&lt;=Param!$B$2,EXP(-(Matrice_OD!F100^2)/Param!$B$5),0)</f>
        <v>0</v>
      </c>
      <c r="G100" s="0" t="n">
        <f aca="false">IF(Matrice_OD!G100&lt;=Param!$B$2,EXP(-(Matrice_OD!G100^2)/Param!$B$5),0)</f>
        <v>0</v>
      </c>
      <c r="H100" s="0" t="n">
        <f aca="false">IF(Matrice_OD!H100&lt;=Param!$B$2,EXP(-(Matrice_OD!H100^2)/Param!$B$5),0)</f>
        <v>0</v>
      </c>
      <c r="I100" s="0" t="n">
        <f aca="false">IF(Matrice_OD!I100&lt;=Param!$B$2,EXP(-(Matrice_OD!I100^2)/Param!$B$5),0)</f>
        <v>0</v>
      </c>
      <c r="J100" s="0" t="n">
        <f aca="false">IF(Matrice_OD!J100&lt;=Param!$B$2,EXP(-(Matrice_OD!J100^2)/Param!$B$5),0)</f>
        <v>0</v>
      </c>
      <c r="K100" s="0" t="n">
        <f aca="false">IF(Matrice_OD!K100&lt;=Param!$B$2,EXP(-(Matrice_OD!K100^2)/Param!$B$5),0)</f>
        <v>0</v>
      </c>
      <c r="L100" s="0" t="n">
        <f aca="false">IF(Matrice_OD!L100&lt;=Param!$B$2,EXP(-(Matrice_OD!L100^2)/Param!$B$5),0)</f>
        <v>0</v>
      </c>
      <c r="M100" s="0" t="n">
        <f aca="false">IF(Matrice_OD!M100&lt;=Param!$B$2,EXP(-(Matrice_OD!M100^2)/Param!$B$5),0)</f>
        <v>0</v>
      </c>
      <c r="N100" s="0" t="n">
        <f aca="false">IF(Matrice_OD!N100&lt;=Param!$B$2,EXP(-(Matrice_OD!N100^2)/Param!$B$5),0)</f>
        <v>0</v>
      </c>
      <c r="O100" s="0" t="n">
        <f aca="false">IF(Matrice_OD!O100&lt;=Param!$B$2,EXP(-(Matrice_OD!O100^2)/Param!$B$5),0)</f>
        <v>0</v>
      </c>
      <c r="P100" s="0" t="n">
        <f aca="false">IF(Matrice_OD!P100&lt;=Param!$B$2,EXP(-(Matrice_OD!P100^2)/Param!$B$5),0)</f>
        <v>0</v>
      </c>
      <c r="Q100" s="0" t="n">
        <f aca="false">IF(Matrice_OD!Q100&lt;=Param!$B$2,EXP(-(Matrice_OD!Q100^2)/Param!$B$5),0)</f>
        <v>0</v>
      </c>
      <c r="R100" s="0" t="n">
        <f aca="false">IF(Matrice_OD!R100&lt;=Param!$B$2,EXP(-(Matrice_OD!R100^2)/Param!$B$5),0)</f>
        <v>0</v>
      </c>
      <c r="S100" s="0" t="n">
        <f aca="false">IF(Matrice_OD!S100&lt;=Param!$B$2,EXP(-(Matrice_OD!S100^2)/Param!$B$5),0)</f>
        <v>0</v>
      </c>
      <c r="T100" s="0" t="n">
        <f aca="false">IF(Matrice_OD!T100&lt;=Param!$B$2,EXP(-(Matrice_OD!T100^2)/Param!$B$5),0)</f>
        <v>0</v>
      </c>
      <c r="U100" s="0" t="n">
        <f aca="false">IF(Matrice_OD!U100&lt;=Param!$B$2,EXP(-(Matrice_OD!U100^2)/Param!$B$5),0)</f>
        <v>0</v>
      </c>
      <c r="V100" s="0" t="n">
        <f aca="false">IF(Matrice_OD!V100&lt;=Param!$B$2,EXP(-(Matrice_OD!V100^2)/Param!$B$5),0)</f>
        <v>0</v>
      </c>
      <c r="W100" s="0" t="n">
        <f aca="false">IF(Matrice_OD!W100&lt;=Param!$B$2,EXP(-(Matrice_OD!W100^2)/Param!$B$5),0)</f>
        <v>0</v>
      </c>
      <c r="X100" s="0" t="n">
        <f aca="false">IF(Matrice_OD!X100&lt;=Param!$B$2,EXP(-(Matrice_OD!X100^2)/Param!$B$5),0)</f>
        <v>0</v>
      </c>
      <c r="Y100" s="0" t="n">
        <f aca="false">IF(Matrice_OD!Y100&lt;=Param!$B$2,EXP(-(Matrice_OD!Y100^2)/Param!$B$5),0)</f>
        <v>0</v>
      </c>
      <c r="Z100" s="0" t="n">
        <f aca="false">IF(Matrice_OD!Z100&lt;=Param!$B$2,EXP(-(Matrice_OD!Z100^2)/Param!$B$5),0)</f>
        <v>0</v>
      </c>
      <c r="AA100" s="0" t="n">
        <f aca="false">IF(Matrice_OD!AA100&lt;=Param!$B$2,EXP(-(Matrice_OD!AA100^2)/Param!$B$5),0)</f>
        <v>0</v>
      </c>
      <c r="AB100" s="0" t="n">
        <f aca="false">IF(Matrice_OD!AB100&lt;=Param!$B$2,EXP(-(Matrice_OD!AB100^2)/Param!$B$5),0)</f>
        <v>0</v>
      </c>
      <c r="AC100" s="0" t="n">
        <f aca="false">IF(Matrice_OD!AC100&lt;=Param!$B$2,EXP(-(Matrice_OD!AC100^2)/Param!$B$5),0)</f>
        <v>0.347801030305718</v>
      </c>
      <c r="AD100" s="0" t="n">
        <f aca="false">IF(Matrice_OD!AD100&lt;=Param!$B$2,EXP(-(Matrice_OD!AD100^2)/Param!$B$5),0)</f>
        <v>0.3543097561759</v>
      </c>
      <c r="AE100" s="0" t="n">
        <f aca="false">IF(Matrice_OD!AE100&lt;=Param!$B$2,EXP(-(Matrice_OD!AE100^2)/Param!$B$5),0)</f>
        <v>0.353793622473855</v>
      </c>
      <c r="AF100" s="0" t="n">
        <f aca="false">IF(Matrice_OD!AF100&lt;=Param!$B$2,EXP(-(Matrice_OD!AF100^2)/Param!$B$5),0)</f>
        <v>0.342031242277015</v>
      </c>
      <c r="AG100" s="0" t="n">
        <f aca="false">IF(Matrice_OD!AG100&lt;=Param!$B$2,EXP(-(Matrice_OD!AG100^2)/Param!$B$5),0)</f>
        <v>0</v>
      </c>
      <c r="AH100" s="0" t="n">
        <f aca="false">IF(Matrice_OD!AH100&lt;=Param!$B$2,EXP(-(Matrice_OD!AH100^2)/Param!$B$5),0)</f>
        <v>0</v>
      </c>
      <c r="AI100" s="0" t="n">
        <f aca="false">IF(Matrice_OD!AI100&lt;=Param!$B$2,EXP(-(Matrice_OD!AI100^2)/Param!$B$5),0)</f>
        <v>0</v>
      </c>
      <c r="AJ100" s="0" t="n">
        <f aca="false">IF(Matrice_OD!AJ100&lt;=Param!$B$2,EXP(-(Matrice_OD!AJ100^2)/Param!$B$5),0)</f>
        <v>0</v>
      </c>
      <c r="AK100" s="0" t="n">
        <f aca="false">IF(Matrice_OD!AK100&lt;=Param!$B$2,EXP(-(Matrice_OD!AK100^2)/Param!$B$5),0)</f>
        <v>0.282692104538612</v>
      </c>
      <c r="AL100" s="0" t="n">
        <f aca="false">IF(Matrice_OD!AL100&lt;=Param!$B$2,EXP(-(Matrice_OD!AL100^2)/Param!$B$5),0)</f>
        <v>0.346098725485353</v>
      </c>
      <c r="AM100" s="0" t="n">
        <f aca="false">IF(Matrice_OD!AM100&lt;=Param!$B$2,EXP(-(Matrice_OD!AM100^2)/Param!$B$5),0)</f>
        <v>0</v>
      </c>
      <c r="AN100" s="0" t="n">
        <f aca="false">IF(Matrice_OD!AN100&lt;=Param!$B$2,EXP(-(Matrice_OD!AN100^2)/Param!$B$5),0)</f>
        <v>0</v>
      </c>
    </row>
    <row r="101" customFormat="false" ht="15" hidden="false" customHeight="true" outlineLevel="0" collapsed="false">
      <c r="A101" s="0" t="s">
        <v>300</v>
      </c>
      <c r="B101" s="0" t="s">
        <v>301</v>
      </c>
      <c r="C101" s="0" t="n">
        <f aca="false">IF(Matrice_OD!C101&lt;=Param!$B$2,EXP(-(Matrice_OD!C101^2)/Param!$B$5),0)</f>
        <v>0</v>
      </c>
      <c r="D101" s="0" t="n">
        <f aca="false">IF(Matrice_OD!D101&lt;=Param!$B$2,EXP(-(Matrice_OD!D101^2)/Param!$B$5),0)</f>
        <v>0</v>
      </c>
      <c r="E101" s="0" t="n">
        <f aca="false">IF(Matrice_OD!E101&lt;=Param!$B$2,EXP(-(Matrice_OD!E101^2)/Param!$B$5),0)</f>
        <v>0</v>
      </c>
      <c r="F101" s="0" t="n">
        <f aca="false">IF(Matrice_OD!F101&lt;=Param!$B$2,EXP(-(Matrice_OD!F101^2)/Param!$B$5),0)</f>
        <v>0</v>
      </c>
      <c r="G101" s="0" t="n">
        <f aca="false">IF(Matrice_OD!G101&lt;=Param!$B$2,EXP(-(Matrice_OD!G101^2)/Param!$B$5),0)</f>
        <v>0</v>
      </c>
      <c r="H101" s="0" t="n">
        <f aca="false">IF(Matrice_OD!H101&lt;=Param!$B$2,EXP(-(Matrice_OD!H101^2)/Param!$B$5),0)</f>
        <v>0</v>
      </c>
      <c r="I101" s="0" t="n">
        <f aca="false">IF(Matrice_OD!I101&lt;=Param!$B$2,EXP(-(Matrice_OD!I101^2)/Param!$B$5),0)</f>
        <v>0</v>
      </c>
      <c r="J101" s="0" t="n">
        <f aca="false">IF(Matrice_OD!J101&lt;=Param!$B$2,EXP(-(Matrice_OD!J101^2)/Param!$B$5),0)</f>
        <v>0</v>
      </c>
      <c r="K101" s="0" t="n">
        <f aca="false">IF(Matrice_OD!K101&lt;=Param!$B$2,EXP(-(Matrice_OD!K101^2)/Param!$B$5),0)</f>
        <v>0</v>
      </c>
      <c r="L101" s="0" t="n">
        <f aca="false">IF(Matrice_OD!L101&lt;=Param!$B$2,EXP(-(Matrice_OD!L101^2)/Param!$B$5),0)</f>
        <v>0</v>
      </c>
      <c r="M101" s="0" t="n">
        <f aca="false">IF(Matrice_OD!M101&lt;=Param!$B$2,EXP(-(Matrice_OD!M101^2)/Param!$B$5),0)</f>
        <v>0</v>
      </c>
      <c r="N101" s="0" t="n">
        <f aca="false">IF(Matrice_OD!N101&lt;=Param!$B$2,EXP(-(Matrice_OD!N101^2)/Param!$B$5),0)</f>
        <v>0</v>
      </c>
      <c r="O101" s="0" t="n">
        <f aca="false">IF(Matrice_OD!O101&lt;=Param!$B$2,EXP(-(Matrice_OD!O101^2)/Param!$B$5),0)</f>
        <v>0</v>
      </c>
      <c r="P101" s="0" t="n">
        <f aca="false">IF(Matrice_OD!P101&lt;=Param!$B$2,EXP(-(Matrice_OD!P101^2)/Param!$B$5),0)</f>
        <v>0</v>
      </c>
      <c r="Q101" s="0" t="n">
        <f aca="false">IF(Matrice_OD!Q101&lt;=Param!$B$2,EXP(-(Matrice_OD!Q101^2)/Param!$B$5),0)</f>
        <v>0</v>
      </c>
      <c r="R101" s="0" t="n">
        <f aca="false">IF(Matrice_OD!R101&lt;=Param!$B$2,EXP(-(Matrice_OD!R101^2)/Param!$B$5),0)</f>
        <v>0</v>
      </c>
      <c r="S101" s="0" t="n">
        <f aca="false">IF(Matrice_OD!S101&lt;=Param!$B$2,EXP(-(Matrice_OD!S101^2)/Param!$B$5),0)</f>
        <v>0</v>
      </c>
      <c r="T101" s="0" t="n">
        <f aca="false">IF(Matrice_OD!T101&lt;=Param!$B$2,EXP(-(Matrice_OD!T101^2)/Param!$B$5),0)</f>
        <v>0</v>
      </c>
      <c r="U101" s="0" t="n">
        <f aca="false">IF(Matrice_OD!U101&lt;=Param!$B$2,EXP(-(Matrice_OD!U101^2)/Param!$B$5),0)</f>
        <v>0.0435261245042169</v>
      </c>
      <c r="V101" s="0" t="n">
        <f aca="false">IF(Matrice_OD!V101&lt;=Param!$B$2,EXP(-(Matrice_OD!V101^2)/Param!$B$5),0)</f>
        <v>0</v>
      </c>
      <c r="W101" s="0" t="n">
        <f aca="false">IF(Matrice_OD!W101&lt;=Param!$B$2,EXP(-(Matrice_OD!W101^2)/Param!$B$5),0)</f>
        <v>0</v>
      </c>
      <c r="X101" s="0" t="n">
        <f aca="false">IF(Matrice_OD!X101&lt;=Param!$B$2,EXP(-(Matrice_OD!X101^2)/Param!$B$5),0)</f>
        <v>0</v>
      </c>
      <c r="Y101" s="0" t="n">
        <f aca="false">IF(Matrice_OD!Y101&lt;=Param!$B$2,EXP(-(Matrice_OD!Y101^2)/Param!$B$5),0)</f>
        <v>0</v>
      </c>
      <c r="Z101" s="0" t="n">
        <f aca="false">IF(Matrice_OD!Z101&lt;=Param!$B$2,EXP(-(Matrice_OD!Z101^2)/Param!$B$5),0)</f>
        <v>0</v>
      </c>
      <c r="AA101" s="0" t="n">
        <f aca="false">IF(Matrice_OD!AA101&lt;=Param!$B$2,EXP(-(Matrice_OD!AA101^2)/Param!$B$5),0)</f>
        <v>0</v>
      </c>
      <c r="AB101" s="0" t="n">
        <f aca="false">IF(Matrice_OD!AB101&lt;=Param!$B$2,EXP(-(Matrice_OD!AB101^2)/Param!$B$5),0)</f>
        <v>0</v>
      </c>
      <c r="AC101" s="0" t="n">
        <f aca="false">IF(Matrice_OD!AC101&lt;=Param!$B$2,EXP(-(Matrice_OD!AC101^2)/Param!$B$5),0)</f>
        <v>0.0623179432105535</v>
      </c>
      <c r="AD101" s="0" t="n">
        <f aca="false">IF(Matrice_OD!AD101&lt;=Param!$B$2,EXP(-(Matrice_OD!AD101^2)/Param!$B$5),0)</f>
        <v>0.0642227450019997</v>
      </c>
      <c r="AE101" s="0" t="n">
        <f aca="false">IF(Matrice_OD!AE101&lt;=Param!$B$2,EXP(-(Matrice_OD!AE101^2)/Param!$B$5),0)</f>
        <v>0.0641213185669927</v>
      </c>
      <c r="AF101" s="0" t="n">
        <f aca="false">IF(Matrice_OD!AF101&lt;=Param!$B$2,EXP(-(Matrice_OD!AF101^2)/Param!$B$5),0)</f>
        <v>0.0607015806341044</v>
      </c>
      <c r="AG101" s="0" t="n">
        <f aca="false">IF(Matrice_OD!AG101&lt;=Param!$B$2,EXP(-(Matrice_OD!AG101^2)/Param!$B$5),0)</f>
        <v>0</v>
      </c>
      <c r="AH101" s="0" t="n">
        <f aca="false">IF(Matrice_OD!AH101&lt;=Param!$B$2,EXP(-(Matrice_OD!AH101^2)/Param!$B$5),0)</f>
        <v>0</v>
      </c>
      <c r="AI101" s="0" t="n">
        <f aca="false">IF(Matrice_OD!AI101&lt;=Param!$B$2,EXP(-(Matrice_OD!AI101^2)/Param!$B$5),0)</f>
        <v>0</v>
      </c>
      <c r="AJ101" s="0" t="n">
        <f aca="false">IF(Matrice_OD!AJ101&lt;=Param!$B$2,EXP(-(Matrice_OD!AJ101^2)/Param!$B$5),0)</f>
        <v>0</v>
      </c>
      <c r="AK101" s="0" t="n">
        <f aca="false">IF(Matrice_OD!AK101&lt;=Param!$B$2,EXP(-(Matrice_OD!AK101^2)/Param!$B$5),0)</f>
        <v>0.0447907282277723</v>
      </c>
      <c r="AL101" s="0" t="n">
        <f aca="false">IF(Matrice_OD!AL101&lt;=Param!$B$2,EXP(-(Matrice_OD!AL101^2)/Param!$B$5),0)</f>
        <v>0.0616770306093161</v>
      </c>
      <c r="AM101" s="0" t="n">
        <f aca="false">IF(Matrice_OD!AM101&lt;=Param!$B$2,EXP(-(Matrice_OD!AM101^2)/Param!$B$5),0)</f>
        <v>0</v>
      </c>
      <c r="AN101" s="0" t="n">
        <f aca="false">IF(Matrice_OD!AN101&lt;=Param!$B$2,EXP(-(Matrice_OD!AN101^2)/Param!$B$5),0)</f>
        <v>0</v>
      </c>
    </row>
    <row r="102" customFormat="false" ht="15" hidden="false" customHeight="true" outlineLevel="0" collapsed="false">
      <c r="A102" s="0" t="s">
        <v>302</v>
      </c>
      <c r="B102" s="0" t="s">
        <v>303</v>
      </c>
      <c r="C102" s="0" t="n">
        <f aca="false">IF(Matrice_OD!C102&lt;=Param!$B$2,EXP(-(Matrice_OD!C102^2)/Param!$B$5),0)</f>
        <v>0</v>
      </c>
      <c r="D102" s="0" t="n">
        <f aca="false">IF(Matrice_OD!D102&lt;=Param!$B$2,EXP(-(Matrice_OD!D102^2)/Param!$B$5),0)</f>
        <v>0</v>
      </c>
      <c r="E102" s="0" t="n">
        <f aca="false">IF(Matrice_OD!E102&lt;=Param!$B$2,EXP(-(Matrice_OD!E102^2)/Param!$B$5),0)</f>
        <v>0</v>
      </c>
      <c r="F102" s="0" t="n">
        <f aca="false">IF(Matrice_OD!F102&lt;=Param!$B$2,EXP(-(Matrice_OD!F102^2)/Param!$B$5),0)</f>
        <v>0</v>
      </c>
      <c r="G102" s="0" t="n">
        <f aca="false">IF(Matrice_OD!G102&lt;=Param!$B$2,EXP(-(Matrice_OD!G102^2)/Param!$B$5),0)</f>
        <v>0</v>
      </c>
      <c r="H102" s="0" t="n">
        <f aca="false">IF(Matrice_OD!H102&lt;=Param!$B$2,EXP(-(Matrice_OD!H102^2)/Param!$B$5),0)</f>
        <v>0</v>
      </c>
      <c r="I102" s="0" t="n">
        <f aca="false">IF(Matrice_OD!I102&lt;=Param!$B$2,EXP(-(Matrice_OD!I102^2)/Param!$B$5),0)</f>
        <v>0</v>
      </c>
      <c r="J102" s="0" t="n">
        <f aca="false">IF(Matrice_OD!J102&lt;=Param!$B$2,EXP(-(Matrice_OD!J102^2)/Param!$B$5),0)</f>
        <v>0</v>
      </c>
      <c r="K102" s="0" t="n">
        <f aca="false">IF(Matrice_OD!K102&lt;=Param!$B$2,EXP(-(Matrice_OD!K102^2)/Param!$B$5),0)</f>
        <v>0</v>
      </c>
      <c r="L102" s="0" t="n">
        <f aca="false">IF(Matrice_OD!L102&lt;=Param!$B$2,EXP(-(Matrice_OD!L102^2)/Param!$B$5),0)</f>
        <v>0</v>
      </c>
      <c r="M102" s="0" t="n">
        <f aca="false">IF(Matrice_OD!M102&lt;=Param!$B$2,EXP(-(Matrice_OD!M102^2)/Param!$B$5),0)</f>
        <v>0</v>
      </c>
      <c r="N102" s="0" t="n">
        <f aca="false">IF(Matrice_OD!N102&lt;=Param!$B$2,EXP(-(Matrice_OD!N102^2)/Param!$B$5),0)</f>
        <v>0</v>
      </c>
      <c r="O102" s="0" t="n">
        <f aca="false">IF(Matrice_OD!O102&lt;=Param!$B$2,EXP(-(Matrice_OD!O102^2)/Param!$B$5),0)</f>
        <v>0</v>
      </c>
      <c r="P102" s="0" t="n">
        <f aca="false">IF(Matrice_OD!P102&lt;=Param!$B$2,EXP(-(Matrice_OD!P102^2)/Param!$B$5),0)</f>
        <v>0</v>
      </c>
      <c r="Q102" s="0" t="n">
        <f aca="false">IF(Matrice_OD!Q102&lt;=Param!$B$2,EXP(-(Matrice_OD!Q102^2)/Param!$B$5),0)</f>
        <v>0</v>
      </c>
      <c r="R102" s="0" t="n">
        <f aca="false">IF(Matrice_OD!R102&lt;=Param!$B$2,EXP(-(Matrice_OD!R102^2)/Param!$B$5),0)</f>
        <v>0</v>
      </c>
      <c r="S102" s="0" t="n">
        <f aca="false">IF(Matrice_OD!S102&lt;=Param!$B$2,EXP(-(Matrice_OD!S102^2)/Param!$B$5),0)</f>
        <v>0</v>
      </c>
      <c r="T102" s="0" t="n">
        <f aca="false">IF(Matrice_OD!T102&lt;=Param!$B$2,EXP(-(Matrice_OD!T102^2)/Param!$B$5),0)</f>
        <v>0</v>
      </c>
      <c r="U102" s="0" t="n">
        <f aca="false">IF(Matrice_OD!U102&lt;=Param!$B$2,EXP(-(Matrice_OD!U102^2)/Param!$B$5),0)</f>
        <v>0.0202479995946895</v>
      </c>
      <c r="V102" s="0" t="n">
        <f aca="false">IF(Matrice_OD!V102&lt;=Param!$B$2,EXP(-(Matrice_OD!V102^2)/Param!$B$5),0)</f>
        <v>0</v>
      </c>
      <c r="W102" s="0" t="n">
        <f aca="false">IF(Matrice_OD!W102&lt;=Param!$B$2,EXP(-(Matrice_OD!W102^2)/Param!$B$5),0)</f>
        <v>0</v>
      </c>
      <c r="X102" s="0" t="n">
        <f aca="false">IF(Matrice_OD!X102&lt;=Param!$B$2,EXP(-(Matrice_OD!X102^2)/Param!$B$5),0)</f>
        <v>0</v>
      </c>
      <c r="Y102" s="0" t="n">
        <f aca="false">IF(Matrice_OD!Y102&lt;=Param!$B$2,EXP(-(Matrice_OD!Y102^2)/Param!$B$5),0)</f>
        <v>0</v>
      </c>
      <c r="Z102" s="0" t="n">
        <f aca="false">IF(Matrice_OD!Z102&lt;=Param!$B$2,EXP(-(Matrice_OD!Z102^2)/Param!$B$5),0)</f>
        <v>0</v>
      </c>
      <c r="AA102" s="0" t="n">
        <f aca="false">IF(Matrice_OD!AA102&lt;=Param!$B$2,EXP(-(Matrice_OD!AA102^2)/Param!$B$5),0)</f>
        <v>0</v>
      </c>
      <c r="AB102" s="0" t="n">
        <f aca="false">IF(Matrice_OD!AB102&lt;=Param!$B$2,EXP(-(Matrice_OD!AB102^2)/Param!$B$5),0)</f>
        <v>0</v>
      </c>
      <c r="AC102" s="0" t="n">
        <f aca="false">IF(Matrice_OD!AC102&lt;=Param!$B$2,EXP(-(Matrice_OD!AC102^2)/Param!$B$5),0)</f>
        <v>0</v>
      </c>
      <c r="AD102" s="0" t="n">
        <f aca="false">IF(Matrice_OD!AD102&lt;=Param!$B$2,EXP(-(Matrice_OD!AD102^2)/Param!$B$5),0)</f>
        <v>0</v>
      </c>
      <c r="AE102" s="0" t="n">
        <f aca="false">IF(Matrice_OD!AE102&lt;=Param!$B$2,EXP(-(Matrice_OD!AE102^2)/Param!$B$5),0)</f>
        <v>0</v>
      </c>
      <c r="AF102" s="0" t="n">
        <f aca="false">IF(Matrice_OD!AF102&lt;=Param!$B$2,EXP(-(Matrice_OD!AF102^2)/Param!$B$5),0)</f>
        <v>0</v>
      </c>
      <c r="AG102" s="0" t="n">
        <f aca="false">IF(Matrice_OD!AG102&lt;=Param!$B$2,EXP(-(Matrice_OD!AG102^2)/Param!$B$5),0)</f>
        <v>0</v>
      </c>
      <c r="AH102" s="0" t="n">
        <f aca="false">IF(Matrice_OD!AH102&lt;=Param!$B$2,EXP(-(Matrice_OD!AH102^2)/Param!$B$5),0)</f>
        <v>0</v>
      </c>
      <c r="AI102" s="0" t="n">
        <f aca="false">IF(Matrice_OD!AI102&lt;=Param!$B$2,EXP(-(Matrice_OD!AI102^2)/Param!$B$5),0)</f>
        <v>0</v>
      </c>
      <c r="AJ102" s="0" t="n">
        <f aca="false">IF(Matrice_OD!AJ102&lt;=Param!$B$2,EXP(-(Matrice_OD!AJ102^2)/Param!$B$5),0)</f>
        <v>0</v>
      </c>
      <c r="AK102" s="0" t="n">
        <f aca="false">IF(Matrice_OD!AK102&lt;=Param!$B$2,EXP(-(Matrice_OD!AK102^2)/Param!$B$5),0)</f>
        <v>0</v>
      </c>
      <c r="AL102" s="0" t="n">
        <f aca="false">IF(Matrice_OD!AL102&lt;=Param!$B$2,EXP(-(Matrice_OD!AL102^2)/Param!$B$5),0)</f>
        <v>0</v>
      </c>
      <c r="AM102" s="0" t="n">
        <f aca="false">IF(Matrice_OD!AM102&lt;=Param!$B$2,EXP(-(Matrice_OD!AM102^2)/Param!$B$5),0)</f>
        <v>0</v>
      </c>
      <c r="AN102" s="0" t="n">
        <f aca="false">IF(Matrice_OD!AN102&lt;=Param!$B$2,EXP(-(Matrice_OD!AN102^2)/Param!$B$5),0)</f>
        <v>0</v>
      </c>
    </row>
    <row r="103" customFormat="false" ht="15" hidden="false" customHeight="true" outlineLevel="0" collapsed="false">
      <c r="A103" s="0" t="s">
        <v>304</v>
      </c>
      <c r="B103" s="0" t="s">
        <v>305</v>
      </c>
      <c r="C103" s="0" t="n">
        <f aca="false">IF(Matrice_OD!C103&lt;=Param!$B$2,EXP(-(Matrice_OD!C103^2)/Param!$B$5),0)</f>
        <v>0</v>
      </c>
      <c r="D103" s="0" t="n">
        <f aca="false">IF(Matrice_OD!D103&lt;=Param!$B$2,EXP(-(Matrice_OD!D103^2)/Param!$B$5),0)</f>
        <v>0</v>
      </c>
      <c r="E103" s="0" t="n">
        <f aca="false">IF(Matrice_OD!E103&lt;=Param!$B$2,EXP(-(Matrice_OD!E103^2)/Param!$B$5),0)</f>
        <v>0</v>
      </c>
      <c r="F103" s="0" t="n">
        <f aca="false">IF(Matrice_OD!F103&lt;=Param!$B$2,EXP(-(Matrice_OD!F103^2)/Param!$B$5),0)</f>
        <v>0</v>
      </c>
      <c r="G103" s="0" t="n">
        <f aca="false">IF(Matrice_OD!G103&lt;=Param!$B$2,EXP(-(Matrice_OD!G103^2)/Param!$B$5),0)</f>
        <v>0</v>
      </c>
      <c r="H103" s="0" t="n">
        <f aca="false">IF(Matrice_OD!H103&lt;=Param!$B$2,EXP(-(Matrice_OD!H103^2)/Param!$B$5),0)</f>
        <v>0</v>
      </c>
      <c r="I103" s="0" t="n">
        <f aca="false">IF(Matrice_OD!I103&lt;=Param!$B$2,EXP(-(Matrice_OD!I103^2)/Param!$B$5),0)</f>
        <v>0</v>
      </c>
      <c r="J103" s="0" t="n">
        <f aca="false">IF(Matrice_OD!J103&lt;=Param!$B$2,EXP(-(Matrice_OD!J103^2)/Param!$B$5),0)</f>
        <v>0</v>
      </c>
      <c r="K103" s="0" t="n">
        <f aca="false">IF(Matrice_OD!K103&lt;=Param!$B$2,EXP(-(Matrice_OD!K103^2)/Param!$B$5),0)</f>
        <v>0</v>
      </c>
      <c r="L103" s="0" t="n">
        <f aca="false">IF(Matrice_OD!L103&lt;=Param!$B$2,EXP(-(Matrice_OD!L103^2)/Param!$B$5),0)</f>
        <v>0</v>
      </c>
      <c r="M103" s="0" t="n">
        <f aca="false">IF(Matrice_OD!M103&lt;=Param!$B$2,EXP(-(Matrice_OD!M103^2)/Param!$B$5),0)</f>
        <v>0</v>
      </c>
      <c r="N103" s="0" t="n">
        <f aca="false">IF(Matrice_OD!N103&lt;=Param!$B$2,EXP(-(Matrice_OD!N103^2)/Param!$B$5),0)</f>
        <v>0</v>
      </c>
      <c r="O103" s="0" t="n">
        <f aca="false">IF(Matrice_OD!O103&lt;=Param!$B$2,EXP(-(Matrice_OD!O103^2)/Param!$B$5),0)</f>
        <v>0</v>
      </c>
      <c r="P103" s="0" t="n">
        <f aca="false">IF(Matrice_OD!P103&lt;=Param!$B$2,EXP(-(Matrice_OD!P103^2)/Param!$B$5),0)</f>
        <v>0</v>
      </c>
      <c r="Q103" s="0" t="n">
        <f aca="false">IF(Matrice_OD!Q103&lt;=Param!$B$2,EXP(-(Matrice_OD!Q103^2)/Param!$B$5),0)</f>
        <v>0</v>
      </c>
      <c r="R103" s="0" t="n">
        <f aca="false">IF(Matrice_OD!R103&lt;=Param!$B$2,EXP(-(Matrice_OD!R103^2)/Param!$B$5),0)</f>
        <v>0</v>
      </c>
      <c r="S103" s="0" t="n">
        <f aca="false">IF(Matrice_OD!S103&lt;=Param!$B$2,EXP(-(Matrice_OD!S103^2)/Param!$B$5),0)</f>
        <v>0</v>
      </c>
      <c r="T103" s="0" t="n">
        <f aca="false">IF(Matrice_OD!T103&lt;=Param!$B$2,EXP(-(Matrice_OD!T103^2)/Param!$B$5),0)</f>
        <v>0</v>
      </c>
      <c r="U103" s="0" t="n">
        <f aca="false">IF(Matrice_OD!U103&lt;=Param!$B$2,EXP(-(Matrice_OD!U103^2)/Param!$B$5),0)</f>
        <v>0.0387971657293691</v>
      </c>
      <c r="V103" s="0" t="n">
        <f aca="false">IF(Matrice_OD!V103&lt;=Param!$B$2,EXP(-(Matrice_OD!V103^2)/Param!$B$5),0)</f>
        <v>0</v>
      </c>
      <c r="W103" s="0" t="n">
        <f aca="false">IF(Matrice_OD!W103&lt;=Param!$B$2,EXP(-(Matrice_OD!W103^2)/Param!$B$5),0)</f>
        <v>0</v>
      </c>
      <c r="X103" s="0" t="n">
        <f aca="false">IF(Matrice_OD!X103&lt;=Param!$B$2,EXP(-(Matrice_OD!X103^2)/Param!$B$5),0)</f>
        <v>0</v>
      </c>
      <c r="Y103" s="0" t="n">
        <f aca="false">IF(Matrice_OD!Y103&lt;=Param!$B$2,EXP(-(Matrice_OD!Y103^2)/Param!$B$5),0)</f>
        <v>0</v>
      </c>
      <c r="Z103" s="0" t="n">
        <f aca="false">IF(Matrice_OD!Z103&lt;=Param!$B$2,EXP(-(Matrice_OD!Z103^2)/Param!$B$5),0)</f>
        <v>0</v>
      </c>
      <c r="AA103" s="0" t="n">
        <f aca="false">IF(Matrice_OD!AA103&lt;=Param!$B$2,EXP(-(Matrice_OD!AA103^2)/Param!$B$5),0)</f>
        <v>0</v>
      </c>
      <c r="AB103" s="0" t="n">
        <f aca="false">IF(Matrice_OD!AB103&lt;=Param!$B$2,EXP(-(Matrice_OD!AB103^2)/Param!$B$5),0)</f>
        <v>0</v>
      </c>
      <c r="AC103" s="0" t="n">
        <f aca="false">IF(Matrice_OD!AC103&lt;=Param!$B$2,EXP(-(Matrice_OD!AC103^2)/Param!$B$5),0)</f>
        <v>0</v>
      </c>
      <c r="AD103" s="0" t="n">
        <f aca="false">IF(Matrice_OD!AD103&lt;=Param!$B$2,EXP(-(Matrice_OD!AD103^2)/Param!$B$5),0)</f>
        <v>0</v>
      </c>
      <c r="AE103" s="0" t="n">
        <f aca="false">IF(Matrice_OD!AE103&lt;=Param!$B$2,EXP(-(Matrice_OD!AE103^2)/Param!$B$5),0)</f>
        <v>0</v>
      </c>
      <c r="AF103" s="0" t="n">
        <f aca="false">IF(Matrice_OD!AF103&lt;=Param!$B$2,EXP(-(Matrice_OD!AF103^2)/Param!$B$5),0)</f>
        <v>0</v>
      </c>
      <c r="AG103" s="0" t="n">
        <f aca="false">IF(Matrice_OD!AG103&lt;=Param!$B$2,EXP(-(Matrice_OD!AG103^2)/Param!$B$5),0)</f>
        <v>0</v>
      </c>
      <c r="AH103" s="0" t="n">
        <f aca="false">IF(Matrice_OD!AH103&lt;=Param!$B$2,EXP(-(Matrice_OD!AH103^2)/Param!$B$5),0)</f>
        <v>0</v>
      </c>
      <c r="AI103" s="0" t="n">
        <f aca="false">IF(Matrice_OD!AI103&lt;=Param!$B$2,EXP(-(Matrice_OD!AI103^2)/Param!$B$5),0)</f>
        <v>0</v>
      </c>
      <c r="AJ103" s="0" t="n">
        <f aca="false">IF(Matrice_OD!AJ103&lt;=Param!$B$2,EXP(-(Matrice_OD!AJ103^2)/Param!$B$5),0)</f>
        <v>0</v>
      </c>
      <c r="AK103" s="0" t="n">
        <f aca="false">IF(Matrice_OD!AK103&lt;=Param!$B$2,EXP(-(Matrice_OD!AK103^2)/Param!$B$5),0)</f>
        <v>0</v>
      </c>
      <c r="AL103" s="0" t="n">
        <f aca="false">IF(Matrice_OD!AL103&lt;=Param!$B$2,EXP(-(Matrice_OD!AL103^2)/Param!$B$5),0)</f>
        <v>0</v>
      </c>
      <c r="AM103" s="0" t="n">
        <f aca="false">IF(Matrice_OD!AM103&lt;=Param!$B$2,EXP(-(Matrice_OD!AM103^2)/Param!$B$5),0)</f>
        <v>0</v>
      </c>
      <c r="AN103" s="0" t="n">
        <f aca="false">IF(Matrice_OD!AN103&lt;=Param!$B$2,EXP(-(Matrice_OD!AN103^2)/Param!$B$5),0)</f>
        <v>0</v>
      </c>
    </row>
    <row r="104" customFormat="false" ht="15" hidden="false" customHeight="true" outlineLevel="0" collapsed="false">
      <c r="A104" s="0" t="s">
        <v>306</v>
      </c>
      <c r="B104" s="0" t="s">
        <v>307</v>
      </c>
      <c r="C104" s="0" t="n">
        <f aca="false">IF(Matrice_OD!C104&lt;=Param!$B$2,EXP(-(Matrice_OD!C104^2)/Param!$B$5),0)</f>
        <v>0</v>
      </c>
      <c r="D104" s="0" t="n">
        <f aca="false">IF(Matrice_OD!D104&lt;=Param!$B$2,EXP(-(Matrice_OD!D104^2)/Param!$B$5),0)</f>
        <v>0</v>
      </c>
      <c r="E104" s="0" t="n">
        <f aca="false">IF(Matrice_OD!E104&lt;=Param!$B$2,EXP(-(Matrice_OD!E104^2)/Param!$B$5),0)</f>
        <v>0</v>
      </c>
      <c r="F104" s="0" t="n">
        <f aca="false">IF(Matrice_OD!F104&lt;=Param!$B$2,EXP(-(Matrice_OD!F104^2)/Param!$B$5),0)</f>
        <v>0</v>
      </c>
      <c r="G104" s="0" t="n">
        <f aca="false">IF(Matrice_OD!G104&lt;=Param!$B$2,EXP(-(Matrice_OD!G104^2)/Param!$B$5),0)</f>
        <v>0</v>
      </c>
      <c r="H104" s="0" t="n">
        <f aca="false">IF(Matrice_OD!H104&lt;=Param!$B$2,EXP(-(Matrice_OD!H104^2)/Param!$B$5),0)</f>
        <v>0</v>
      </c>
      <c r="I104" s="0" t="n">
        <f aca="false">IF(Matrice_OD!I104&lt;=Param!$B$2,EXP(-(Matrice_OD!I104^2)/Param!$B$5),0)</f>
        <v>0</v>
      </c>
      <c r="J104" s="0" t="n">
        <f aca="false">IF(Matrice_OD!J104&lt;=Param!$B$2,EXP(-(Matrice_OD!J104^2)/Param!$B$5),0)</f>
        <v>0</v>
      </c>
      <c r="K104" s="0" t="n">
        <f aca="false">IF(Matrice_OD!K104&lt;=Param!$B$2,EXP(-(Matrice_OD!K104^2)/Param!$B$5),0)</f>
        <v>0</v>
      </c>
      <c r="L104" s="0" t="n">
        <f aca="false">IF(Matrice_OD!L104&lt;=Param!$B$2,EXP(-(Matrice_OD!L104^2)/Param!$B$5),0)</f>
        <v>0</v>
      </c>
      <c r="M104" s="0" t="n">
        <f aca="false">IF(Matrice_OD!M104&lt;=Param!$B$2,EXP(-(Matrice_OD!M104^2)/Param!$B$5),0)</f>
        <v>0</v>
      </c>
      <c r="N104" s="0" t="n">
        <f aca="false">IF(Matrice_OD!N104&lt;=Param!$B$2,EXP(-(Matrice_OD!N104^2)/Param!$B$5),0)</f>
        <v>0</v>
      </c>
      <c r="O104" s="0" t="n">
        <f aca="false">IF(Matrice_OD!O104&lt;=Param!$B$2,EXP(-(Matrice_OD!O104^2)/Param!$B$5),0)</f>
        <v>0</v>
      </c>
      <c r="P104" s="0" t="n">
        <f aca="false">IF(Matrice_OD!P104&lt;=Param!$B$2,EXP(-(Matrice_OD!P104^2)/Param!$B$5),0)</f>
        <v>0</v>
      </c>
      <c r="Q104" s="0" t="n">
        <f aca="false">IF(Matrice_OD!Q104&lt;=Param!$B$2,EXP(-(Matrice_OD!Q104^2)/Param!$B$5),0)</f>
        <v>0</v>
      </c>
      <c r="R104" s="0" t="n">
        <f aca="false">IF(Matrice_OD!R104&lt;=Param!$B$2,EXP(-(Matrice_OD!R104^2)/Param!$B$5),0)</f>
        <v>0</v>
      </c>
      <c r="S104" s="0" t="n">
        <f aca="false">IF(Matrice_OD!S104&lt;=Param!$B$2,EXP(-(Matrice_OD!S104^2)/Param!$B$5),0)</f>
        <v>0</v>
      </c>
      <c r="T104" s="0" t="n">
        <f aca="false">IF(Matrice_OD!T104&lt;=Param!$B$2,EXP(-(Matrice_OD!T104^2)/Param!$B$5),0)</f>
        <v>0</v>
      </c>
      <c r="U104" s="0" t="n">
        <f aca="false">IF(Matrice_OD!U104&lt;=Param!$B$2,EXP(-(Matrice_OD!U104^2)/Param!$B$5),0)</f>
        <v>0</v>
      </c>
      <c r="V104" s="0" t="n">
        <f aca="false">IF(Matrice_OD!V104&lt;=Param!$B$2,EXP(-(Matrice_OD!V104^2)/Param!$B$5),0)</f>
        <v>0</v>
      </c>
      <c r="W104" s="0" t="n">
        <f aca="false">IF(Matrice_OD!W104&lt;=Param!$B$2,EXP(-(Matrice_OD!W104^2)/Param!$B$5),0)</f>
        <v>0</v>
      </c>
      <c r="X104" s="0" t="n">
        <f aca="false">IF(Matrice_OD!X104&lt;=Param!$B$2,EXP(-(Matrice_OD!X104^2)/Param!$B$5),0)</f>
        <v>0</v>
      </c>
      <c r="Y104" s="0" t="n">
        <f aca="false">IF(Matrice_OD!Y104&lt;=Param!$B$2,EXP(-(Matrice_OD!Y104^2)/Param!$B$5),0)</f>
        <v>0</v>
      </c>
      <c r="Z104" s="0" t="n">
        <f aca="false">IF(Matrice_OD!Z104&lt;=Param!$B$2,EXP(-(Matrice_OD!Z104^2)/Param!$B$5),0)</f>
        <v>0</v>
      </c>
      <c r="AA104" s="0" t="n">
        <f aca="false">IF(Matrice_OD!AA104&lt;=Param!$B$2,EXP(-(Matrice_OD!AA104^2)/Param!$B$5),0)</f>
        <v>0</v>
      </c>
      <c r="AB104" s="0" t="n">
        <f aca="false">IF(Matrice_OD!AB104&lt;=Param!$B$2,EXP(-(Matrice_OD!AB104^2)/Param!$B$5),0)</f>
        <v>0</v>
      </c>
      <c r="AC104" s="0" t="n">
        <f aca="false">IF(Matrice_OD!AC104&lt;=Param!$B$2,EXP(-(Matrice_OD!AC104^2)/Param!$B$5),0)</f>
        <v>0.250415444738402</v>
      </c>
      <c r="AD104" s="0" t="n">
        <f aca="false">IF(Matrice_OD!AD104&lt;=Param!$B$2,EXP(-(Matrice_OD!AD104^2)/Param!$B$5),0)</f>
        <v>0.255791552322991</v>
      </c>
      <c r="AE104" s="0" t="n">
        <f aca="false">IF(Matrice_OD!AE104&lt;=Param!$B$2,EXP(-(Matrice_OD!AE104^2)/Param!$B$5),0)</f>
        <v>0.262830913467313</v>
      </c>
      <c r="AF104" s="0" t="n">
        <f aca="false">IF(Matrice_OD!AF104&lt;=Param!$B$2,EXP(-(Matrice_OD!AF104^2)/Param!$B$5),0)</f>
        <v>0.261384542564569</v>
      </c>
      <c r="AG104" s="0" t="n">
        <f aca="false">IF(Matrice_OD!AG104&lt;=Param!$B$2,EXP(-(Matrice_OD!AG104^2)/Param!$B$5),0)</f>
        <v>0</v>
      </c>
      <c r="AH104" s="0" t="n">
        <f aca="false">IF(Matrice_OD!AH104&lt;=Param!$B$2,EXP(-(Matrice_OD!AH104^2)/Param!$B$5),0)</f>
        <v>0</v>
      </c>
      <c r="AI104" s="0" t="n">
        <f aca="false">IF(Matrice_OD!AI104&lt;=Param!$B$2,EXP(-(Matrice_OD!AI104^2)/Param!$B$5),0)</f>
        <v>0</v>
      </c>
      <c r="AJ104" s="0" t="n">
        <f aca="false">IF(Matrice_OD!AJ104&lt;=Param!$B$2,EXP(-(Matrice_OD!AJ104^2)/Param!$B$5),0)</f>
        <v>0</v>
      </c>
      <c r="AK104" s="0" t="n">
        <f aca="false">IF(Matrice_OD!AK104&lt;=Param!$B$2,EXP(-(Matrice_OD!AK104^2)/Param!$B$5),0)</f>
        <v>0.340344019374392</v>
      </c>
      <c r="AL104" s="0" t="n">
        <f aca="false">IF(Matrice_OD!AL104&lt;=Param!$B$2,EXP(-(Matrice_OD!AL104^2)/Param!$B$5),0)</f>
        <v>0.248313310529557</v>
      </c>
      <c r="AM104" s="0" t="n">
        <f aca="false">IF(Matrice_OD!AM104&lt;=Param!$B$2,EXP(-(Matrice_OD!AM104^2)/Param!$B$5),0)</f>
        <v>0</v>
      </c>
      <c r="AN104" s="0" t="n">
        <f aca="false">IF(Matrice_OD!AN104&lt;=Param!$B$2,EXP(-(Matrice_OD!AN104^2)/Param!$B$5),0)</f>
        <v>0</v>
      </c>
    </row>
    <row r="105" customFormat="false" ht="15" hidden="false" customHeight="true" outlineLevel="0" collapsed="false">
      <c r="A105" s="0" t="s">
        <v>308</v>
      </c>
      <c r="B105" s="0" t="s">
        <v>309</v>
      </c>
      <c r="C105" s="0" t="n">
        <f aca="false">IF(Matrice_OD!C105&lt;=Param!$B$2,EXP(-(Matrice_OD!C105^2)/Param!$B$5),0)</f>
        <v>0</v>
      </c>
      <c r="D105" s="0" t="n">
        <f aca="false">IF(Matrice_OD!D105&lt;=Param!$B$2,EXP(-(Matrice_OD!D105^2)/Param!$B$5),0)</f>
        <v>0</v>
      </c>
      <c r="E105" s="0" t="n">
        <f aca="false">IF(Matrice_OD!E105&lt;=Param!$B$2,EXP(-(Matrice_OD!E105^2)/Param!$B$5),0)</f>
        <v>0</v>
      </c>
      <c r="F105" s="0" t="n">
        <f aca="false">IF(Matrice_OD!F105&lt;=Param!$B$2,EXP(-(Matrice_OD!F105^2)/Param!$B$5),0)</f>
        <v>0</v>
      </c>
      <c r="G105" s="0" t="n">
        <f aca="false">IF(Matrice_OD!G105&lt;=Param!$B$2,EXP(-(Matrice_OD!G105^2)/Param!$B$5),0)</f>
        <v>0</v>
      </c>
      <c r="H105" s="0" t="n">
        <f aca="false">IF(Matrice_OD!H105&lt;=Param!$B$2,EXP(-(Matrice_OD!H105^2)/Param!$B$5),0)</f>
        <v>0</v>
      </c>
      <c r="I105" s="0" t="n">
        <f aca="false">IF(Matrice_OD!I105&lt;=Param!$B$2,EXP(-(Matrice_OD!I105^2)/Param!$B$5),0)</f>
        <v>0</v>
      </c>
      <c r="J105" s="0" t="n">
        <f aca="false">IF(Matrice_OD!J105&lt;=Param!$B$2,EXP(-(Matrice_OD!J105^2)/Param!$B$5),0)</f>
        <v>0</v>
      </c>
      <c r="K105" s="0" t="n">
        <f aca="false">IF(Matrice_OD!K105&lt;=Param!$B$2,EXP(-(Matrice_OD!K105^2)/Param!$B$5),0)</f>
        <v>0</v>
      </c>
      <c r="L105" s="0" t="n">
        <f aca="false">IF(Matrice_OD!L105&lt;=Param!$B$2,EXP(-(Matrice_OD!L105^2)/Param!$B$5),0)</f>
        <v>0</v>
      </c>
      <c r="M105" s="0" t="n">
        <f aca="false">IF(Matrice_OD!M105&lt;=Param!$B$2,EXP(-(Matrice_OD!M105^2)/Param!$B$5),0)</f>
        <v>0</v>
      </c>
      <c r="N105" s="0" t="n">
        <f aca="false">IF(Matrice_OD!N105&lt;=Param!$B$2,EXP(-(Matrice_OD!N105^2)/Param!$B$5),0)</f>
        <v>0</v>
      </c>
      <c r="O105" s="0" t="n">
        <f aca="false">IF(Matrice_OD!O105&lt;=Param!$B$2,EXP(-(Matrice_OD!O105^2)/Param!$B$5),0)</f>
        <v>0</v>
      </c>
      <c r="P105" s="0" t="n">
        <f aca="false">IF(Matrice_OD!P105&lt;=Param!$B$2,EXP(-(Matrice_OD!P105^2)/Param!$B$5),0)</f>
        <v>0</v>
      </c>
      <c r="Q105" s="0" t="n">
        <f aca="false">IF(Matrice_OD!Q105&lt;=Param!$B$2,EXP(-(Matrice_OD!Q105^2)/Param!$B$5),0)</f>
        <v>0</v>
      </c>
      <c r="R105" s="0" t="n">
        <f aca="false">IF(Matrice_OD!R105&lt;=Param!$B$2,EXP(-(Matrice_OD!R105^2)/Param!$B$5),0)</f>
        <v>0</v>
      </c>
      <c r="S105" s="0" t="n">
        <f aca="false">IF(Matrice_OD!S105&lt;=Param!$B$2,EXP(-(Matrice_OD!S105^2)/Param!$B$5),0)</f>
        <v>0</v>
      </c>
      <c r="T105" s="0" t="n">
        <f aca="false">IF(Matrice_OD!T105&lt;=Param!$B$2,EXP(-(Matrice_OD!T105^2)/Param!$B$5),0)</f>
        <v>0</v>
      </c>
      <c r="U105" s="0" t="n">
        <f aca="false">IF(Matrice_OD!U105&lt;=Param!$B$2,EXP(-(Matrice_OD!U105^2)/Param!$B$5),0)</f>
        <v>0</v>
      </c>
      <c r="V105" s="0" t="n">
        <f aca="false">IF(Matrice_OD!V105&lt;=Param!$B$2,EXP(-(Matrice_OD!V105^2)/Param!$B$5),0)</f>
        <v>0</v>
      </c>
      <c r="W105" s="0" t="n">
        <f aca="false">IF(Matrice_OD!W105&lt;=Param!$B$2,EXP(-(Matrice_OD!W105^2)/Param!$B$5),0)</f>
        <v>0</v>
      </c>
      <c r="X105" s="0" t="n">
        <f aca="false">IF(Matrice_OD!X105&lt;=Param!$B$2,EXP(-(Matrice_OD!X105^2)/Param!$B$5),0)</f>
        <v>0</v>
      </c>
      <c r="Y105" s="0" t="n">
        <f aca="false">IF(Matrice_OD!Y105&lt;=Param!$B$2,EXP(-(Matrice_OD!Y105^2)/Param!$B$5),0)</f>
        <v>0</v>
      </c>
      <c r="Z105" s="0" t="n">
        <f aca="false">IF(Matrice_OD!Z105&lt;=Param!$B$2,EXP(-(Matrice_OD!Z105^2)/Param!$B$5),0)</f>
        <v>0</v>
      </c>
      <c r="AA105" s="0" t="n">
        <f aca="false">IF(Matrice_OD!AA105&lt;=Param!$B$2,EXP(-(Matrice_OD!AA105^2)/Param!$B$5),0)</f>
        <v>0</v>
      </c>
      <c r="AB105" s="0" t="n">
        <f aca="false">IF(Matrice_OD!AB105&lt;=Param!$B$2,EXP(-(Matrice_OD!AB105^2)/Param!$B$5),0)</f>
        <v>0</v>
      </c>
      <c r="AC105" s="0" t="n">
        <f aca="false">IF(Matrice_OD!AC105&lt;=Param!$B$2,EXP(-(Matrice_OD!AC105^2)/Param!$B$5),0)</f>
        <v>0.189029314974907</v>
      </c>
      <c r="AD105" s="0" t="n">
        <f aca="false">IF(Matrice_OD!AD105&lt;=Param!$B$2,EXP(-(Matrice_OD!AD105^2)/Param!$B$5),0)</f>
        <v>0.193486752112757</v>
      </c>
      <c r="AE105" s="0" t="n">
        <f aca="false">IF(Matrice_OD!AE105&lt;=Param!$B$2,EXP(-(Matrice_OD!AE105^2)/Param!$B$5),0)</f>
        <v>0.199341684312381</v>
      </c>
      <c r="AF105" s="0" t="n">
        <f aca="false">IF(Matrice_OD!AF105&lt;=Param!$B$2,EXP(-(Matrice_OD!AF105^2)/Param!$B$5),0)</f>
        <v>0.198136976197471</v>
      </c>
      <c r="AG105" s="0" t="n">
        <f aca="false">IF(Matrice_OD!AG105&lt;=Param!$B$2,EXP(-(Matrice_OD!AG105^2)/Param!$B$5),0)</f>
        <v>0</v>
      </c>
      <c r="AH105" s="0" t="n">
        <f aca="false">IF(Matrice_OD!AH105&lt;=Param!$B$2,EXP(-(Matrice_OD!AH105^2)/Param!$B$5),0)</f>
        <v>0</v>
      </c>
      <c r="AI105" s="0" t="n">
        <f aca="false">IF(Matrice_OD!AI105&lt;=Param!$B$2,EXP(-(Matrice_OD!AI105^2)/Param!$B$5),0)</f>
        <v>0</v>
      </c>
      <c r="AJ105" s="0" t="n">
        <f aca="false">IF(Matrice_OD!AJ105&lt;=Param!$B$2,EXP(-(Matrice_OD!AJ105^2)/Param!$B$5),0)</f>
        <v>0</v>
      </c>
      <c r="AK105" s="0" t="n">
        <f aca="false">IF(Matrice_OD!AK105&lt;=Param!$B$2,EXP(-(Matrice_OD!AK105^2)/Param!$B$5),0)</f>
        <v>0.231638248066778</v>
      </c>
      <c r="AL105" s="0" t="n">
        <f aca="false">IF(Matrice_OD!AL105&lt;=Param!$B$2,EXP(-(Matrice_OD!AL105^2)/Param!$B$5),0)</f>
        <v>0.18705864227078</v>
      </c>
      <c r="AM105" s="0" t="n">
        <f aca="false">IF(Matrice_OD!AM105&lt;=Param!$B$2,EXP(-(Matrice_OD!AM105^2)/Param!$B$5),0)</f>
        <v>0</v>
      </c>
      <c r="AN105" s="0" t="n">
        <f aca="false">IF(Matrice_OD!AN105&lt;=Param!$B$2,EXP(-(Matrice_OD!AN105^2)/Param!$B$5),0)</f>
        <v>0</v>
      </c>
    </row>
    <row r="106" customFormat="false" ht="15" hidden="false" customHeight="true" outlineLevel="0" collapsed="false">
      <c r="A106" s="0" t="s">
        <v>310</v>
      </c>
      <c r="B106" s="0" t="s">
        <v>311</v>
      </c>
      <c r="C106" s="0" t="n">
        <f aca="false">IF(Matrice_OD!C106&lt;=Param!$B$2,EXP(-(Matrice_OD!C106^2)/Param!$B$5),0)</f>
        <v>0.084221311499969</v>
      </c>
      <c r="D106" s="0" t="n">
        <f aca="false">IF(Matrice_OD!D106&lt;=Param!$B$2,EXP(-(Matrice_OD!D106^2)/Param!$B$5),0)</f>
        <v>0.0513312688908776</v>
      </c>
      <c r="E106" s="0" t="n">
        <f aca="false">IF(Matrice_OD!E106&lt;=Param!$B$2,EXP(-(Matrice_OD!E106^2)/Param!$B$5),0)</f>
        <v>0.0457401287484183</v>
      </c>
      <c r="F106" s="0" t="n">
        <f aca="false">IF(Matrice_OD!F106&lt;=Param!$B$2,EXP(-(Matrice_OD!F106^2)/Param!$B$5),0)</f>
        <v>0.0467843625047338</v>
      </c>
      <c r="G106" s="0" t="n">
        <f aca="false">IF(Matrice_OD!G106&lt;=Param!$B$2,EXP(-(Matrice_OD!G106^2)/Param!$B$5),0)</f>
        <v>0.043342708734231</v>
      </c>
      <c r="H106" s="0" t="n">
        <f aca="false">IF(Matrice_OD!H106&lt;=Param!$B$2,EXP(-(Matrice_OD!H106^2)/Param!$B$5),0)</f>
        <v>0.0550670519868909</v>
      </c>
      <c r="I106" s="0" t="n">
        <f aca="false">IF(Matrice_OD!I106&lt;=Param!$B$2,EXP(-(Matrice_OD!I106^2)/Param!$B$5),0)</f>
        <v>0.0472154730995103</v>
      </c>
      <c r="J106" s="0" t="n">
        <f aca="false">IF(Matrice_OD!J106&lt;=Param!$B$2,EXP(-(Matrice_OD!J106^2)/Param!$B$5),0)</f>
        <v>0.0451684857037658</v>
      </c>
      <c r="K106" s="0" t="n">
        <f aca="false">IF(Matrice_OD!K106&lt;=Param!$B$2,EXP(-(Matrice_OD!K106^2)/Param!$B$5),0)</f>
        <v>0.0444530162785368</v>
      </c>
      <c r="L106" s="0" t="n">
        <f aca="false">IF(Matrice_OD!L106&lt;=Param!$B$2,EXP(-(Matrice_OD!L106^2)/Param!$B$5),0)</f>
        <v>0.0473336236181095</v>
      </c>
      <c r="M106" s="0" t="n">
        <f aca="false">IF(Matrice_OD!M106&lt;=Param!$B$2,EXP(-(Matrice_OD!M106^2)/Param!$B$5),0)</f>
        <v>0.0517970218612484</v>
      </c>
      <c r="N106" s="0" t="n">
        <f aca="false">IF(Matrice_OD!N106&lt;=Param!$B$2,EXP(-(Matrice_OD!N106^2)/Param!$B$5),0)</f>
        <v>0.0469016102171435</v>
      </c>
      <c r="O106" s="0" t="n">
        <f aca="false">IF(Matrice_OD!O106&lt;=Param!$B$2,EXP(-(Matrice_OD!O106^2)/Param!$B$5),0)</f>
        <v>0.0458168038826889</v>
      </c>
      <c r="P106" s="0" t="n">
        <f aca="false">IF(Matrice_OD!P106&lt;=Param!$B$2,EXP(-(Matrice_OD!P106^2)/Param!$B$5),0)</f>
        <v>0.0454726119926852</v>
      </c>
      <c r="Q106" s="0" t="n">
        <f aca="false">IF(Matrice_OD!Q106&lt;=Param!$B$2,EXP(-(Matrice_OD!Q106^2)/Param!$B$5),0)</f>
        <v>0.0441918314012185</v>
      </c>
      <c r="R106" s="0" t="n">
        <f aca="false">IF(Matrice_OD!R106&lt;=Param!$B$2,EXP(-(Matrice_OD!R106^2)/Param!$B$5),0)</f>
        <v>0.0437101921899604</v>
      </c>
      <c r="S106" s="0" t="n">
        <f aca="false">IF(Matrice_OD!S106&lt;=Param!$B$2,EXP(-(Matrice_OD!S106^2)/Param!$B$5),0)</f>
        <v>0.0426877834653345</v>
      </c>
      <c r="T106" s="0" t="n">
        <f aca="false">IF(Matrice_OD!T106&lt;=Param!$B$2,EXP(-(Matrice_OD!T106^2)/Param!$B$5),0)</f>
        <v>0.444767163099876</v>
      </c>
      <c r="U106" s="0" t="n">
        <f aca="false">IF(Matrice_OD!U106&lt;=Param!$B$2,EXP(-(Matrice_OD!U106^2)/Param!$B$5),0)</f>
        <v>0.52028876081381</v>
      </c>
      <c r="V106" s="0" t="n">
        <f aca="false">IF(Matrice_OD!V106&lt;=Param!$B$2,EXP(-(Matrice_OD!V106^2)/Param!$B$5),0)</f>
        <v>0.999518903906397</v>
      </c>
      <c r="W106" s="0" t="n">
        <f aca="false">IF(Matrice_OD!W106&lt;=Param!$B$2,EXP(-(Matrice_OD!W106^2)/Param!$B$5),0)</f>
        <v>0.990899490117524</v>
      </c>
      <c r="X106" s="0" t="n">
        <f aca="false">IF(Matrice_OD!X106&lt;=Param!$B$2,EXP(-(Matrice_OD!X106^2)/Param!$B$5),0)</f>
        <v>0.990395800384554</v>
      </c>
      <c r="Y106" s="0" t="n">
        <f aca="false">IF(Matrice_OD!Y106&lt;=Param!$B$2,EXP(-(Matrice_OD!Y106^2)/Param!$B$5),0)</f>
        <v>0.990302784075232</v>
      </c>
      <c r="Z106" s="0" t="n">
        <f aca="false">IF(Matrice_OD!Z106&lt;=Param!$B$2,EXP(-(Matrice_OD!Z106^2)/Param!$B$5),0)</f>
        <v>0.988904482991405</v>
      </c>
      <c r="AA106" s="0" t="n">
        <f aca="false">IF(Matrice_OD!AA106&lt;=Param!$B$2,EXP(-(Matrice_OD!AA106^2)/Param!$B$5),0)</f>
        <v>0.980535024330301</v>
      </c>
      <c r="AB106" s="0" t="n">
        <f aca="false">IF(Matrice_OD!AB106&lt;=Param!$B$2,EXP(-(Matrice_OD!AB106^2)/Param!$B$5),0)</f>
        <v>0.975465304967612</v>
      </c>
      <c r="AC106" s="0" t="n">
        <f aca="false">IF(Matrice_OD!AC106&lt;=Param!$B$2,EXP(-(Matrice_OD!AC106^2)/Param!$B$5),0)</f>
        <v>0</v>
      </c>
      <c r="AD106" s="0" t="n">
        <f aca="false">IF(Matrice_OD!AD106&lt;=Param!$B$2,EXP(-(Matrice_OD!AD106^2)/Param!$B$5),0)</f>
        <v>0</v>
      </c>
      <c r="AE106" s="0" t="n">
        <f aca="false">IF(Matrice_OD!AE106&lt;=Param!$B$2,EXP(-(Matrice_OD!AE106^2)/Param!$B$5),0)</f>
        <v>0</v>
      </c>
      <c r="AF106" s="0" t="n">
        <f aca="false">IF(Matrice_OD!AF106&lt;=Param!$B$2,EXP(-(Matrice_OD!AF106^2)/Param!$B$5),0)</f>
        <v>0</v>
      </c>
      <c r="AG106" s="0" t="n">
        <f aca="false">IF(Matrice_OD!AG106&lt;=Param!$B$2,EXP(-(Matrice_OD!AG106^2)/Param!$B$5),0)</f>
        <v>0</v>
      </c>
      <c r="AH106" s="0" t="n">
        <f aca="false">IF(Matrice_OD!AH106&lt;=Param!$B$2,EXP(-(Matrice_OD!AH106^2)/Param!$B$5),0)</f>
        <v>0.0412270440710264</v>
      </c>
      <c r="AI106" s="0" t="n">
        <f aca="false">IF(Matrice_OD!AI106&lt;=Param!$B$2,EXP(-(Matrice_OD!AI106^2)/Param!$B$5),0)</f>
        <v>0.409646067525144</v>
      </c>
      <c r="AJ106" s="0" t="n">
        <f aca="false">IF(Matrice_OD!AJ106&lt;=Param!$B$2,EXP(-(Matrice_OD!AJ106^2)/Param!$B$5),0)</f>
        <v>0.98605471103361</v>
      </c>
      <c r="AK106" s="0" t="n">
        <f aca="false">IF(Matrice_OD!AK106&lt;=Param!$B$2,EXP(-(Matrice_OD!AK106^2)/Param!$B$5),0)</f>
        <v>0</v>
      </c>
      <c r="AL106" s="0" t="n">
        <f aca="false">IF(Matrice_OD!AL106&lt;=Param!$B$2,EXP(-(Matrice_OD!AL106^2)/Param!$B$5),0)</f>
        <v>0</v>
      </c>
      <c r="AM106" s="0" t="n">
        <f aca="false">IF(Matrice_OD!AM106&lt;=Param!$B$2,EXP(-(Matrice_OD!AM106^2)/Param!$B$5),0)</f>
        <v>0.0785074933557049</v>
      </c>
      <c r="AN106" s="0" t="n">
        <f aca="false">IF(Matrice_OD!AN106&lt;=Param!$B$2,EXP(-(Matrice_OD!AN106^2)/Param!$B$5),0)</f>
        <v>0</v>
      </c>
    </row>
    <row r="107" customFormat="false" ht="15" hidden="false" customHeight="true" outlineLevel="0" collapsed="false">
      <c r="A107" s="0" t="s">
        <v>312</v>
      </c>
      <c r="B107" s="0" t="s">
        <v>313</v>
      </c>
      <c r="C107" s="0" t="n">
        <f aca="false">IF(Matrice_OD!C107&lt;=Param!$B$2,EXP(-(Matrice_OD!C107^2)/Param!$B$5),0)</f>
        <v>0.0655016808203779</v>
      </c>
      <c r="D107" s="0" t="n">
        <f aca="false">IF(Matrice_OD!D107&lt;=Param!$B$2,EXP(-(Matrice_OD!D107^2)/Param!$B$5),0)</f>
        <v>0.19598120325461</v>
      </c>
      <c r="E107" s="0" t="n">
        <f aca="false">IF(Matrice_OD!E107&lt;=Param!$B$2,EXP(-(Matrice_OD!E107^2)/Param!$B$5),0)</f>
        <v>0.199462432514791</v>
      </c>
      <c r="F107" s="0" t="n">
        <f aca="false">IF(Matrice_OD!F107&lt;=Param!$B$2,EXP(-(Matrice_OD!F107^2)/Param!$B$5),0)</f>
        <v>0.202741712770061</v>
      </c>
      <c r="G107" s="0" t="n">
        <f aca="false">IF(Matrice_OD!G107&lt;=Param!$B$2,EXP(-(Matrice_OD!G107^2)/Param!$B$5),0)</f>
        <v>0.199341684312381</v>
      </c>
      <c r="H107" s="0" t="n">
        <f aca="false">IF(Matrice_OD!H107&lt;=Param!$B$2,EXP(-(Matrice_OD!H107^2)/Param!$B$5),0)</f>
        <v>0.227917555232442</v>
      </c>
      <c r="I107" s="0" t="n">
        <f aca="false">IF(Matrice_OD!I107&lt;=Param!$B$2,EXP(-(Matrice_OD!I107^2)/Param!$B$5),0)</f>
        <v>0.22515313583198</v>
      </c>
      <c r="J107" s="0" t="n">
        <f aca="false">IF(Matrice_OD!J107&lt;=Param!$B$2,EXP(-(Matrice_OD!J107^2)/Param!$B$5),0)</f>
        <v>0.216100011564068</v>
      </c>
      <c r="K107" s="0" t="n">
        <f aca="false">IF(Matrice_OD!K107&lt;=Param!$B$2,EXP(-(Matrice_OD!K107^2)/Param!$B$5),0)</f>
        <v>0.20704745721869</v>
      </c>
      <c r="L107" s="0" t="n">
        <f aca="false">IF(Matrice_OD!L107&lt;=Param!$B$2,EXP(-(Matrice_OD!L107^2)/Param!$B$5),0)</f>
        <v>0.225546682953848</v>
      </c>
      <c r="M107" s="0" t="n">
        <f aca="false">IF(Matrice_OD!M107&lt;=Param!$B$2,EXP(-(Matrice_OD!M107^2)/Param!$B$5),0)</f>
        <v>0.241800151092994</v>
      </c>
      <c r="N107" s="0" t="n">
        <f aca="false">IF(Matrice_OD!N107&lt;=Param!$B$2,EXP(-(Matrice_OD!N107^2)/Param!$B$5),0)</f>
        <v>0.21827577097085</v>
      </c>
      <c r="O107" s="0" t="n">
        <f aca="false">IF(Matrice_OD!O107&lt;=Param!$B$2,EXP(-(Matrice_OD!O107^2)/Param!$B$5),0)</f>
        <v>0.220466191585161</v>
      </c>
      <c r="P107" s="0" t="n">
        <f aca="false">IF(Matrice_OD!P107&lt;=Param!$B$2,EXP(-(Matrice_OD!P107^2)/Param!$B$5),0)</f>
        <v>0.225284267465066</v>
      </c>
      <c r="Q107" s="0" t="n">
        <f aca="false">IF(Matrice_OD!Q107&lt;=Param!$B$2,EXP(-(Matrice_OD!Q107^2)/Param!$B$5),0)</f>
        <v>0.226598374494667</v>
      </c>
      <c r="R107" s="0" t="n">
        <f aca="false">IF(Matrice_OD!R107&lt;=Param!$B$2,EXP(-(Matrice_OD!R107^2)/Param!$B$5),0)</f>
        <v>0.223975234517842</v>
      </c>
      <c r="S107" s="0" t="n">
        <f aca="false">IF(Matrice_OD!S107&lt;=Param!$B$2,EXP(-(Matrice_OD!S107^2)/Param!$B$5),0)</f>
        <v>0.216355222409549</v>
      </c>
      <c r="T107" s="0" t="n">
        <f aca="false">IF(Matrice_OD!T107&lt;=Param!$B$2,EXP(-(Matrice_OD!T107^2)/Param!$B$5),0)</f>
        <v>0.384357869817601</v>
      </c>
      <c r="U107" s="0" t="n">
        <f aca="false">IF(Matrice_OD!U107&lt;=Param!$B$2,EXP(-(Matrice_OD!U107^2)/Param!$B$5),0)</f>
        <v>0.999054340787333</v>
      </c>
      <c r="V107" s="0" t="n">
        <f aca="false">IF(Matrice_OD!V107&lt;=Param!$B$2,EXP(-(Matrice_OD!V107^2)/Param!$B$5),0)</f>
        <v>0.534773376307979</v>
      </c>
      <c r="W107" s="0" t="n">
        <f aca="false">IF(Matrice_OD!W107&lt;=Param!$B$2,EXP(-(Matrice_OD!W107^2)/Param!$B$5),0)</f>
        <v>0.541844096094352</v>
      </c>
      <c r="X107" s="0" t="n">
        <f aca="false">IF(Matrice_OD!X107&lt;=Param!$B$2,EXP(-(Matrice_OD!X107^2)/Param!$B$5),0)</f>
        <v>0.56193045198243</v>
      </c>
      <c r="Y107" s="0" t="n">
        <f aca="false">IF(Matrice_OD!Y107&lt;=Param!$B$2,EXP(-(Matrice_OD!Y107^2)/Param!$B$5),0)</f>
        <v>0.55298893887471</v>
      </c>
      <c r="Z107" s="0" t="n">
        <f aca="false">IF(Matrice_OD!Z107&lt;=Param!$B$2,EXP(-(Matrice_OD!Z107^2)/Param!$B$5),0)</f>
        <v>0.540024215361913</v>
      </c>
      <c r="AA107" s="0" t="n">
        <f aca="false">IF(Matrice_OD!AA107&lt;=Param!$B$2,EXP(-(Matrice_OD!AA107^2)/Param!$B$5),0)</f>
        <v>0.574357107892927</v>
      </c>
      <c r="AB107" s="0" t="n">
        <f aca="false">IF(Matrice_OD!AB107&lt;=Param!$B$2,EXP(-(Matrice_OD!AB107^2)/Param!$B$5),0)</f>
        <v>0.56600124009246</v>
      </c>
      <c r="AC107" s="0" t="n">
        <f aca="false">IF(Matrice_OD!AC107&lt;=Param!$B$2,EXP(-(Matrice_OD!AC107^2)/Param!$B$5),0)</f>
        <v>0</v>
      </c>
      <c r="AD107" s="0" t="n">
        <f aca="false">IF(Matrice_OD!AD107&lt;=Param!$B$2,EXP(-(Matrice_OD!AD107^2)/Param!$B$5),0)</f>
        <v>0</v>
      </c>
      <c r="AE107" s="0" t="n">
        <f aca="false">IF(Matrice_OD!AE107&lt;=Param!$B$2,EXP(-(Matrice_OD!AE107^2)/Param!$B$5),0)</f>
        <v>0</v>
      </c>
      <c r="AF107" s="0" t="n">
        <f aca="false">IF(Matrice_OD!AF107&lt;=Param!$B$2,EXP(-(Matrice_OD!AF107^2)/Param!$B$5),0)</f>
        <v>0</v>
      </c>
      <c r="AG107" s="0" t="n">
        <f aca="false">IF(Matrice_OD!AG107&lt;=Param!$B$2,EXP(-(Matrice_OD!AG107^2)/Param!$B$5),0)</f>
        <v>0</v>
      </c>
      <c r="AH107" s="0" t="n">
        <f aca="false">IF(Matrice_OD!AH107&lt;=Param!$B$2,EXP(-(Matrice_OD!AH107^2)/Param!$B$5),0)</f>
        <v>0.236480404999461</v>
      </c>
      <c r="AI107" s="0" t="n">
        <f aca="false">IF(Matrice_OD!AI107&lt;=Param!$B$2,EXP(-(Matrice_OD!AI107^2)/Param!$B$5),0)</f>
        <v>0.351390167430407</v>
      </c>
      <c r="AJ107" s="0" t="n">
        <f aca="false">IF(Matrice_OD!AJ107&lt;=Param!$B$2,EXP(-(Matrice_OD!AJ107^2)/Param!$B$5),0)</f>
        <v>0.557863567775176</v>
      </c>
      <c r="AK107" s="0" t="n">
        <f aca="false">IF(Matrice_OD!AK107&lt;=Param!$B$2,EXP(-(Matrice_OD!AK107^2)/Param!$B$5),0)</f>
        <v>0</v>
      </c>
      <c r="AL107" s="0" t="n">
        <f aca="false">IF(Matrice_OD!AL107&lt;=Param!$B$2,EXP(-(Matrice_OD!AL107^2)/Param!$B$5),0)</f>
        <v>0</v>
      </c>
      <c r="AM107" s="0" t="n">
        <f aca="false">IF(Matrice_OD!AM107&lt;=Param!$B$2,EXP(-(Matrice_OD!AM107^2)/Param!$B$5),0)</f>
        <v>0.0611877096978767</v>
      </c>
      <c r="AN107" s="0" t="n">
        <f aca="false">IF(Matrice_OD!AN107&lt;=Param!$B$2,EXP(-(Matrice_OD!AN107^2)/Param!$B$5),0)</f>
        <v>0</v>
      </c>
    </row>
    <row r="108" customFormat="false" ht="15" hidden="false" customHeight="true" outlineLevel="0" collapsed="false">
      <c r="A108" s="0" t="s">
        <v>314</v>
      </c>
      <c r="B108" s="0" t="s">
        <v>315</v>
      </c>
      <c r="C108" s="0" t="n">
        <f aca="false">IF(Matrice_OD!C108&lt;=Param!$B$2,EXP(-(Matrice_OD!C108^2)/Param!$B$5),0)</f>
        <v>0.0338515102758557</v>
      </c>
      <c r="D108" s="0" t="n">
        <f aca="false">IF(Matrice_OD!D108&lt;=Param!$B$2,EXP(-(Matrice_OD!D108^2)/Param!$B$5),0)</f>
        <v>0.182819490312804</v>
      </c>
      <c r="E108" s="0" t="n">
        <f aca="false">IF(Matrice_OD!E108&lt;=Param!$B$2,EXP(-(Matrice_OD!E108^2)/Param!$B$5),0)</f>
        <v>0.186136272376312</v>
      </c>
      <c r="F108" s="0" t="n">
        <f aca="false">IF(Matrice_OD!F108&lt;=Param!$B$2,EXP(-(Matrice_OD!F108^2)/Param!$B$5),0)</f>
        <v>0.189262110641545</v>
      </c>
      <c r="G108" s="0" t="n">
        <f aca="false">IF(Matrice_OD!G108&lt;=Param!$B$2,EXP(-(Matrice_OD!G108^2)/Param!$B$5),0)</f>
        <v>0.185906180035122</v>
      </c>
      <c r="H108" s="0" t="n">
        <f aca="false">IF(Matrice_OD!H108&lt;=Param!$B$2,EXP(-(Matrice_OD!H108^2)/Param!$B$5),0)</f>
        <v>0.213179666165273</v>
      </c>
      <c r="I108" s="0" t="n">
        <f aca="false">IF(Matrice_OD!I108&lt;=Param!$B$2,EXP(-(Matrice_OD!I108^2)/Param!$B$5),0)</f>
        <v>0.210662033273747</v>
      </c>
      <c r="J108" s="0" t="n">
        <f aca="false">IF(Matrice_OD!J108&lt;=Param!$B$2,EXP(-(Matrice_OD!J108^2)/Param!$B$5),0)</f>
        <v>0.201887994468706</v>
      </c>
      <c r="K108" s="0" t="n">
        <f aca="false">IF(Matrice_OD!K108&lt;=Param!$B$2,EXP(-(Matrice_OD!K108^2)/Param!$B$5),0)</f>
        <v>0.193368522017287</v>
      </c>
      <c r="L108" s="0" t="n">
        <f aca="false">IF(Matrice_OD!L108&lt;=Param!$B$2,EXP(-(Matrice_OD!L108^2)/Param!$B$5),0)</f>
        <v>0.21091288443079</v>
      </c>
      <c r="M108" s="0" t="n">
        <f aca="false">IF(Matrice_OD!M108&lt;=Param!$B$2,EXP(-(Matrice_OD!M108^2)/Param!$B$5),0)</f>
        <v>0.22646673546729</v>
      </c>
      <c r="N108" s="0" t="n">
        <f aca="false">IF(Matrice_OD!N108&lt;=Param!$B$2,EXP(-(Matrice_OD!N108^2)/Param!$B$5),0)</f>
        <v>0.204088272387941</v>
      </c>
      <c r="O108" s="0" t="n">
        <f aca="false">IF(Matrice_OD!O108&lt;=Param!$B$2,EXP(-(Matrice_OD!O108^2)/Param!$B$5),0)</f>
        <v>0.206057824858206</v>
      </c>
      <c r="P108" s="0" t="n">
        <f aca="false">IF(Matrice_OD!P108&lt;=Param!$B$2,EXP(-(Matrice_OD!P108^2)/Param!$B$5),0)</f>
        <v>0.210662033273747</v>
      </c>
      <c r="Q108" s="0" t="n">
        <f aca="false">IF(Matrice_OD!Q108&lt;=Param!$B$2,EXP(-(Matrice_OD!Q108^2)/Param!$B$5),0)</f>
        <v>0.211918315818059</v>
      </c>
      <c r="R108" s="0" t="n">
        <f aca="false">IF(Matrice_OD!R108&lt;=Param!$B$2,EXP(-(Matrice_OD!R108^2)/Param!$B$5),0)</f>
        <v>0.209535710671312</v>
      </c>
      <c r="S108" s="0" t="n">
        <f aca="false">IF(Matrice_OD!S108&lt;=Param!$B$2,EXP(-(Matrice_OD!S108^2)/Param!$B$5),0)</f>
        <v>0.20225357065164</v>
      </c>
      <c r="T108" s="0" t="n">
        <f aca="false">IF(Matrice_OD!T108&lt;=Param!$B$2,EXP(-(Matrice_OD!T108^2)/Param!$B$5),0)</f>
        <v>0.256219073712907</v>
      </c>
      <c r="U108" s="0" t="n">
        <f aca="false">IF(Matrice_OD!U108&lt;=Param!$B$2,EXP(-(Matrice_OD!U108^2)/Param!$B$5),0)</f>
        <v>0.75276793424022</v>
      </c>
      <c r="V108" s="0" t="n">
        <f aca="false">IF(Matrice_OD!V108&lt;=Param!$B$2,EXP(-(Matrice_OD!V108^2)/Param!$B$5),0)</f>
        <v>0.206428557501462</v>
      </c>
      <c r="W108" s="0" t="n">
        <f aca="false">IF(Matrice_OD!W108&lt;=Param!$B$2,EXP(-(Matrice_OD!W108^2)/Param!$B$5),0)</f>
        <v>0.22871149883359</v>
      </c>
      <c r="X108" s="0" t="n">
        <f aca="false">IF(Matrice_OD!X108&lt;=Param!$B$2,EXP(-(Matrice_OD!X108^2)/Param!$B$5),0)</f>
        <v>0.247196811242778</v>
      </c>
      <c r="Y108" s="0" t="n">
        <f aca="false">IF(Matrice_OD!Y108&lt;=Param!$B$2,EXP(-(Matrice_OD!Y108^2)/Param!$B$5),0)</f>
        <v>0.247057475859501</v>
      </c>
      <c r="Z108" s="0" t="n">
        <f aca="false">IF(Matrice_OD!Z108&lt;=Param!$B$2,EXP(-(Matrice_OD!Z108^2)/Param!$B$5),0)</f>
        <v>0.243038713028649</v>
      </c>
      <c r="AA108" s="0" t="n">
        <f aca="false">IF(Matrice_OD!AA108&lt;=Param!$B$2,EXP(-(Matrice_OD!AA108^2)/Param!$B$5),0)</f>
        <v>0.250134504990314</v>
      </c>
      <c r="AB108" s="0" t="n">
        <f aca="false">IF(Matrice_OD!AB108&lt;=Param!$B$2,EXP(-(Matrice_OD!AB108^2)/Param!$B$5),0)</f>
        <v>0.267785929073949</v>
      </c>
      <c r="AC108" s="0" t="n">
        <f aca="false">IF(Matrice_OD!AC108&lt;=Param!$B$2,EXP(-(Matrice_OD!AC108^2)/Param!$B$5),0)</f>
        <v>0</v>
      </c>
      <c r="AD108" s="0" t="n">
        <f aca="false">IF(Matrice_OD!AD108&lt;=Param!$B$2,EXP(-(Matrice_OD!AD108^2)/Param!$B$5),0)</f>
        <v>0</v>
      </c>
      <c r="AE108" s="0" t="n">
        <f aca="false">IF(Matrice_OD!AE108&lt;=Param!$B$2,EXP(-(Matrice_OD!AE108^2)/Param!$B$5),0)</f>
        <v>0</v>
      </c>
      <c r="AF108" s="0" t="n">
        <f aca="false">IF(Matrice_OD!AF108&lt;=Param!$B$2,EXP(-(Matrice_OD!AF108^2)/Param!$B$5),0)</f>
        <v>0</v>
      </c>
      <c r="AG108" s="0" t="n">
        <f aca="false">IF(Matrice_OD!AG108&lt;=Param!$B$2,EXP(-(Matrice_OD!AG108^2)/Param!$B$5),0)</f>
        <v>0</v>
      </c>
      <c r="AH108" s="0" t="n">
        <f aca="false">IF(Matrice_OD!AH108&lt;=Param!$B$2,EXP(-(Matrice_OD!AH108^2)/Param!$B$5),0)</f>
        <v>0.221502051589342</v>
      </c>
      <c r="AI108" s="0" t="n">
        <f aca="false">IF(Matrice_OD!AI108&lt;=Param!$B$2,EXP(-(Matrice_OD!AI108^2)/Param!$B$5),0)</f>
        <v>0.230304864436749</v>
      </c>
      <c r="AJ108" s="0" t="n">
        <f aca="false">IF(Matrice_OD!AJ108&lt;=Param!$B$2,EXP(-(Matrice_OD!AJ108^2)/Param!$B$5),0)</f>
        <v>0.235668817917529</v>
      </c>
      <c r="AK108" s="0" t="n">
        <f aca="false">IF(Matrice_OD!AK108&lt;=Param!$B$2,EXP(-(Matrice_OD!AK108^2)/Param!$B$5),0)</f>
        <v>0</v>
      </c>
      <c r="AL108" s="0" t="n">
        <f aca="false">IF(Matrice_OD!AL108&lt;=Param!$B$2,EXP(-(Matrice_OD!AL108^2)/Param!$B$5),0)</f>
        <v>0</v>
      </c>
      <c r="AM108" s="0" t="n">
        <f aca="false">IF(Matrice_OD!AM108&lt;=Param!$B$2,EXP(-(Matrice_OD!AM108^2)/Param!$B$5),0)</f>
        <v>0.0311833993680745</v>
      </c>
      <c r="AN108" s="0" t="n">
        <f aca="false">IF(Matrice_OD!AN108&lt;=Param!$B$2,EXP(-(Matrice_OD!AN108^2)/Param!$B$5),0)</f>
        <v>0</v>
      </c>
    </row>
    <row r="109" customFormat="false" ht="15" hidden="false" customHeight="true" outlineLevel="0" collapsed="false">
      <c r="A109" s="0" t="s">
        <v>316</v>
      </c>
      <c r="B109" s="0" t="s">
        <v>317</v>
      </c>
      <c r="C109" s="0" t="n">
        <f aca="false">IF(Matrice_OD!C109&lt;=Param!$B$2,EXP(-(Matrice_OD!C109^2)/Param!$B$5),0)</f>
        <v>0.0260732717344634</v>
      </c>
      <c r="D109" s="0" t="n">
        <f aca="false">IF(Matrice_OD!D109&lt;=Param!$B$2,EXP(-(Matrice_OD!D109^2)/Param!$B$5),0)</f>
        <v>0.042905160494155</v>
      </c>
      <c r="E109" s="0" t="n">
        <f aca="false">IF(Matrice_OD!E109&lt;=Param!$B$2,EXP(-(Matrice_OD!E109^2)/Param!$B$5),0)</f>
        <v>0.0439689854211579</v>
      </c>
      <c r="F109" s="0" t="n">
        <f aca="false">IF(Matrice_OD!F109&lt;=Param!$B$2,EXP(-(Matrice_OD!F109^2)/Param!$B$5),0)</f>
        <v>0.0449792743246338</v>
      </c>
      <c r="G109" s="0" t="n">
        <f aca="false">IF(Matrice_OD!G109&lt;=Param!$B$2,EXP(-(Matrice_OD!G109^2)/Param!$B$5),0)</f>
        <v>0.0438949134996401</v>
      </c>
      <c r="H109" s="0" t="n">
        <f aca="false">IF(Matrice_OD!H109&lt;=Param!$B$2,EXP(-(Matrice_OD!H109^2)/Param!$B$5),0)</f>
        <v>0.0529984430149388</v>
      </c>
      <c r="I109" s="0" t="n">
        <f aca="false">IF(Matrice_OD!I109&lt;=Param!$B$2,EXP(-(Matrice_OD!I109^2)/Param!$B$5),0)</f>
        <v>0.0520952348248809</v>
      </c>
      <c r="J109" s="0" t="n">
        <f aca="false">IF(Matrice_OD!J109&lt;=Param!$B$2,EXP(-(Matrice_OD!J109^2)/Param!$B$5),0)</f>
        <v>0.0491357433729911</v>
      </c>
      <c r="K109" s="0" t="n">
        <f aca="false">IF(Matrice_OD!K109&lt;=Param!$B$2,EXP(-(Matrice_OD!K109^2)/Param!$B$5),0)</f>
        <v>0.0463178213663985</v>
      </c>
      <c r="L109" s="0" t="n">
        <f aca="false">IF(Matrice_OD!L109&lt;=Param!$B$2,EXP(-(Matrice_OD!L109^2)/Param!$B$5),0)</f>
        <v>0.0521807000486439</v>
      </c>
      <c r="M109" s="0" t="n">
        <f aca="false">IF(Matrice_OD!M109&lt;=Param!$B$2,EXP(-(Matrice_OD!M109^2)/Param!$B$5),0)</f>
        <v>0.057572149496253</v>
      </c>
      <c r="N109" s="0" t="n">
        <f aca="false">IF(Matrice_OD!N109&lt;=Param!$B$2,EXP(-(Matrice_OD!N109^2)/Param!$B$5),0)</f>
        <v>0.0498724429236105</v>
      </c>
      <c r="O109" s="0" t="n">
        <f aca="false">IF(Matrice_OD!O109&lt;=Param!$B$2,EXP(-(Matrice_OD!O109^2)/Param!$B$5),0)</f>
        <v>0.0505766430138954</v>
      </c>
      <c r="P109" s="0" t="n">
        <f aca="false">IF(Matrice_OD!P109&lt;=Param!$B$2,EXP(-(Matrice_OD!P109^2)/Param!$B$5),0)</f>
        <v>0.0520952348248809</v>
      </c>
      <c r="Q109" s="0" t="n">
        <f aca="false">IF(Matrice_OD!Q109&lt;=Param!$B$2,EXP(-(Matrice_OD!Q109^2)/Param!$B$5),0)</f>
        <v>0.0525667361113253</v>
      </c>
      <c r="R109" s="0" t="n">
        <f aca="false">IF(Matrice_OD!R109&lt;=Param!$B$2,EXP(-(Matrice_OD!R109^2)/Param!$B$5),0)</f>
        <v>0.0517120792112209</v>
      </c>
      <c r="S109" s="0" t="n">
        <f aca="false">IF(Matrice_OD!S109&lt;=Param!$B$2,EXP(-(Matrice_OD!S109^2)/Param!$B$5),0)</f>
        <v>0.0492578925633745</v>
      </c>
      <c r="T109" s="0" t="n">
        <f aca="false">IF(Matrice_OD!T109&lt;=Param!$B$2,EXP(-(Matrice_OD!T109^2)/Param!$B$5),0)</f>
        <v>0.21673841907765</v>
      </c>
      <c r="U109" s="0" t="n">
        <f aca="false">IF(Matrice_OD!U109&lt;=Param!$B$2,EXP(-(Matrice_OD!U109^2)/Param!$B$5),0)</f>
        <v>0.756014754958261</v>
      </c>
      <c r="V109" s="0" t="n">
        <f aca="false">IF(Matrice_OD!V109&lt;=Param!$B$2,EXP(-(Matrice_OD!V109^2)/Param!$B$5),0)</f>
        <v>0.829887521779269</v>
      </c>
      <c r="W109" s="0" t="n">
        <f aca="false">IF(Matrice_OD!W109&lt;=Param!$B$2,EXP(-(Matrice_OD!W109^2)/Param!$B$5),0)</f>
        <v>0.835832225043704</v>
      </c>
      <c r="X109" s="0" t="n">
        <f aca="false">IF(Matrice_OD!X109&lt;=Param!$B$2,EXP(-(Matrice_OD!X109^2)/Param!$B$5),0)</f>
        <v>0.852398286267472</v>
      </c>
      <c r="Y109" s="0" t="n">
        <f aca="false">IF(Matrice_OD!Y109&lt;=Param!$B$2,EXP(-(Matrice_OD!Y109^2)/Param!$B$5),0)</f>
        <v>0.845022209320296</v>
      </c>
      <c r="Z109" s="0" t="n">
        <f aca="false">IF(Matrice_OD!Z109&lt;=Param!$B$2,EXP(-(Matrice_OD!Z109^2)/Param!$B$5),0)</f>
        <v>0.834310631513013</v>
      </c>
      <c r="AA109" s="0" t="n">
        <f aca="false">IF(Matrice_OD!AA109&lt;=Param!$B$2,EXP(-(Matrice_OD!AA109^2)/Param!$B$5),0)</f>
        <v>0.862024491370328</v>
      </c>
      <c r="AB109" s="0" t="n">
        <f aca="false">IF(Matrice_OD!AB109&lt;=Param!$B$2,EXP(-(Matrice_OD!AB109^2)/Param!$B$5),0)</f>
        <v>0.848480714143428</v>
      </c>
      <c r="AC109" s="0" t="n">
        <f aca="false">IF(Matrice_OD!AC109&lt;=Param!$B$2,EXP(-(Matrice_OD!AC109^2)/Param!$B$5),0)</f>
        <v>0</v>
      </c>
      <c r="AD109" s="0" t="n">
        <f aca="false">IF(Matrice_OD!AD109&lt;=Param!$B$2,EXP(-(Matrice_OD!AD109^2)/Param!$B$5),0)</f>
        <v>0</v>
      </c>
      <c r="AE109" s="0" t="n">
        <f aca="false">IF(Matrice_OD!AE109&lt;=Param!$B$2,EXP(-(Matrice_OD!AE109^2)/Param!$B$5),0)</f>
        <v>0</v>
      </c>
      <c r="AF109" s="0" t="n">
        <f aca="false">IF(Matrice_OD!AF109&lt;=Param!$B$2,EXP(-(Matrice_OD!AF109^2)/Param!$B$5),0)</f>
        <v>0</v>
      </c>
      <c r="AG109" s="0" t="n">
        <f aca="false">IF(Matrice_OD!AG109&lt;=Param!$B$2,EXP(-(Matrice_OD!AG109^2)/Param!$B$5),0)</f>
        <v>0</v>
      </c>
      <c r="AH109" s="0" t="n">
        <f aca="false">IF(Matrice_OD!AH109&lt;=Param!$B$2,EXP(-(Matrice_OD!AH109^2)/Param!$B$5),0)</f>
        <v>0.0558315397157061</v>
      </c>
      <c r="AI109" s="0" t="n">
        <f aca="false">IF(Matrice_OD!AI109&lt;=Param!$B$2,EXP(-(Matrice_OD!AI109^2)/Param!$B$5),0)</f>
        <v>0.193605032482485</v>
      </c>
      <c r="AJ109" s="0" t="n">
        <f aca="false">IF(Matrice_OD!AJ109&lt;=Param!$B$2,EXP(-(Matrice_OD!AJ109^2)/Param!$B$5),0)</f>
        <v>0.849136252379506</v>
      </c>
      <c r="AK109" s="0" t="n">
        <f aca="false">IF(Matrice_OD!AK109&lt;=Param!$B$2,EXP(-(Matrice_OD!AK109^2)/Param!$B$5),0)</f>
        <v>0</v>
      </c>
      <c r="AL109" s="0" t="n">
        <f aca="false">IF(Matrice_OD!AL109&lt;=Param!$B$2,EXP(-(Matrice_OD!AL109^2)/Param!$B$5),0)</f>
        <v>0</v>
      </c>
      <c r="AM109" s="0" t="n">
        <f aca="false">IF(Matrice_OD!AM109&lt;=Param!$B$2,EXP(-(Matrice_OD!AM109^2)/Param!$B$5),0)</f>
        <v>0.0239883291901949</v>
      </c>
      <c r="AN109" s="0" t="n">
        <f aca="false">IF(Matrice_OD!AN109&lt;=Param!$B$2,EXP(-(Matrice_OD!AN109^2)/Param!$B$5),0)</f>
        <v>0</v>
      </c>
    </row>
    <row r="110" customFormat="false" ht="15" hidden="false" customHeight="true" outlineLevel="0" collapsed="false">
      <c r="A110" s="0" t="s">
        <v>318</v>
      </c>
      <c r="B110" s="0" t="s">
        <v>319</v>
      </c>
      <c r="C110" s="0" t="n">
        <f aca="false">IF(Matrice_OD!C110&lt;=Param!$B$2,EXP(-(Matrice_OD!C110^2)/Param!$B$5),0)</f>
        <v>0.0757406731277333</v>
      </c>
      <c r="D110" s="0" t="n">
        <f aca="false">IF(Matrice_OD!D110&lt;=Param!$B$2,EXP(-(Matrice_OD!D110^2)/Param!$B$5),0)</f>
        <v>0.0457018315186091</v>
      </c>
      <c r="E110" s="0" t="n">
        <f aca="false">IF(Matrice_OD!E110&lt;=Param!$B$2,EXP(-(Matrice_OD!E110^2)/Param!$B$5),0)</f>
        <v>0.0406338525200417</v>
      </c>
      <c r="F110" s="0" t="n">
        <f aca="false">IF(Matrice_OD!F110&lt;=Param!$B$2,EXP(-(Matrice_OD!F110^2)/Param!$B$5),0)</f>
        <v>0.0415793791215204</v>
      </c>
      <c r="G110" s="0" t="n">
        <f aca="false">IF(Matrice_OD!G110&lt;=Param!$B$2,EXP(-(Matrice_OD!G110^2)/Param!$B$5),0)</f>
        <v>0.0384648636711361</v>
      </c>
      <c r="H110" s="0" t="n">
        <f aca="false">IF(Matrice_OD!H110&lt;=Param!$B$2,EXP(-(Matrice_OD!H110^2)/Param!$B$5),0)</f>
        <v>0.0490544510165403</v>
      </c>
      <c r="I110" s="0" t="n">
        <f aca="false">IF(Matrice_OD!I110&lt;=Param!$B$2,EXP(-(Matrice_OD!I110^2)/Param!$B$5),0)</f>
        <v>0.0419698753159897</v>
      </c>
      <c r="J110" s="0" t="n">
        <f aca="false">IF(Matrice_OD!J110&lt;=Param!$B$2,EXP(-(Matrice_OD!J110^2)/Param!$B$5),0)</f>
        <v>0.0401164453949594</v>
      </c>
      <c r="K110" s="0" t="n">
        <f aca="false">IF(Matrice_OD!K110&lt;=Param!$B$2,EXP(-(Matrice_OD!K110^2)/Param!$B$5),0)</f>
        <v>0.0394690606194177</v>
      </c>
      <c r="L110" s="0" t="n">
        <f aca="false">IF(Matrice_OD!L110&lt;=Param!$B$2,EXP(-(Matrice_OD!L110^2)/Param!$B$5),0)</f>
        <v>0.0420412054894398</v>
      </c>
      <c r="M110" s="0" t="n">
        <f aca="false">IF(Matrice_OD!M110&lt;=Param!$B$2,EXP(-(Matrice_OD!M110^2)/Param!$B$5),0)</f>
        <v>0.0461245821078354</v>
      </c>
      <c r="N110" s="0" t="n">
        <f aca="false">IF(Matrice_OD!N110&lt;=Param!$B$2,EXP(-(Matrice_OD!N110^2)/Param!$B$5),0)</f>
        <v>0.0416855732106619</v>
      </c>
      <c r="O110" s="0" t="n">
        <f aca="false">IF(Matrice_OD!O110&lt;=Param!$B$2,EXP(-(Matrice_OD!O110^2)/Param!$B$5),0)</f>
        <v>0.0407032637952745</v>
      </c>
      <c r="P110" s="0" t="n">
        <f aca="false">IF(Matrice_OD!P110&lt;=Param!$B$2,EXP(-(Matrice_OD!P110^2)/Param!$B$5),0)</f>
        <v>0.0403572055150354</v>
      </c>
      <c r="Q110" s="0" t="n">
        <f aca="false">IF(Matrice_OD!Q110&lt;=Param!$B$2,EXP(-(Matrice_OD!Q110^2)/Param!$B$5),0)</f>
        <v>0.0392327870058081</v>
      </c>
      <c r="R110" s="0" t="n">
        <f aca="false">IF(Matrice_OD!R110&lt;=Param!$B$2,EXP(-(Matrice_OD!R110^2)/Param!$B$5),0)</f>
        <v>0.0387971657293691</v>
      </c>
      <c r="S110" s="0" t="n">
        <f aca="false">IF(Matrice_OD!S110&lt;=Param!$B$2,EXP(-(Matrice_OD!S110^2)/Param!$B$5),0)</f>
        <v>0.0378727907745854</v>
      </c>
      <c r="T110" s="0" t="n">
        <f aca="false">IF(Matrice_OD!T110&lt;=Param!$B$2,EXP(-(Matrice_OD!T110^2)/Param!$B$5),0)</f>
        <v>0.418359851336835</v>
      </c>
      <c r="U110" s="0" t="n">
        <f aca="false">IF(Matrice_OD!U110&lt;=Param!$B$2,EXP(-(Matrice_OD!U110^2)/Param!$B$5),0)</f>
        <v>0.582112318930976</v>
      </c>
      <c r="V110" s="0" t="n">
        <f aca="false">IF(Matrice_OD!V110&lt;=Param!$B$2,EXP(-(Matrice_OD!V110^2)/Param!$B$5),0)</f>
        <v>0.837517092301897</v>
      </c>
      <c r="W110" s="0" t="n">
        <f aca="false">IF(Matrice_OD!W110&lt;=Param!$B$2,EXP(-(Matrice_OD!W110^2)/Param!$B$5),0)</f>
        <v>0.790584726329928</v>
      </c>
      <c r="X110" s="0" t="n">
        <f aca="false">IF(Matrice_OD!X110&lt;=Param!$B$2,EXP(-(Matrice_OD!X110^2)/Param!$B$5),0)</f>
        <v>0.802360938679141</v>
      </c>
      <c r="Y110" s="0" t="n">
        <f aca="false">IF(Matrice_OD!Y110&lt;=Param!$B$2,EXP(-(Matrice_OD!Y110^2)/Param!$B$5),0)</f>
        <v>0.794230287205246</v>
      </c>
      <c r="Z110" s="0" t="n">
        <f aca="false">IF(Matrice_OD!Z110&lt;=Param!$B$2,EXP(-(Matrice_OD!Z110^2)/Param!$B$5),0)</f>
        <v>0.782867513498981</v>
      </c>
      <c r="AA110" s="0" t="n">
        <f aca="false">IF(Matrice_OD!AA110&lt;=Param!$B$2,EXP(-(Matrice_OD!AA110^2)/Param!$B$5),0)</f>
        <v>0.770017057255817</v>
      </c>
      <c r="AB110" s="0" t="n">
        <f aca="false">IF(Matrice_OD!AB110&lt;=Param!$B$2,EXP(-(Matrice_OD!AB110^2)/Param!$B$5),0)</f>
        <v>0.754106169448927</v>
      </c>
      <c r="AC110" s="0" t="n">
        <f aca="false">IF(Matrice_OD!AC110&lt;=Param!$B$2,EXP(-(Matrice_OD!AC110^2)/Param!$B$5),0)</f>
        <v>0</v>
      </c>
      <c r="AD110" s="0" t="n">
        <f aca="false">IF(Matrice_OD!AD110&lt;=Param!$B$2,EXP(-(Matrice_OD!AD110^2)/Param!$B$5),0)</f>
        <v>0</v>
      </c>
      <c r="AE110" s="0" t="n">
        <f aca="false">IF(Matrice_OD!AE110&lt;=Param!$B$2,EXP(-(Matrice_OD!AE110^2)/Param!$B$5),0)</f>
        <v>0</v>
      </c>
      <c r="AF110" s="0" t="n">
        <f aca="false">IF(Matrice_OD!AF110&lt;=Param!$B$2,EXP(-(Matrice_OD!AF110^2)/Param!$B$5),0)</f>
        <v>0</v>
      </c>
      <c r="AG110" s="0" t="n">
        <f aca="false">IF(Matrice_OD!AG110&lt;=Param!$B$2,EXP(-(Matrice_OD!AG110^2)/Param!$B$5),0)</f>
        <v>0</v>
      </c>
      <c r="AH110" s="0" t="n">
        <f aca="false">IF(Matrice_OD!AH110&lt;=Param!$B$2,EXP(-(Matrice_OD!AH110^2)/Param!$B$5),0)</f>
        <v>0.0353955964141173</v>
      </c>
      <c r="AI110" s="0" t="n">
        <f aca="false">IF(Matrice_OD!AI110&lt;=Param!$B$2,EXP(-(Matrice_OD!AI110^2)/Param!$B$5),0)</f>
        <v>0.383999485053408</v>
      </c>
      <c r="AJ110" s="0" t="n">
        <f aca="false">IF(Matrice_OD!AJ110&lt;=Param!$B$2,EXP(-(Matrice_OD!AJ110^2)/Param!$B$5),0)</f>
        <v>0.798759796255391</v>
      </c>
      <c r="AK110" s="0" t="n">
        <f aca="false">IF(Matrice_OD!AK110&lt;=Param!$B$2,EXP(-(Matrice_OD!AK110^2)/Param!$B$5),0)</f>
        <v>0</v>
      </c>
      <c r="AL110" s="0" t="n">
        <f aca="false">IF(Matrice_OD!AL110&lt;=Param!$B$2,EXP(-(Matrice_OD!AL110^2)/Param!$B$5),0)</f>
        <v>0</v>
      </c>
      <c r="AM110" s="0" t="n">
        <f aca="false">IF(Matrice_OD!AM110&lt;=Param!$B$2,EXP(-(Matrice_OD!AM110^2)/Param!$B$5),0)</f>
        <v>0.0704977584952168</v>
      </c>
      <c r="AN110" s="0" t="n">
        <f aca="false">IF(Matrice_OD!AN110&lt;=Param!$B$2,EXP(-(Matrice_OD!AN110^2)/Param!$B$5),0)</f>
        <v>0</v>
      </c>
    </row>
    <row r="111" customFormat="false" ht="15" hidden="false" customHeight="true" outlineLevel="0" collapsed="false">
      <c r="A111" s="0" t="s">
        <v>320</v>
      </c>
      <c r="B111" s="0" t="s">
        <v>321</v>
      </c>
      <c r="C111" s="0" t="n">
        <f aca="false">IF(Matrice_OD!C111&lt;=Param!$B$2,EXP(-(Matrice_OD!C111^2)/Param!$B$5),0)</f>
        <v>0</v>
      </c>
      <c r="D111" s="0" t="n">
        <f aca="false">IF(Matrice_OD!D111&lt;=Param!$B$2,EXP(-(Matrice_OD!D111^2)/Param!$B$5),0)</f>
        <v>0</v>
      </c>
      <c r="E111" s="0" t="n">
        <f aca="false">IF(Matrice_OD!E111&lt;=Param!$B$2,EXP(-(Matrice_OD!E111^2)/Param!$B$5),0)</f>
        <v>0</v>
      </c>
      <c r="F111" s="0" t="n">
        <f aca="false">IF(Matrice_OD!F111&lt;=Param!$B$2,EXP(-(Matrice_OD!F111^2)/Param!$B$5),0)</f>
        <v>0</v>
      </c>
      <c r="G111" s="0" t="n">
        <f aca="false">IF(Matrice_OD!G111&lt;=Param!$B$2,EXP(-(Matrice_OD!G111^2)/Param!$B$5),0)</f>
        <v>0</v>
      </c>
      <c r="H111" s="0" t="n">
        <f aca="false">IF(Matrice_OD!H111&lt;=Param!$B$2,EXP(-(Matrice_OD!H111^2)/Param!$B$5),0)</f>
        <v>0</v>
      </c>
      <c r="I111" s="0" t="n">
        <f aca="false">IF(Matrice_OD!I111&lt;=Param!$B$2,EXP(-(Matrice_OD!I111^2)/Param!$B$5),0)</f>
        <v>0</v>
      </c>
      <c r="J111" s="0" t="n">
        <f aca="false">IF(Matrice_OD!J111&lt;=Param!$B$2,EXP(-(Matrice_OD!J111^2)/Param!$B$5),0)</f>
        <v>0</v>
      </c>
      <c r="K111" s="0" t="n">
        <f aca="false">IF(Matrice_OD!K111&lt;=Param!$B$2,EXP(-(Matrice_OD!K111^2)/Param!$B$5),0)</f>
        <v>0</v>
      </c>
      <c r="L111" s="0" t="n">
        <f aca="false">IF(Matrice_OD!L111&lt;=Param!$B$2,EXP(-(Matrice_OD!L111^2)/Param!$B$5),0)</f>
        <v>0</v>
      </c>
      <c r="M111" s="0" t="n">
        <f aca="false">IF(Matrice_OD!M111&lt;=Param!$B$2,EXP(-(Matrice_OD!M111^2)/Param!$B$5),0)</f>
        <v>0</v>
      </c>
      <c r="N111" s="0" t="n">
        <f aca="false">IF(Matrice_OD!N111&lt;=Param!$B$2,EXP(-(Matrice_OD!N111^2)/Param!$B$5),0)</f>
        <v>0</v>
      </c>
      <c r="O111" s="0" t="n">
        <f aca="false">IF(Matrice_OD!O111&lt;=Param!$B$2,EXP(-(Matrice_OD!O111^2)/Param!$B$5),0)</f>
        <v>0</v>
      </c>
      <c r="P111" s="0" t="n">
        <f aca="false">IF(Matrice_OD!P111&lt;=Param!$B$2,EXP(-(Matrice_OD!P111^2)/Param!$B$5),0)</f>
        <v>0</v>
      </c>
      <c r="Q111" s="0" t="n">
        <f aca="false">IF(Matrice_OD!Q111&lt;=Param!$B$2,EXP(-(Matrice_OD!Q111^2)/Param!$B$5),0)</f>
        <v>0</v>
      </c>
      <c r="R111" s="0" t="n">
        <f aca="false">IF(Matrice_OD!R111&lt;=Param!$B$2,EXP(-(Matrice_OD!R111^2)/Param!$B$5),0)</f>
        <v>0</v>
      </c>
      <c r="S111" s="0" t="n">
        <f aca="false">IF(Matrice_OD!S111&lt;=Param!$B$2,EXP(-(Matrice_OD!S111^2)/Param!$B$5),0)</f>
        <v>0</v>
      </c>
      <c r="T111" s="0" t="n">
        <f aca="false">IF(Matrice_OD!T111&lt;=Param!$B$2,EXP(-(Matrice_OD!T111^2)/Param!$B$5),0)</f>
        <v>0</v>
      </c>
      <c r="U111" s="0" t="n">
        <f aca="false">IF(Matrice_OD!U111&lt;=Param!$B$2,EXP(-(Matrice_OD!U111^2)/Param!$B$5),0)</f>
        <v>0.147020050605475</v>
      </c>
      <c r="V111" s="0" t="n">
        <f aca="false">IF(Matrice_OD!V111&lt;=Param!$B$2,EXP(-(Matrice_OD!V111^2)/Param!$B$5),0)</f>
        <v>0</v>
      </c>
      <c r="W111" s="0" t="n">
        <f aca="false">IF(Matrice_OD!W111&lt;=Param!$B$2,EXP(-(Matrice_OD!W111^2)/Param!$B$5),0)</f>
        <v>0</v>
      </c>
      <c r="X111" s="0" t="n">
        <f aca="false">IF(Matrice_OD!X111&lt;=Param!$B$2,EXP(-(Matrice_OD!X111^2)/Param!$B$5),0)</f>
        <v>0.0112404725117915</v>
      </c>
      <c r="Y111" s="0" t="n">
        <f aca="false">IF(Matrice_OD!Y111&lt;=Param!$B$2,EXP(-(Matrice_OD!Y111^2)/Param!$B$5),0)</f>
        <v>0.0112291214176993</v>
      </c>
      <c r="Z111" s="0" t="n">
        <f aca="false">IF(Matrice_OD!Z111&lt;=Param!$B$2,EXP(-(Matrice_OD!Z111^2)/Param!$B$5),0)</f>
        <v>0.0109043399565548</v>
      </c>
      <c r="AA111" s="0" t="n">
        <f aca="false">IF(Matrice_OD!AA111&lt;=Param!$B$2,EXP(-(Matrice_OD!AA111^2)/Param!$B$5),0)</f>
        <v>0.0114812124452571</v>
      </c>
      <c r="AB111" s="0" t="n">
        <f aca="false">IF(Matrice_OD!AB111&lt;=Param!$B$2,EXP(-(Matrice_OD!AB111^2)/Param!$B$5),0)</f>
        <v>0.0129853837948294</v>
      </c>
      <c r="AC111" s="0" t="n">
        <f aca="false">IF(Matrice_OD!AC111&lt;=Param!$B$2,EXP(-(Matrice_OD!AC111^2)/Param!$B$5),0)</f>
        <v>0</v>
      </c>
      <c r="AD111" s="0" t="n">
        <f aca="false">IF(Matrice_OD!AD111&lt;=Param!$B$2,EXP(-(Matrice_OD!AD111^2)/Param!$B$5),0)</f>
        <v>0</v>
      </c>
      <c r="AE111" s="0" t="n">
        <f aca="false">IF(Matrice_OD!AE111&lt;=Param!$B$2,EXP(-(Matrice_OD!AE111^2)/Param!$B$5),0)</f>
        <v>0</v>
      </c>
      <c r="AF111" s="0" t="n">
        <f aca="false">IF(Matrice_OD!AF111&lt;=Param!$B$2,EXP(-(Matrice_OD!AF111^2)/Param!$B$5),0)</f>
        <v>0</v>
      </c>
      <c r="AG111" s="0" t="n">
        <f aca="false">IF(Matrice_OD!AG111&lt;=Param!$B$2,EXP(-(Matrice_OD!AG111^2)/Param!$B$5),0)</f>
        <v>0</v>
      </c>
      <c r="AH111" s="0" t="n">
        <f aca="false">IF(Matrice_OD!AH111&lt;=Param!$B$2,EXP(-(Matrice_OD!AH111^2)/Param!$B$5),0)</f>
        <v>0</v>
      </c>
      <c r="AI111" s="0" t="n">
        <f aca="false">IF(Matrice_OD!AI111&lt;=Param!$B$2,EXP(-(Matrice_OD!AI111^2)/Param!$B$5),0)</f>
        <v>0</v>
      </c>
      <c r="AJ111" s="0" t="n">
        <f aca="false">IF(Matrice_OD!AJ111&lt;=Param!$B$2,EXP(-(Matrice_OD!AJ111^2)/Param!$B$5),0)</f>
        <v>0.0103217669560703</v>
      </c>
      <c r="AK111" s="0" t="n">
        <f aca="false">IF(Matrice_OD!AK111&lt;=Param!$B$2,EXP(-(Matrice_OD!AK111^2)/Param!$B$5),0)</f>
        <v>0</v>
      </c>
      <c r="AL111" s="0" t="n">
        <f aca="false">IF(Matrice_OD!AL111&lt;=Param!$B$2,EXP(-(Matrice_OD!AL111^2)/Param!$B$5),0)</f>
        <v>0</v>
      </c>
      <c r="AM111" s="0" t="n">
        <f aca="false">IF(Matrice_OD!AM111&lt;=Param!$B$2,EXP(-(Matrice_OD!AM111^2)/Param!$B$5),0)</f>
        <v>0</v>
      </c>
      <c r="AN111" s="0" t="n">
        <f aca="false">IF(Matrice_OD!AN111&lt;=Param!$B$2,EXP(-(Matrice_OD!AN111^2)/Param!$B$5),0)</f>
        <v>0</v>
      </c>
    </row>
    <row r="112" customFormat="false" ht="15" hidden="false" customHeight="true" outlineLevel="0" collapsed="false">
      <c r="A112" s="0" t="s">
        <v>322</v>
      </c>
      <c r="B112" s="0" t="s">
        <v>323</v>
      </c>
      <c r="C112" s="0" t="n">
        <f aca="false">IF(Matrice_OD!C112&lt;=Param!$B$2,EXP(-(Matrice_OD!C112^2)/Param!$B$5),0)</f>
        <v>0</v>
      </c>
      <c r="D112" s="0" t="n">
        <f aca="false">IF(Matrice_OD!D112&lt;=Param!$B$2,EXP(-(Matrice_OD!D112^2)/Param!$B$5),0)</f>
        <v>0</v>
      </c>
      <c r="E112" s="0" t="n">
        <f aca="false">IF(Matrice_OD!E112&lt;=Param!$B$2,EXP(-(Matrice_OD!E112^2)/Param!$B$5),0)</f>
        <v>0</v>
      </c>
      <c r="F112" s="0" t="n">
        <f aca="false">IF(Matrice_OD!F112&lt;=Param!$B$2,EXP(-(Matrice_OD!F112^2)/Param!$B$5),0)</f>
        <v>0</v>
      </c>
      <c r="G112" s="0" t="n">
        <f aca="false">IF(Matrice_OD!G112&lt;=Param!$B$2,EXP(-(Matrice_OD!G112^2)/Param!$B$5),0)</f>
        <v>0</v>
      </c>
      <c r="H112" s="0" t="n">
        <f aca="false">IF(Matrice_OD!H112&lt;=Param!$B$2,EXP(-(Matrice_OD!H112^2)/Param!$B$5),0)</f>
        <v>0</v>
      </c>
      <c r="I112" s="0" t="n">
        <f aca="false">IF(Matrice_OD!I112&lt;=Param!$B$2,EXP(-(Matrice_OD!I112^2)/Param!$B$5),0)</f>
        <v>0</v>
      </c>
      <c r="J112" s="0" t="n">
        <f aca="false">IF(Matrice_OD!J112&lt;=Param!$B$2,EXP(-(Matrice_OD!J112^2)/Param!$B$5),0)</f>
        <v>0</v>
      </c>
      <c r="K112" s="0" t="n">
        <f aca="false">IF(Matrice_OD!K112&lt;=Param!$B$2,EXP(-(Matrice_OD!K112^2)/Param!$B$5),0)</f>
        <v>0</v>
      </c>
      <c r="L112" s="0" t="n">
        <f aca="false">IF(Matrice_OD!L112&lt;=Param!$B$2,EXP(-(Matrice_OD!L112^2)/Param!$B$5),0)</f>
        <v>0</v>
      </c>
      <c r="M112" s="0" t="n">
        <f aca="false">IF(Matrice_OD!M112&lt;=Param!$B$2,EXP(-(Matrice_OD!M112^2)/Param!$B$5),0)</f>
        <v>0</v>
      </c>
      <c r="N112" s="0" t="n">
        <f aca="false">IF(Matrice_OD!N112&lt;=Param!$B$2,EXP(-(Matrice_OD!N112^2)/Param!$B$5),0)</f>
        <v>0</v>
      </c>
      <c r="O112" s="0" t="n">
        <f aca="false">IF(Matrice_OD!O112&lt;=Param!$B$2,EXP(-(Matrice_OD!O112^2)/Param!$B$5),0)</f>
        <v>0</v>
      </c>
      <c r="P112" s="0" t="n">
        <f aca="false">IF(Matrice_OD!P112&lt;=Param!$B$2,EXP(-(Matrice_OD!P112^2)/Param!$B$5),0)</f>
        <v>0</v>
      </c>
      <c r="Q112" s="0" t="n">
        <f aca="false">IF(Matrice_OD!Q112&lt;=Param!$B$2,EXP(-(Matrice_OD!Q112^2)/Param!$B$5),0)</f>
        <v>0</v>
      </c>
      <c r="R112" s="0" t="n">
        <f aca="false">IF(Matrice_OD!R112&lt;=Param!$B$2,EXP(-(Matrice_OD!R112^2)/Param!$B$5),0)</f>
        <v>0</v>
      </c>
      <c r="S112" s="0" t="n">
        <f aca="false">IF(Matrice_OD!S112&lt;=Param!$B$2,EXP(-(Matrice_OD!S112^2)/Param!$B$5),0)</f>
        <v>0</v>
      </c>
      <c r="T112" s="0" t="n">
        <f aca="false">IF(Matrice_OD!T112&lt;=Param!$B$2,EXP(-(Matrice_OD!T112^2)/Param!$B$5),0)</f>
        <v>0.0110824814321726</v>
      </c>
      <c r="U112" s="0" t="n">
        <f aca="false">IF(Matrice_OD!U112&lt;=Param!$B$2,EXP(-(Matrice_OD!U112^2)/Param!$B$5),0)</f>
        <v>0.254653705479449</v>
      </c>
      <c r="V112" s="0" t="n">
        <f aca="false">IF(Matrice_OD!V112&lt;=Param!$B$2,EXP(-(Matrice_OD!V112^2)/Param!$B$5),0)</f>
        <v>0.0216419195243628</v>
      </c>
      <c r="W112" s="0" t="n">
        <f aca="false">IF(Matrice_OD!W112&lt;=Param!$B$2,EXP(-(Matrice_OD!W112^2)/Param!$B$5),0)</f>
        <v>0.0235717098392432</v>
      </c>
      <c r="X112" s="0" t="n">
        <f aca="false">IF(Matrice_OD!X112&lt;=Param!$B$2,EXP(-(Matrice_OD!X112^2)/Param!$B$5),0)</f>
        <v>0.0266969716312393</v>
      </c>
      <c r="Y112" s="0" t="n">
        <f aca="false">IF(Matrice_OD!Y112&lt;=Param!$B$2,EXP(-(Matrice_OD!Y112^2)/Param!$B$5),0)</f>
        <v>0.0266727474625436</v>
      </c>
      <c r="Z112" s="0" t="n">
        <f aca="false">IF(Matrice_OD!Z112&lt;=Param!$B$2,EXP(-(Matrice_OD!Z112^2)/Param!$B$5),0)</f>
        <v>0.0259784425653228</v>
      </c>
      <c r="AA112" s="0" t="n">
        <f aca="false">IF(Matrice_OD!AA112&lt;=Param!$B$2,EXP(-(Matrice_OD!AA112^2)/Param!$B$5),0)</f>
        <v>0.0272100774395149</v>
      </c>
      <c r="AB112" s="0" t="n">
        <f aca="false">IF(Matrice_OD!AB112&lt;=Param!$B$2,EXP(-(Matrice_OD!AB112^2)/Param!$B$5),0)</f>
        <v>0.0303891113177755</v>
      </c>
      <c r="AC112" s="0" t="n">
        <f aca="false">IF(Matrice_OD!AC112&lt;=Param!$B$2,EXP(-(Matrice_OD!AC112^2)/Param!$B$5),0)</f>
        <v>0</v>
      </c>
      <c r="AD112" s="0" t="n">
        <f aca="false">IF(Matrice_OD!AD112&lt;=Param!$B$2,EXP(-(Matrice_OD!AD112^2)/Param!$B$5),0)</f>
        <v>0</v>
      </c>
      <c r="AE112" s="0" t="n">
        <f aca="false">IF(Matrice_OD!AE112&lt;=Param!$B$2,EXP(-(Matrice_OD!AE112^2)/Param!$B$5),0)</f>
        <v>0</v>
      </c>
      <c r="AF112" s="0" t="n">
        <f aca="false">IF(Matrice_OD!AF112&lt;=Param!$B$2,EXP(-(Matrice_OD!AF112^2)/Param!$B$5),0)</f>
        <v>0</v>
      </c>
      <c r="AG112" s="0" t="n">
        <f aca="false">IF(Matrice_OD!AG112&lt;=Param!$B$2,EXP(-(Matrice_OD!AG112^2)/Param!$B$5),0)</f>
        <v>0</v>
      </c>
      <c r="AH112" s="0" t="n">
        <f aca="false">IF(Matrice_OD!AH112&lt;=Param!$B$2,EXP(-(Matrice_OD!AH112^2)/Param!$B$5),0)</f>
        <v>0</v>
      </c>
      <c r="AI112" s="0" t="n">
        <f aca="false">IF(Matrice_OD!AI112&lt;=Param!$B$2,EXP(-(Matrice_OD!AI112^2)/Param!$B$5),0)</f>
        <v>0</v>
      </c>
      <c r="AJ112" s="0" t="n">
        <f aca="false">IF(Matrice_OD!AJ112&lt;=Param!$B$2,EXP(-(Matrice_OD!AJ112^2)/Param!$B$5),0)</f>
        <v>0.0247270957821869</v>
      </c>
      <c r="AK112" s="0" t="n">
        <f aca="false">IF(Matrice_OD!AK112&lt;=Param!$B$2,EXP(-(Matrice_OD!AK112^2)/Param!$B$5),0)</f>
        <v>0</v>
      </c>
      <c r="AL112" s="0" t="n">
        <f aca="false">IF(Matrice_OD!AL112&lt;=Param!$B$2,EXP(-(Matrice_OD!AL112^2)/Param!$B$5),0)</f>
        <v>0</v>
      </c>
      <c r="AM112" s="0" t="n">
        <f aca="false">IF(Matrice_OD!AM112&lt;=Param!$B$2,EXP(-(Matrice_OD!AM112^2)/Param!$B$5),0)</f>
        <v>0</v>
      </c>
      <c r="AN112" s="0" t="n">
        <f aca="false">IF(Matrice_OD!AN112&lt;=Param!$B$2,EXP(-(Matrice_OD!AN112^2)/Param!$B$5),0)</f>
        <v>0</v>
      </c>
    </row>
    <row r="113" customFormat="false" ht="15" hidden="false" customHeight="true" outlineLevel="0" collapsed="false">
      <c r="A113" s="0" t="s">
        <v>324</v>
      </c>
      <c r="B113" s="0" t="s">
        <v>325</v>
      </c>
      <c r="C113" s="0" t="n">
        <f aca="false">IF(Matrice_OD!C113&lt;=Param!$B$2,EXP(-(Matrice_OD!C113^2)/Param!$B$5),0)</f>
        <v>0.0253692789296682</v>
      </c>
      <c r="D113" s="0" t="n">
        <f aca="false">IF(Matrice_OD!D113&lt;=Param!$B$2,EXP(-(Matrice_OD!D113^2)/Param!$B$5),0)</f>
        <v>0.148677224272581</v>
      </c>
      <c r="E113" s="0" t="n">
        <f aca="false">IF(Matrice_OD!E113&lt;=Param!$B$2,EXP(-(Matrice_OD!E113^2)/Param!$B$5),0)</f>
        <v>0.151535899368939</v>
      </c>
      <c r="F113" s="0" t="n">
        <f aca="false">IF(Matrice_OD!F113&lt;=Param!$B$2,EXP(-(Matrice_OD!F113^2)/Param!$B$5),0)</f>
        <v>0.154233553310483</v>
      </c>
      <c r="G113" s="0" t="n">
        <f aca="false">IF(Matrice_OD!G113&lt;=Param!$B$2,EXP(-(Matrice_OD!G113^2)/Param!$B$5),0)</f>
        <v>0.151436656455152</v>
      </c>
      <c r="H113" s="0" t="n">
        <f aca="false">IF(Matrice_OD!H113&lt;=Param!$B$2,EXP(-(Matrice_OD!H113^2)/Param!$B$5),0)</f>
        <v>0.175096168150426</v>
      </c>
      <c r="I113" s="0" t="n">
        <f aca="false">IF(Matrice_OD!I113&lt;=Param!$B$2,EXP(-(Matrice_OD!I113^2)/Param!$B$5),0)</f>
        <v>0.172901639388606</v>
      </c>
      <c r="J113" s="0" t="n">
        <f aca="false">IF(Matrice_OD!J113&lt;=Param!$B$2,EXP(-(Matrice_OD!J113^2)/Param!$B$5),0)</f>
        <v>0.165270121237396</v>
      </c>
      <c r="K113" s="0" t="n">
        <f aca="false">IF(Matrice_OD!K113&lt;=Param!$B$2,EXP(-(Matrice_OD!K113^2)/Param!$B$5),0)</f>
        <v>0.157782645892911</v>
      </c>
      <c r="L113" s="0" t="n">
        <f aca="false">IF(Matrice_OD!L113&lt;=Param!$B$2,EXP(-(Matrice_OD!L113^2)/Param!$B$5),0)</f>
        <v>0.173120203162566</v>
      </c>
      <c r="M113" s="0" t="n">
        <f aca="false">IF(Matrice_OD!M113&lt;=Param!$B$2,EXP(-(Matrice_OD!M113^2)/Param!$B$5),0)</f>
        <v>0.186712378378681</v>
      </c>
      <c r="N113" s="0" t="n">
        <f aca="false">IF(Matrice_OD!N113&lt;=Param!$B$2,EXP(-(Matrice_OD!N113^2)/Param!$B$5),0)</f>
        <v>0.167074862012504</v>
      </c>
      <c r="O113" s="0" t="n">
        <f aca="false">IF(Matrice_OD!O113&lt;=Param!$B$2,EXP(-(Matrice_OD!O113^2)/Param!$B$5),0)</f>
        <v>0.168893760251339</v>
      </c>
      <c r="P113" s="0" t="n">
        <f aca="false">IF(Matrice_OD!P113&lt;=Param!$B$2,EXP(-(Matrice_OD!P113^2)/Param!$B$5),0)</f>
        <v>0.172901639388606</v>
      </c>
      <c r="Q113" s="0" t="n">
        <f aca="false">IF(Matrice_OD!Q113&lt;=Param!$B$2,EXP(-(Matrice_OD!Q113^2)/Param!$B$5),0)</f>
        <v>0.173996433210156</v>
      </c>
      <c r="R113" s="0" t="n">
        <f aca="false">IF(Matrice_OD!R113&lt;=Param!$B$2,EXP(-(Matrice_OD!R113^2)/Param!$B$5),0)</f>
        <v>0.171811780414895</v>
      </c>
      <c r="S113" s="0" t="n">
        <f aca="false">IF(Matrice_OD!S113&lt;=Param!$B$2,EXP(-(Matrice_OD!S113^2)/Param!$B$5),0)</f>
        <v>0.165481709994318</v>
      </c>
      <c r="T113" s="0" t="n">
        <f aca="false">IF(Matrice_OD!T113&lt;=Param!$B$2,EXP(-(Matrice_OD!T113^2)/Param!$B$5),0)</f>
        <v>0.212926990602336</v>
      </c>
      <c r="U113" s="0" t="n">
        <f aca="false">IF(Matrice_OD!U113&lt;=Param!$B$2,EXP(-(Matrice_OD!U113^2)/Param!$B$5),0)</f>
        <v>0.649926096131068</v>
      </c>
      <c r="V113" s="0" t="n">
        <f aca="false">IF(Matrice_OD!V113&lt;=Param!$B$2,EXP(-(Matrice_OD!V113^2)/Param!$B$5),0)</f>
        <v>0.149069142443047</v>
      </c>
      <c r="W113" s="0" t="n">
        <f aca="false">IF(Matrice_OD!W113&lt;=Param!$B$2,EXP(-(Matrice_OD!W113^2)/Param!$B$5),0)</f>
        <v>0.166755350586238</v>
      </c>
      <c r="X113" s="0" t="n">
        <f aca="false">IF(Matrice_OD!X113&lt;=Param!$B$2,EXP(-(Matrice_OD!X113^2)/Param!$B$5),0)</f>
        <v>0.181798676009901</v>
      </c>
      <c r="Y113" s="0" t="n">
        <f aca="false">IF(Matrice_OD!Y113&lt;=Param!$B$2,EXP(-(Matrice_OD!Y113^2)/Param!$B$5),0)</f>
        <v>0.181572376469086</v>
      </c>
      <c r="Z113" s="0" t="n">
        <f aca="false">IF(Matrice_OD!Z113&lt;=Param!$B$2,EXP(-(Matrice_OD!Z113^2)/Param!$B$5),0)</f>
        <v>0.178313397655743</v>
      </c>
      <c r="AA113" s="0" t="n">
        <f aca="false">IF(Matrice_OD!AA113&lt;=Param!$B$2,EXP(-(Matrice_OD!AA113^2)/Param!$B$5),0)</f>
        <v>0.184186859082097</v>
      </c>
      <c r="AB113" s="0" t="n">
        <f aca="false">IF(Matrice_OD!AB113&lt;=Param!$B$2,EXP(-(Matrice_OD!AB113^2)/Param!$B$5),0)</f>
        <v>0.198497859155838</v>
      </c>
      <c r="AC113" s="0" t="n">
        <f aca="false">IF(Matrice_OD!AC113&lt;=Param!$B$2,EXP(-(Matrice_OD!AC113^2)/Param!$B$5),0)</f>
        <v>0</v>
      </c>
      <c r="AD113" s="0" t="n">
        <f aca="false">IF(Matrice_OD!AD113&lt;=Param!$B$2,EXP(-(Matrice_OD!AD113^2)/Param!$B$5),0)</f>
        <v>0</v>
      </c>
      <c r="AE113" s="0" t="n">
        <f aca="false">IF(Matrice_OD!AE113&lt;=Param!$B$2,EXP(-(Matrice_OD!AE113^2)/Param!$B$5),0)</f>
        <v>0</v>
      </c>
      <c r="AF113" s="0" t="n">
        <f aca="false">IF(Matrice_OD!AF113&lt;=Param!$B$2,EXP(-(Matrice_OD!AF113^2)/Param!$B$5),0)</f>
        <v>0</v>
      </c>
      <c r="AG113" s="0" t="n">
        <f aca="false">IF(Matrice_OD!AG113&lt;=Param!$B$2,EXP(-(Matrice_OD!AG113^2)/Param!$B$5),0)</f>
        <v>0</v>
      </c>
      <c r="AH113" s="0" t="n">
        <f aca="false">IF(Matrice_OD!AH113&lt;=Param!$B$2,EXP(-(Matrice_OD!AH113^2)/Param!$B$5),0)</f>
        <v>0.182365296688568</v>
      </c>
      <c r="AI113" s="0" t="n">
        <f aca="false">IF(Matrice_OD!AI113&lt;=Param!$B$2,EXP(-(Matrice_OD!AI113^2)/Param!$B$5),0)</f>
        <v>0.190078474694531</v>
      </c>
      <c r="AJ113" s="0" t="n">
        <f aca="false">IF(Matrice_OD!AJ113&lt;=Param!$B$2,EXP(-(Matrice_OD!AJ113^2)/Param!$B$5),0)</f>
        <v>0.172356093442726</v>
      </c>
      <c r="AK113" s="0" t="n">
        <f aca="false">IF(Matrice_OD!AK113&lt;=Param!$B$2,EXP(-(Matrice_OD!AK113^2)/Param!$B$5),0)</f>
        <v>0</v>
      </c>
      <c r="AL113" s="0" t="n">
        <f aca="false">IF(Matrice_OD!AL113&lt;=Param!$B$2,EXP(-(Matrice_OD!AL113^2)/Param!$B$5),0)</f>
        <v>0</v>
      </c>
      <c r="AM113" s="0" t="n">
        <f aca="false">IF(Matrice_OD!AM113&lt;=Param!$B$2,EXP(-(Matrice_OD!AM113^2)/Param!$B$5),0)</f>
        <v>0.0233333866565239</v>
      </c>
      <c r="AN113" s="0" t="n">
        <f aca="false">IF(Matrice_OD!AN113&lt;=Param!$B$2,EXP(-(Matrice_OD!AN113^2)/Param!$B$5),0)</f>
        <v>0</v>
      </c>
    </row>
    <row r="114" customFormat="false" ht="15" hidden="false" customHeight="true" outlineLevel="0" collapsed="false">
      <c r="A114" s="0" t="s">
        <v>326</v>
      </c>
      <c r="B114" s="0" t="s">
        <v>327</v>
      </c>
      <c r="C114" s="0" t="n">
        <f aca="false">IF(Matrice_OD!C114&lt;=Param!$B$2,EXP(-(Matrice_OD!C114^2)/Param!$B$5),0)</f>
        <v>0.0901287418617332</v>
      </c>
      <c r="D114" s="0" t="n">
        <f aca="false">IF(Matrice_OD!D114&lt;=Param!$B$2,EXP(-(Matrice_OD!D114^2)/Param!$B$5),0)</f>
        <v>0.062715057842735</v>
      </c>
      <c r="E114" s="0" t="n">
        <f aca="false">IF(Matrice_OD!E114&lt;=Param!$B$2,EXP(-(Matrice_OD!E114^2)/Param!$B$5),0)</f>
        <v>0.0560580517305732</v>
      </c>
      <c r="F114" s="0" t="n">
        <f aca="false">IF(Matrice_OD!F114&lt;=Param!$B$2,EXP(-(Matrice_OD!F114^2)/Param!$B$5),0)</f>
        <v>0.0572943768134397</v>
      </c>
      <c r="G114" s="0" t="n">
        <f aca="false">IF(Matrice_OD!G114&lt;=Param!$B$2,EXP(-(Matrice_OD!G114^2)/Param!$B$5),0)</f>
        <v>0.0532153972694215</v>
      </c>
      <c r="H114" s="0" t="n">
        <f aca="false">IF(Matrice_OD!H114&lt;=Param!$B$2,EXP(-(Matrice_OD!H114^2)/Param!$B$5),0)</f>
        <v>0.0670637756040271</v>
      </c>
      <c r="I114" s="0" t="n">
        <f aca="false">IF(Matrice_OD!I114&lt;=Param!$B$2,EXP(-(Matrice_OD!I114^2)/Param!$B$5),0)</f>
        <v>0.0578510320545094</v>
      </c>
      <c r="J114" s="0" t="n">
        <f aca="false">IF(Matrice_OD!J114&lt;=Param!$B$2,EXP(-(Matrice_OD!J114^2)/Param!$B$5),0)</f>
        <v>0.0553807854732341</v>
      </c>
      <c r="K114" s="0" t="n">
        <f aca="false">IF(Matrice_OD!K114&lt;=Param!$B$2,EXP(-(Matrice_OD!K114^2)/Param!$B$5),0)</f>
        <v>0.0545326456395642</v>
      </c>
      <c r="L114" s="0" t="n">
        <f aca="false">IF(Matrice_OD!L114&lt;=Param!$B$2,EXP(-(Matrice_OD!L114^2)/Param!$B$5),0)</f>
        <v>0.0579442400798662</v>
      </c>
      <c r="M114" s="0" t="n">
        <f aca="false">IF(Matrice_OD!M114&lt;=Param!$B$2,EXP(-(Matrice_OD!M114^2)/Param!$B$5),0)</f>
        <v>0.06326447395625</v>
      </c>
      <c r="N114" s="0" t="n">
        <f aca="false">IF(Matrice_OD!N114&lt;=Param!$B$2,EXP(-(Matrice_OD!N114^2)/Param!$B$5),0)</f>
        <v>0.0574331246133389</v>
      </c>
      <c r="O114" s="0" t="n">
        <f aca="false">IF(Matrice_OD!O114&lt;=Param!$B$2,EXP(-(Matrice_OD!O114^2)/Param!$B$5),0)</f>
        <v>0.0561488689485786</v>
      </c>
      <c r="P114" s="0" t="n">
        <f aca="false">IF(Matrice_OD!P114&lt;=Param!$B$2,EXP(-(Matrice_OD!P114^2)/Param!$B$5),0)</f>
        <v>0.0557411470225183</v>
      </c>
      <c r="Q114" s="0" t="n">
        <f aca="false">IF(Matrice_OD!Q114&lt;=Param!$B$2,EXP(-(Matrice_OD!Q114^2)/Param!$B$5),0)</f>
        <v>0.0542228968585656</v>
      </c>
      <c r="R114" s="0" t="n">
        <f aca="false">IF(Matrice_OD!R114&lt;=Param!$B$2,EXP(-(Matrice_OD!R114^2)/Param!$B$5),0)</f>
        <v>0.0536515162366358</v>
      </c>
      <c r="S114" s="0" t="n">
        <f aca="false">IF(Matrice_OD!S114&lt;=Param!$B$2,EXP(-(Matrice_OD!S114^2)/Param!$B$5),0)</f>
        <v>0.0524377948016445</v>
      </c>
      <c r="T114" s="0" t="n">
        <f aca="false">IF(Matrice_OD!T114&lt;=Param!$B$2,EXP(-(Matrice_OD!T114^2)/Param!$B$5),0)</f>
        <v>0.462460181911235</v>
      </c>
      <c r="U114" s="0" t="n">
        <f aca="false">IF(Matrice_OD!U114&lt;=Param!$B$2,EXP(-(Matrice_OD!U114^2)/Param!$B$5),0)</f>
        <v>0.670211882622286</v>
      </c>
      <c r="V114" s="0" t="n">
        <f aca="false">IF(Matrice_OD!V114&lt;=Param!$B$2,EXP(-(Matrice_OD!V114^2)/Param!$B$5),0)</f>
        <v>0.144129003088991</v>
      </c>
      <c r="W114" s="0" t="n">
        <f aca="false">IF(Matrice_OD!W114&lt;=Param!$B$2,EXP(-(Matrice_OD!W114^2)/Param!$B$5),0)</f>
        <v>0.147603369466037</v>
      </c>
      <c r="X114" s="0" t="n">
        <f aca="false">IF(Matrice_OD!X114&lt;=Param!$B$2,EXP(-(Matrice_OD!X114^2)/Param!$B$5),0)</f>
        <v>0.157476123710092</v>
      </c>
      <c r="Y114" s="0" t="n">
        <f aca="false">IF(Matrice_OD!Y114&lt;=Param!$B$2,EXP(-(Matrice_OD!Y114^2)/Param!$B$5),0)</f>
        <v>0.153030283465318</v>
      </c>
      <c r="Z114" s="0" t="n">
        <f aca="false">IF(Matrice_OD!Z114&lt;=Param!$B$2,EXP(-(Matrice_OD!Z114^2)/Param!$B$5),0)</f>
        <v>0.146729030972106</v>
      </c>
      <c r="AA114" s="0" t="n">
        <f aca="false">IF(Matrice_OD!AA114&lt;=Param!$B$2,EXP(-(Matrice_OD!AA114^2)/Param!$B$5),0)</f>
        <v>0.163794469799986</v>
      </c>
      <c r="AB114" s="0" t="n">
        <f aca="false">IF(Matrice_OD!AB114&lt;=Param!$B$2,EXP(-(Matrice_OD!AB114^2)/Param!$B$5),0)</f>
        <v>0.155140543527902</v>
      </c>
      <c r="AC114" s="0" t="n">
        <f aca="false">IF(Matrice_OD!AC114&lt;=Param!$B$2,EXP(-(Matrice_OD!AC114^2)/Param!$B$5),0)</f>
        <v>0</v>
      </c>
      <c r="AD114" s="0" t="n">
        <f aca="false">IF(Matrice_OD!AD114&lt;=Param!$B$2,EXP(-(Matrice_OD!AD114^2)/Param!$B$5),0)</f>
        <v>0</v>
      </c>
      <c r="AE114" s="0" t="n">
        <f aca="false">IF(Matrice_OD!AE114&lt;=Param!$B$2,EXP(-(Matrice_OD!AE114^2)/Param!$B$5),0)</f>
        <v>0</v>
      </c>
      <c r="AF114" s="0" t="n">
        <f aca="false">IF(Matrice_OD!AF114&lt;=Param!$B$2,EXP(-(Matrice_OD!AF114^2)/Param!$B$5),0)</f>
        <v>0</v>
      </c>
      <c r="AG114" s="0" t="n">
        <f aca="false">IF(Matrice_OD!AG114&lt;=Param!$B$2,EXP(-(Matrice_OD!AG114^2)/Param!$B$5),0)</f>
        <v>0</v>
      </c>
      <c r="AH114" s="0" t="n">
        <f aca="false">IF(Matrice_OD!AH114&lt;=Param!$B$2,EXP(-(Matrice_OD!AH114^2)/Param!$B$5),0)</f>
        <v>0.0536952906494156</v>
      </c>
      <c r="AI114" s="0" t="n">
        <f aca="false">IF(Matrice_OD!AI114&lt;=Param!$B$2,EXP(-(Matrice_OD!AI114^2)/Param!$B$5),0)</f>
        <v>0.426588225621191</v>
      </c>
      <c r="AJ114" s="0" t="n">
        <f aca="false">IF(Matrice_OD!AJ114&lt;=Param!$B$2,EXP(-(Matrice_OD!AJ114^2)/Param!$B$5),0)</f>
        <v>0.155443739162195</v>
      </c>
      <c r="AK114" s="0" t="n">
        <f aca="false">IF(Matrice_OD!AK114&lt;=Param!$B$2,EXP(-(Matrice_OD!AK114^2)/Param!$B$5),0)</f>
        <v>0</v>
      </c>
      <c r="AL114" s="0" t="n">
        <f aca="false">IF(Matrice_OD!AL114&lt;=Param!$B$2,EXP(-(Matrice_OD!AL114^2)/Param!$B$5),0)</f>
        <v>0</v>
      </c>
      <c r="AM114" s="0" t="n">
        <f aca="false">IF(Matrice_OD!AM114&lt;=Param!$B$2,EXP(-(Matrice_OD!AM114^2)/Param!$B$5),0)</f>
        <v>0.0840319505381621</v>
      </c>
      <c r="AN114" s="0" t="n">
        <f aca="false">IF(Matrice_OD!AN114&lt;=Param!$B$2,EXP(-(Matrice_OD!AN114^2)/Param!$B$5),0)</f>
        <v>0</v>
      </c>
    </row>
    <row r="115" customFormat="false" ht="15" hidden="false" customHeight="true" outlineLevel="0" collapsed="false">
      <c r="A115" s="0" t="s">
        <v>328</v>
      </c>
      <c r="B115" s="0" t="s">
        <v>329</v>
      </c>
      <c r="C115" s="0" t="n">
        <f aca="false">IF(Matrice_OD!C115&lt;=Param!$B$2,EXP(-(Matrice_OD!C115^2)/Param!$B$5),0)</f>
        <v>0</v>
      </c>
      <c r="D115" s="0" t="n">
        <f aca="false">IF(Matrice_OD!D115&lt;=Param!$B$2,EXP(-(Matrice_OD!D115^2)/Param!$B$5),0)</f>
        <v>0.0256957389266801</v>
      </c>
      <c r="E115" s="0" t="n">
        <f aca="false">IF(Matrice_OD!E115&lt;=Param!$B$2,EXP(-(Matrice_OD!E115^2)/Param!$B$5),0)</f>
        <v>0.0263835322165757</v>
      </c>
      <c r="F115" s="0" t="n">
        <f aca="false">IF(Matrice_OD!F115&lt;=Param!$B$2,EXP(-(Matrice_OD!F115^2)/Param!$B$5),0)</f>
        <v>0.0270381063292128</v>
      </c>
      <c r="G115" s="0" t="n">
        <f aca="false">IF(Matrice_OD!G115&lt;=Param!$B$2,EXP(-(Matrice_OD!G115^2)/Param!$B$5),0)</f>
        <v>0.0263595534902227</v>
      </c>
      <c r="H115" s="0" t="n">
        <f aca="false">IF(Matrice_OD!H115&lt;=Param!$B$2,EXP(-(Matrice_OD!H115^2)/Param!$B$5),0)</f>
        <v>0.0322795433848997</v>
      </c>
      <c r="I115" s="0" t="n">
        <f aca="false">IF(Matrice_OD!I115&lt;=Param!$B$2,EXP(-(Matrice_OD!I115^2)/Param!$B$5),0)</f>
        <v>0.0316852894635683</v>
      </c>
      <c r="J115" s="0" t="n">
        <f aca="false">IF(Matrice_OD!J115&lt;=Param!$B$2,EXP(-(Matrice_OD!J115^2)/Param!$B$5),0)</f>
        <v>0.0297715456642382</v>
      </c>
      <c r="K115" s="0" t="n">
        <f aca="false">IF(Matrice_OD!K115&lt;=Param!$B$2,EXP(-(Matrice_OD!K115^2)/Param!$B$5),0)</f>
        <v>0.0279074146331352</v>
      </c>
      <c r="L115" s="0" t="n">
        <f aca="false">IF(Matrice_OD!L115&lt;=Param!$B$2,EXP(-(Matrice_OD!L115^2)/Param!$B$5),0)</f>
        <v>0.0317414791149653</v>
      </c>
      <c r="M115" s="0" t="n">
        <f aca="false">IF(Matrice_OD!M115&lt;=Param!$B$2,EXP(-(Matrice_OD!M115^2)/Param!$B$5),0)</f>
        <v>0.035333934529768</v>
      </c>
      <c r="N115" s="0" t="n">
        <f aca="false">IF(Matrice_OD!N115&lt;=Param!$B$2,EXP(-(Matrice_OD!N115^2)/Param!$B$5),0)</f>
        <v>0.0302269581304512</v>
      </c>
      <c r="O115" s="0" t="n">
        <f aca="false">IF(Matrice_OD!O115&lt;=Param!$B$2,EXP(-(Matrice_OD!O115^2)/Param!$B$5),0)</f>
        <v>0.0306883285136117</v>
      </c>
      <c r="P115" s="0" t="n">
        <f aca="false">IF(Matrice_OD!P115&lt;=Param!$B$2,EXP(-(Matrice_OD!P115^2)/Param!$B$5),0)</f>
        <v>0.0317133736477192</v>
      </c>
      <c r="Q115" s="0" t="n">
        <f aca="false">IF(Matrice_OD!Q115&lt;=Param!$B$2,EXP(-(Matrice_OD!Q115^2)/Param!$B$5),0)</f>
        <v>0.0319953881178287</v>
      </c>
      <c r="R115" s="0" t="n">
        <f aca="false">IF(Matrice_OD!R115&lt;=Param!$B$2,EXP(-(Matrice_OD!R115^2)/Param!$B$5),0)</f>
        <v>0.031433487490264</v>
      </c>
      <c r="S115" s="0" t="n">
        <f aca="false">IF(Matrice_OD!S115&lt;=Param!$B$2,EXP(-(Matrice_OD!S115^2)/Param!$B$5),0)</f>
        <v>0.0298248163259103</v>
      </c>
      <c r="T115" s="0" t="n">
        <f aca="false">IF(Matrice_OD!T115&lt;=Param!$B$2,EXP(-(Matrice_OD!T115^2)/Param!$B$5),0)</f>
        <v>0.0425433808910712</v>
      </c>
      <c r="U115" s="0" t="n">
        <f aca="false">IF(Matrice_OD!U115&lt;=Param!$B$2,EXP(-(Matrice_OD!U115^2)/Param!$B$5),0)</f>
        <v>0.271022799622015</v>
      </c>
      <c r="V115" s="0" t="n">
        <f aca="false">IF(Matrice_OD!V115&lt;=Param!$B$2,EXP(-(Matrice_OD!V115^2)/Param!$B$5),0)</f>
        <v>0.0307703698280248</v>
      </c>
      <c r="W115" s="0" t="n">
        <f aca="false">IF(Matrice_OD!W115&lt;=Param!$B$2,EXP(-(Matrice_OD!W115^2)/Param!$B$5),0)</f>
        <v>0.0358297968413916</v>
      </c>
      <c r="X115" s="0" t="n">
        <f aca="false">IF(Matrice_OD!X115&lt;=Param!$B$2,EXP(-(Matrice_OD!X115^2)/Param!$B$5),0)</f>
        <v>0.0403227367037451</v>
      </c>
      <c r="Y115" s="0" t="n">
        <f aca="false">IF(Matrice_OD!Y115&lt;=Param!$B$2,EXP(-(Matrice_OD!Y115^2)/Param!$B$5),0)</f>
        <v>0.04025387364319</v>
      </c>
      <c r="Z115" s="0" t="n">
        <f aca="false">IF(Matrice_OD!Z115&lt;=Param!$B$2,EXP(-(Matrice_OD!Z115^2)/Param!$B$5),0)</f>
        <v>0.0392664669795846</v>
      </c>
      <c r="AA115" s="0" t="n">
        <f aca="false">IF(Matrice_OD!AA115&lt;=Param!$B$2,EXP(-(Matrice_OD!AA115^2)/Param!$B$5),0)</f>
        <v>0.0410518226901426</v>
      </c>
      <c r="AB115" s="0" t="n">
        <f aca="false">IF(Matrice_OD!AB115&lt;=Param!$B$2,EXP(-(Matrice_OD!AB115^2)/Param!$B$5),0)</f>
        <v>0.0455107481906514</v>
      </c>
      <c r="AC115" s="0" t="n">
        <f aca="false">IF(Matrice_OD!AC115&lt;=Param!$B$2,EXP(-(Matrice_OD!AC115^2)/Param!$B$5),0)</f>
        <v>0</v>
      </c>
      <c r="AD115" s="0" t="n">
        <f aca="false">IF(Matrice_OD!AD115&lt;=Param!$B$2,EXP(-(Matrice_OD!AD115^2)/Param!$B$5),0)</f>
        <v>0.0100102383806321</v>
      </c>
      <c r="AE115" s="0" t="n">
        <f aca="false">IF(Matrice_OD!AE115&lt;=Param!$B$2,EXP(-(Matrice_OD!AE115^2)/Param!$B$5),0)</f>
        <v>0</v>
      </c>
      <c r="AF115" s="0" t="n">
        <f aca="false">IF(Matrice_OD!AF115&lt;=Param!$B$2,EXP(-(Matrice_OD!AF115^2)/Param!$B$5),0)</f>
        <v>0</v>
      </c>
      <c r="AG115" s="0" t="n">
        <f aca="false">IF(Matrice_OD!AG115&lt;=Param!$B$2,EXP(-(Matrice_OD!AG115^2)/Param!$B$5),0)</f>
        <v>0</v>
      </c>
      <c r="AH115" s="0" t="n">
        <f aca="false">IF(Matrice_OD!AH115&lt;=Param!$B$2,EXP(-(Matrice_OD!AH115^2)/Param!$B$5),0)</f>
        <v>0.0341496647429038</v>
      </c>
      <c r="AI115" s="0" t="n">
        <f aca="false">IF(Matrice_OD!AI115&lt;=Param!$B$2,EXP(-(Matrice_OD!AI115^2)/Param!$B$5),0)</f>
        <v>0.0362370276945552</v>
      </c>
      <c r="AJ115" s="0" t="n">
        <f aca="false">IF(Matrice_OD!AJ115&lt;=Param!$B$2,EXP(-(Matrice_OD!AJ115^2)/Param!$B$5),0)</f>
        <v>0.037482380105493</v>
      </c>
      <c r="AK115" s="0" t="n">
        <f aca="false">IF(Matrice_OD!AK115&lt;=Param!$B$2,EXP(-(Matrice_OD!AK115^2)/Param!$B$5),0)</f>
        <v>0</v>
      </c>
      <c r="AL115" s="0" t="n">
        <f aca="false">IF(Matrice_OD!AL115&lt;=Param!$B$2,EXP(-(Matrice_OD!AL115^2)/Param!$B$5),0)</f>
        <v>0</v>
      </c>
      <c r="AM115" s="0" t="n">
        <f aca="false">IF(Matrice_OD!AM115&lt;=Param!$B$2,EXP(-(Matrice_OD!AM115^2)/Param!$B$5),0)</f>
        <v>0</v>
      </c>
      <c r="AN115" s="0" t="n">
        <f aca="false">IF(Matrice_OD!AN115&lt;=Param!$B$2,EXP(-(Matrice_OD!AN115^2)/Param!$B$5),0)</f>
        <v>0</v>
      </c>
    </row>
    <row r="116" customFormat="false" ht="15" hidden="false" customHeight="true" outlineLevel="0" collapsed="false">
      <c r="A116" s="0" t="s">
        <v>330</v>
      </c>
      <c r="B116" s="0" t="s">
        <v>331</v>
      </c>
      <c r="C116" s="0" t="n">
        <f aca="false">IF(Matrice_OD!C116&lt;=Param!$B$2,EXP(-(Matrice_OD!C116^2)/Param!$B$5),0)</f>
        <v>0</v>
      </c>
      <c r="D116" s="0" t="n">
        <f aca="false">IF(Matrice_OD!D116&lt;=Param!$B$2,EXP(-(Matrice_OD!D116^2)/Param!$B$5),0)</f>
        <v>0.0171251922950597</v>
      </c>
      <c r="E116" s="0" t="n">
        <f aca="false">IF(Matrice_OD!E116&lt;=Param!$B$2,EXP(-(Matrice_OD!E116^2)/Param!$B$5),0)</f>
        <v>0.0176087035795942</v>
      </c>
      <c r="F116" s="0" t="n">
        <f aca="false">IF(Matrice_OD!F116&lt;=Param!$B$2,EXP(-(Matrice_OD!F116^2)/Param!$B$5),0)</f>
        <v>0.0180695796347537</v>
      </c>
      <c r="G116" s="0" t="n">
        <f aca="false">IF(Matrice_OD!G116&lt;=Param!$B$2,EXP(-(Matrice_OD!G116^2)/Param!$B$5),0)</f>
        <v>0.017574978002924</v>
      </c>
      <c r="H116" s="0" t="n">
        <f aca="false">IF(Matrice_OD!H116&lt;=Param!$B$2,EXP(-(Matrice_OD!H116^2)/Param!$B$5),0)</f>
        <v>0.0217634517928878</v>
      </c>
      <c r="I116" s="0" t="n">
        <f aca="false">IF(Matrice_OD!I116&lt;=Param!$B$2,EXP(-(Matrice_OD!I116^2)/Param!$B$5),0)</f>
        <v>0.0213606368915543</v>
      </c>
      <c r="J116" s="0" t="n">
        <f aca="false">IF(Matrice_OD!J116&lt;=Param!$B$2,EXP(-(Matrice_OD!J116^2)/Param!$B$5),0)</f>
        <v>0.0199825752356108</v>
      </c>
      <c r="K116" s="0" t="n">
        <f aca="false">IF(Matrice_OD!K116&lt;=Param!$B$2,EXP(-(Matrice_OD!K116^2)/Param!$B$5),0)</f>
        <v>0.0186827059220499</v>
      </c>
      <c r="L116" s="0" t="n">
        <f aca="false">IF(Matrice_OD!L116&lt;=Param!$B$2,EXP(-(Matrice_OD!L116^2)/Param!$B$5),0)</f>
        <v>0.0214006243813944</v>
      </c>
      <c r="M116" s="0" t="n">
        <f aca="false">IF(Matrice_OD!M116&lt;=Param!$B$2,EXP(-(Matrice_OD!M116^2)/Param!$B$5),0)</f>
        <v>0.0239441762833489</v>
      </c>
      <c r="N116" s="0" t="n">
        <f aca="false">IF(Matrice_OD!N116&lt;=Param!$B$2,EXP(-(Matrice_OD!N116^2)/Param!$B$5),0)</f>
        <v>0.0203243974465149</v>
      </c>
      <c r="O116" s="0" t="n">
        <f aca="false">IF(Matrice_OD!O116&lt;=Param!$B$2,EXP(-(Matrice_OD!O116^2)/Param!$B$5),0)</f>
        <v>0.0206325069465679</v>
      </c>
      <c r="P116" s="0" t="n">
        <f aca="false">IF(Matrice_OD!P116&lt;=Param!$B$2,EXP(-(Matrice_OD!P116^2)/Param!$B$5),0)</f>
        <v>0.0213606368915543</v>
      </c>
      <c r="Q116" s="0" t="n">
        <f aca="false">IF(Matrice_OD!Q116&lt;=Param!$B$2,EXP(-(Matrice_OD!Q116^2)/Param!$B$5),0)</f>
        <v>0.0215612262487885</v>
      </c>
      <c r="R116" s="0" t="n">
        <f aca="false">IF(Matrice_OD!R116&lt;=Param!$B$2,EXP(-(Matrice_OD!R116^2)/Param!$B$5),0)</f>
        <v>0.0211814965807451</v>
      </c>
      <c r="S116" s="0" t="n">
        <f aca="false">IF(Matrice_OD!S116&lt;=Param!$B$2,EXP(-(Matrice_OD!S116^2)/Param!$B$5),0)</f>
        <v>0.0200391950102482</v>
      </c>
      <c r="T116" s="0" t="n">
        <f aca="false">IF(Matrice_OD!T116&lt;=Param!$B$2,EXP(-(Matrice_OD!T116^2)/Param!$B$5),0)</f>
        <v>0.0291647757847238</v>
      </c>
      <c r="U116" s="0" t="n">
        <f aca="false">IF(Matrice_OD!U116&lt;=Param!$B$2,EXP(-(Matrice_OD!U116^2)/Param!$B$5),0)</f>
        <v>0.211666653932453</v>
      </c>
      <c r="V116" s="0" t="n">
        <f aca="false">IF(Matrice_OD!V116&lt;=Param!$B$2,EXP(-(Matrice_OD!V116^2)/Param!$B$5),0)</f>
        <v>0.0206907282982587</v>
      </c>
      <c r="W116" s="0" t="n">
        <f aca="false">IF(Matrice_OD!W116&lt;=Param!$B$2,EXP(-(Matrice_OD!W116^2)/Param!$B$5),0)</f>
        <v>0.0243217289618007</v>
      </c>
      <c r="X116" s="0" t="n">
        <f aca="false">IF(Matrice_OD!X116&lt;=Param!$B$2,EXP(-(Matrice_OD!X116^2)/Param!$B$5),0)</f>
        <v>0.0275319525467702</v>
      </c>
      <c r="Y116" s="0" t="n">
        <f aca="false">IF(Matrice_OD!Y116&lt;=Param!$B$2,EXP(-(Matrice_OD!Y116^2)/Param!$B$5),0)</f>
        <v>0.0275070770811862</v>
      </c>
      <c r="Z116" s="0" t="n">
        <f aca="false">IF(Matrice_OD!Z116&lt;=Param!$B$2,EXP(-(Matrice_OD!Z116^2)/Param!$B$5),0)</f>
        <v>0.0267940580426537</v>
      </c>
      <c r="AA116" s="0" t="n">
        <f aca="false">IF(Matrice_OD!AA116&lt;=Param!$B$2,EXP(-(Matrice_OD!AA116^2)/Param!$B$5),0)</f>
        <v>0.0280588282588576</v>
      </c>
      <c r="AB116" s="0" t="n">
        <f aca="false">IF(Matrice_OD!AB116&lt;=Param!$B$2,EXP(-(Matrice_OD!AB116^2)/Param!$B$5),0)</f>
        <v>0.0313221261655378</v>
      </c>
      <c r="AC116" s="0" t="n">
        <f aca="false">IF(Matrice_OD!AC116&lt;=Param!$B$2,EXP(-(Matrice_OD!AC116^2)/Param!$B$5),0)</f>
        <v>0.056559052250329</v>
      </c>
      <c r="AD116" s="0" t="n">
        <f aca="false">IF(Matrice_OD!AD116&lt;=Param!$B$2,EXP(-(Matrice_OD!AD116^2)/Param!$B$5),0)</f>
        <v>0.0583183110946967</v>
      </c>
      <c r="AE116" s="0" t="n">
        <f aca="false">IF(Matrice_OD!AE116&lt;=Param!$B$2,EXP(-(Matrice_OD!AE116^2)/Param!$B$5),0)</f>
        <v>0.058224607275147</v>
      </c>
      <c r="AF116" s="0" t="n">
        <f aca="false">IF(Matrice_OD!AF116&lt;=Param!$B$2,EXP(-(Matrice_OD!AF116^2)/Param!$B$5),0)</f>
        <v>0.0550670519868909</v>
      </c>
      <c r="AG116" s="0" t="n">
        <f aca="false">IF(Matrice_OD!AG116&lt;=Param!$B$2,EXP(-(Matrice_OD!AG116^2)/Param!$B$5),0)</f>
        <v>0</v>
      </c>
      <c r="AH116" s="0" t="n">
        <f aca="false">IF(Matrice_OD!AH116&lt;=Param!$B$2,EXP(-(Matrice_OD!AH116^2)/Param!$B$5),0)</f>
        <v>0.0231185447970498</v>
      </c>
      <c r="AI116" s="0" t="n">
        <f aca="false">IF(Matrice_OD!AI116&lt;=Param!$B$2,EXP(-(Matrice_OD!AI116^2)/Param!$B$5),0)</f>
        <v>0.0245913289920444</v>
      </c>
      <c r="AJ116" s="0" t="n">
        <f aca="false">IF(Matrice_OD!AJ116&lt;=Param!$B$2,EXP(-(Matrice_OD!AJ116^2)/Param!$B$5),0)</f>
        <v>0.0255087490017977</v>
      </c>
      <c r="AK116" s="0" t="n">
        <f aca="false">IF(Matrice_OD!AK116&lt;=Param!$B$2,EXP(-(Matrice_OD!AK116^2)/Param!$B$5),0)</f>
        <v>0.0404607612338564</v>
      </c>
      <c r="AL116" s="0" t="n">
        <f aca="false">IF(Matrice_OD!AL116&lt;=Param!$B$2,EXP(-(Matrice_OD!AL116^2)/Param!$B$5),0)</f>
        <v>0.0560126886669485</v>
      </c>
      <c r="AM116" s="0" t="n">
        <f aca="false">IF(Matrice_OD!AM116&lt;=Param!$B$2,EXP(-(Matrice_OD!AM116^2)/Param!$B$5),0)</f>
        <v>0</v>
      </c>
      <c r="AN116" s="0" t="n">
        <f aca="false">IF(Matrice_OD!AN116&lt;=Param!$B$2,EXP(-(Matrice_OD!AN116^2)/Param!$B$5),0)</f>
        <v>0</v>
      </c>
    </row>
    <row r="117" customFormat="false" ht="15" hidden="false" customHeight="true" outlineLevel="0" collapsed="false">
      <c r="A117" s="0" t="s">
        <v>332</v>
      </c>
      <c r="B117" s="0" t="s">
        <v>333</v>
      </c>
      <c r="C117" s="0" t="n">
        <f aca="false">IF(Matrice_OD!C117&lt;=Param!$B$2,EXP(-(Matrice_OD!C117^2)/Param!$B$5),0)</f>
        <v>0</v>
      </c>
      <c r="D117" s="0" t="n">
        <f aca="false">IF(Matrice_OD!D117&lt;=Param!$B$2,EXP(-(Matrice_OD!D117^2)/Param!$B$5),0)</f>
        <v>0.050285682121811</v>
      </c>
      <c r="E117" s="0" t="n">
        <f aca="false">IF(Matrice_OD!E117&lt;=Param!$B$2,EXP(-(Matrice_OD!E117^2)/Param!$B$5),0)</f>
        <v>0.0515002290382128</v>
      </c>
      <c r="F117" s="0" t="n">
        <f aca="false">IF(Matrice_OD!F117&lt;=Param!$B$2,EXP(-(Matrice_OD!F117^2)/Param!$B$5),0)</f>
        <v>0.0526528431448755</v>
      </c>
      <c r="G117" s="0" t="n">
        <f aca="false">IF(Matrice_OD!G117&lt;=Param!$B$2,EXP(-(Matrice_OD!G117^2)/Param!$B$5),0)</f>
        <v>0.0514579457110997</v>
      </c>
      <c r="H117" s="0" t="n">
        <f aca="false">IF(Matrice_OD!H117&lt;=Param!$B$2,EXP(-(Matrice_OD!H117^2)/Param!$B$5),0)</f>
        <v>0.061775279076297</v>
      </c>
      <c r="I117" s="0" t="n">
        <f aca="false">IF(Matrice_OD!I117&lt;=Param!$B$2,EXP(-(Matrice_OD!I117^2)/Param!$B$5),0)</f>
        <v>0.0607500503162859</v>
      </c>
      <c r="J117" s="0" t="n">
        <f aca="false">IF(Matrice_OD!J117&lt;=Param!$B$2,EXP(-(Matrice_OD!J117^2)/Param!$B$5),0)</f>
        <v>0.0574331246133389</v>
      </c>
      <c r="K117" s="0" t="n">
        <f aca="false">IF(Matrice_OD!K117&lt;=Param!$B$2,EXP(-(Matrice_OD!K117^2)/Param!$B$5),0)</f>
        <v>0.054178766248034</v>
      </c>
      <c r="L117" s="0" t="n">
        <f aca="false">IF(Matrice_OD!L117&lt;=Param!$B$2,EXP(-(Matrice_OD!L117^2)/Param!$B$5),0)</f>
        <v>0.0608470850630192</v>
      </c>
      <c r="M117" s="0" t="n">
        <f aca="false">IF(Matrice_OD!M117&lt;=Param!$B$2,EXP(-(Matrice_OD!M117^2)/Param!$B$5),0)</f>
        <v>0.0670112209461021</v>
      </c>
      <c r="N117" s="0" t="n">
        <f aca="false">IF(Matrice_OD!N117&lt;=Param!$B$2,EXP(-(Matrice_OD!N117^2)/Param!$B$5),0)</f>
        <v>0.058224607275147</v>
      </c>
      <c r="O117" s="0" t="n">
        <f aca="false">IF(Matrice_OD!O117&lt;=Param!$B$2,EXP(-(Matrice_OD!O117^2)/Param!$B$5),0)</f>
        <v>0.0590250576262198</v>
      </c>
      <c r="P117" s="0" t="n">
        <f aca="false">IF(Matrice_OD!P117&lt;=Param!$B$2,EXP(-(Matrice_OD!P117^2)/Param!$B$5),0)</f>
        <v>0.060798551787809</v>
      </c>
      <c r="Q117" s="0" t="n">
        <f aca="false">IF(Matrice_OD!Q117&lt;=Param!$B$2,EXP(-(Matrice_OD!Q117^2)/Param!$B$5),0)</f>
        <v>0.0612853180731309</v>
      </c>
      <c r="R117" s="0" t="n">
        <f aca="false">IF(Matrice_OD!R117&lt;=Param!$B$2,EXP(-(Matrice_OD!R117^2)/Param!$B$5),0)</f>
        <v>0.0603149658716965</v>
      </c>
      <c r="S117" s="0" t="n">
        <f aca="false">IF(Matrice_OD!S117&lt;=Param!$B$2,EXP(-(Matrice_OD!S117^2)/Param!$B$5),0)</f>
        <v>0.0575257770577985</v>
      </c>
      <c r="T117" s="0" t="n">
        <f aca="false">IF(Matrice_OD!T117&lt;=Param!$B$2,EXP(-(Matrice_OD!T117^2)/Param!$B$5),0)</f>
        <v>0.0303620341352777</v>
      </c>
      <c r="U117" s="0" t="n">
        <f aca="false">IF(Matrice_OD!U117&lt;=Param!$B$2,EXP(-(Matrice_OD!U117^2)/Param!$B$5),0)</f>
        <v>0.207171388978309</v>
      </c>
      <c r="V117" s="0" t="n">
        <f aca="false">IF(Matrice_OD!V117&lt;=Param!$B$2,EXP(-(Matrice_OD!V117^2)/Param!$B$5),0)</f>
        <v>0.0200014329706271</v>
      </c>
      <c r="W117" s="0" t="n">
        <f aca="false">IF(Matrice_OD!W117&lt;=Param!$B$2,EXP(-(Matrice_OD!W117^2)/Param!$B$5),0)</f>
        <v>0.0235282220984441</v>
      </c>
      <c r="X117" s="0" t="n">
        <f aca="false">IF(Matrice_OD!X117&lt;=Param!$B$2,EXP(-(Matrice_OD!X117^2)/Param!$B$5),0)</f>
        <v>0.0266727474625436</v>
      </c>
      <c r="Y117" s="0" t="n">
        <f aca="false">IF(Matrice_OD!Y117&lt;=Param!$B$2,EXP(-(Matrice_OD!Y117^2)/Param!$B$5),0)</f>
        <v>0.0266243559642333</v>
      </c>
      <c r="Z117" s="0" t="n">
        <f aca="false">IF(Matrice_OD!Z117&lt;=Param!$B$2,EXP(-(Matrice_OD!Z117^2)/Param!$B$5),0)</f>
        <v>0.0259311397038601</v>
      </c>
      <c r="AA117" s="0" t="n">
        <f aca="false">IF(Matrice_OD!AA117&lt;=Param!$B$2,EXP(-(Matrice_OD!AA117^2)/Param!$B$5),0)</f>
        <v>0.0271854526064994</v>
      </c>
      <c r="AB117" s="0" t="n">
        <f aca="false">IF(Matrice_OD!AB117&lt;=Param!$B$2,EXP(-(Matrice_OD!AB117^2)/Param!$B$5),0)</f>
        <v>0.0303349776296542</v>
      </c>
      <c r="AC117" s="0" t="n">
        <f aca="false">IF(Matrice_OD!AC117&lt;=Param!$B$2,EXP(-(Matrice_OD!AC117^2)/Param!$B$5),0)</f>
        <v>0.0116208243886108</v>
      </c>
      <c r="AD117" s="0" t="n">
        <f aca="false">IF(Matrice_OD!AD117&lt;=Param!$B$2,EXP(-(Matrice_OD!AD117^2)/Param!$B$5),0)</f>
        <v>0.0120729233806748</v>
      </c>
      <c r="AE117" s="0" t="n">
        <f aca="false">IF(Matrice_OD!AE117&lt;=Param!$B$2,EXP(-(Matrice_OD!AE117^2)/Param!$B$5),0)</f>
        <v>0.0120487453913234</v>
      </c>
      <c r="AF117" s="0" t="n">
        <f aca="false">IF(Matrice_OD!AF117&lt;=Param!$B$2,EXP(-(Matrice_OD!AF117^2)/Param!$B$5),0)</f>
        <v>0.0112404725117915</v>
      </c>
      <c r="AG117" s="0" t="n">
        <f aca="false">IF(Matrice_OD!AG117&lt;=Param!$B$2,EXP(-(Matrice_OD!AG117^2)/Param!$B$5),0)</f>
        <v>0</v>
      </c>
      <c r="AH117" s="0" t="n">
        <f aca="false">IF(Matrice_OD!AH117&lt;=Param!$B$2,EXP(-(Matrice_OD!AH117^2)/Param!$B$5),0)</f>
        <v>0.064987632521813</v>
      </c>
      <c r="AI117" s="0" t="n">
        <f aca="false">IF(Matrice_OD!AI117&lt;=Param!$B$2,EXP(-(Matrice_OD!AI117^2)/Param!$B$5),0)</f>
        <v>0.0279326013172725</v>
      </c>
      <c r="AJ117" s="0" t="n">
        <f aca="false">IF(Matrice_OD!AJ117&lt;=Param!$B$2,EXP(-(Matrice_OD!AJ117^2)/Param!$B$5),0)</f>
        <v>0.0246817683310264</v>
      </c>
      <c r="AK117" s="0" t="n">
        <f aca="false">IF(Matrice_OD!AK117&lt;=Param!$B$2,EXP(-(Matrice_OD!AK117^2)/Param!$B$5),0)</f>
        <v>0</v>
      </c>
      <c r="AL117" s="0" t="n">
        <f aca="false">IF(Matrice_OD!AL117&lt;=Param!$B$2,EXP(-(Matrice_OD!AL117^2)/Param!$B$5),0)</f>
        <v>0.0115275833644157</v>
      </c>
      <c r="AM117" s="0" t="n">
        <f aca="false">IF(Matrice_OD!AM117&lt;=Param!$B$2,EXP(-(Matrice_OD!AM117^2)/Param!$B$5),0)</f>
        <v>0</v>
      </c>
      <c r="AN117" s="0" t="n">
        <f aca="false">IF(Matrice_OD!AN117&lt;=Param!$B$2,EXP(-(Matrice_OD!AN117^2)/Param!$B$5),0)</f>
        <v>0</v>
      </c>
    </row>
    <row r="118" customFormat="false" ht="15" hidden="false" customHeight="true" outlineLevel="0" collapsed="false">
      <c r="A118" s="0" t="s">
        <v>334</v>
      </c>
      <c r="B118" s="0" t="s">
        <v>335</v>
      </c>
      <c r="C118" s="0" t="n">
        <f aca="false">IF(Matrice_OD!C118&lt;=Param!$B$2,EXP(-(Matrice_OD!C118^2)/Param!$B$5),0)</f>
        <v>0</v>
      </c>
      <c r="D118" s="0" t="n">
        <f aca="false">IF(Matrice_OD!D118&lt;=Param!$B$2,EXP(-(Matrice_OD!D118^2)/Param!$B$5),0)</f>
        <v>0.084221311499969</v>
      </c>
      <c r="E118" s="0" t="n">
        <f aca="false">IF(Matrice_OD!E118&lt;=Param!$B$2,EXP(-(Matrice_OD!E118^2)/Param!$B$5),0)</f>
        <v>0.0860694029064613</v>
      </c>
      <c r="F118" s="0" t="n">
        <f aca="false">IF(Matrice_OD!F118&lt;=Param!$B$2,EXP(-(Matrice_OD!F118^2)/Param!$B$5),0)</f>
        <v>0.0878189263946189</v>
      </c>
      <c r="G118" s="0" t="n">
        <f aca="false">IF(Matrice_OD!G118&lt;=Param!$B$2,EXP(-(Matrice_OD!G118^2)/Param!$B$5),0)</f>
        <v>0.0860051424981954</v>
      </c>
      <c r="H118" s="0" t="n">
        <f aca="false">IF(Matrice_OD!H118&lt;=Param!$B$2,EXP(-(Matrice_OD!H118^2)/Param!$B$5),0)</f>
        <v>0.10152583450118</v>
      </c>
      <c r="I118" s="0" t="n">
        <f aca="false">IF(Matrice_OD!I118&lt;=Param!$B$2,EXP(-(Matrice_OD!I118^2)/Param!$B$5),0)</f>
        <v>0.0999971800836959</v>
      </c>
      <c r="J118" s="0" t="n">
        <f aca="false">IF(Matrice_OD!J118&lt;=Param!$B$2,EXP(-(Matrice_OD!J118^2)/Param!$B$5),0)</f>
        <v>0.0950315369276001</v>
      </c>
      <c r="K118" s="0" t="n">
        <f aca="false">IF(Matrice_OD!K118&lt;=Param!$B$2,EXP(-(Matrice_OD!K118^2)/Param!$B$5),0)</f>
        <v>0.0901287418617332</v>
      </c>
      <c r="L118" s="0" t="n">
        <f aca="false">IF(Matrice_OD!L118&lt;=Param!$B$2,EXP(-(Matrice_OD!L118^2)/Param!$B$5),0)</f>
        <v>0.100214449624175</v>
      </c>
      <c r="M118" s="0" t="n">
        <f aca="false">IF(Matrice_OD!M118&lt;=Param!$B$2,EXP(-(Matrice_OD!M118^2)/Param!$B$5),0)</f>
        <v>0.109289333587837</v>
      </c>
      <c r="N118" s="0" t="n">
        <f aca="false">IF(Matrice_OD!N118&lt;=Param!$B$2,EXP(-(Matrice_OD!N118^2)/Param!$B$5),0)</f>
        <v>0.0962192572258655</v>
      </c>
      <c r="O118" s="0" t="n">
        <f aca="false">IF(Matrice_OD!O118&lt;=Param!$B$2,EXP(-(Matrice_OD!O118^2)/Param!$B$5),0)</f>
        <v>0.0974186204714038</v>
      </c>
      <c r="P118" s="0" t="n">
        <f aca="false">IF(Matrice_OD!P118&lt;=Param!$B$2,EXP(-(Matrice_OD!P118^2)/Param!$B$5),0)</f>
        <v>0.100069562253129</v>
      </c>
      <c r="Q118" s="0" t="n">
        <f aca="false">IF(Matrice_OD!Q118&lt;=Param!$B$2,EXP(-(Matrice_OD!Q118^2)/Param!$B$5),0)</f>
        <v>0.100795641472132</v>
      </c>
      <c r="R118" s="0" t="n">
        <f aca="false">IF(Matrice_OD!R118&lt;=Param!$B$2,EXP(-(Matrice_OD!R118^2)/Param!$B$5),0)</f>
        <v>0.099347583663055</v>
      </c>
      <c r="S118" s="0" t="n">
        <f aca="false">IF(Matrice_OD!S118&lt;=Param!$B$2,EXP(-(Matrice_OD!S118^2)/Param!$B$5),0)</f>
        <v>0.0951706665732556</v>
      </c>
      <c r="T118" s="0" t="n">
        <f aca="false">IF(Matrice_OD!T118&lt;=Param!$B$2,EXP(-(Matrice_OD!T118^2)/Param!$B$5),0)</f>
        <v>0.0965707995577502</v>
      </c>
      <c r="U118" s="0" t="n">
        <f aca="false">IF(Matrice_OD!U118&lt;=Param!$B$2,EXP(-(Matrice_OD!U118^2)/Param!$B$5),0)</f>
        <v>0.380602818439635</v>
      </c>
      <c r="V118" s="0" t="n">
        <f aca="false">IF(Matrice_OD!V118&lt;=Param!$B$2,EXP(-(Matrice_OD!V118^2)/Param!$B$5),0)</f>
        <v>0.0544439968266329</v>
      </c>
      <c r="W118" s="0" t="n">
        <f aca="false">IF(Matrice_OD!W118&lt;=Param!$B$2,EXP(-(Matrice_OD!W118^2)/Param!$B$5),0)</f>
        <v>0.0626155852905549</v>
      </c>
      <c r="X118" s="0" t="n">
        <f aca="false">IF(Matrice_OD!X118&lt;=Param!$B$2,EXP(-(Matrice_OD!X118^2)/Param!$B$5),0)</f>
        <v>0.0696803773379458</v>
      </c>
      <c r="Y118" s="0" t="n">
        <f aca="false">IF(Matrice_OD!Y118&lt;=Param!$B$2,EXP(-(Matrice_OD!Y118^2)/Param!$B$5),0)</f>
        <v>0.0696261601091105</v>
      </c>
      <c r="Z118" s="0" t="n">
        <f aca="false">IF(Matrice_OD!Z118&lt;=Param!$B$2,EXP(-(Matrice_OD!Z118^2)/Param!$B$5),0)</f>
        <v>0.0680687116750096</v>
      </c>
      <c r="AA118" s="0" t="n">
        <f aca="false">IF(Matrice_OD!AA118&lt;=Param!$B$2,EXP(-(Matrice_OD!AA118^2)/Param!$B$5),0)</f>
        <v>0.070826882018109</v>
      </c>
      <c r="AB118" s="0" t="n">
        <f aca="false">IF(Matrice_OD!AB118&lt;=Param!$B$2,EXP(-(Matrice_OD!AB118^2)/Param!$B$5),0)</f>
        <v>0.0778527664173815</v>
      </c>
      <c r="AC118" s="0" t="n">
        <f aca="false">IF(Matrice_OD!AC118&lt;=Param!$B$2,EXP(-(Matrice_OD!AC118^2)/Param!$B$5),0)</f>
        <v>0</v>
      </c>
      <c r="AD118" s="0" t="n">
        <f aca="false">IF(Matrice_OD!AD118&lt;=Param!$B$2,EXP(-(Matrice_OD!AD118^2)/Param!$B$5),0)</f>
        <v>0</v>
      </c>
      <c r="AE118" s="0" t="n">
        <f aca="false">IF(Matrice_OD!AE118&lt;=Param!$B$2,EXP(-(Matrice_OD!AE118^2)/Param!$B$5),0)</f>
        <v>0</v>
      </c>
      <c r="AF118" s="0" t="n">
        <f aca="false">IF(Matrice_OD!AF118&lt;=Param!$B$2,EXP(-(Matrice_OD!AF118^2)/Param!$B$5),0)</f>
        <v>0</v>
      </c>
      <c r="AG118" s="0" t="n">
        <f aca="false">IF(Matrice_OD!AG118&lt;=Param!$B$2,EXP(-(Matrice_OD!AG118^2)/Param!$B$5),0)</f>
        <v>0</v>
      </c>
      <c r="AH118" s="0" t="n">
        <f aca="false">IF(Matrice_OD!AH118&lt;=Param!$B$2,EXP(-(Matrice_OD!AH118^2)/Param!$B$5),0)</f>
        <v>0.106297351658604</v>
      </c>
      <c r="AI118" s="0" t="n">
        <f aca="false">IF(Matrice_OD!AI118&lt;=Param!$B$2,EXP(-(Matrice_OD!AI118^2)/Param!$B$5),0)</f>
        <v>0.0840319505381621</v>
      </c>
      <c r="AJ118" s="0" t="n">
        <f aca="false">IF(Matrice_OD!AJ118&lt;=Param!$B$2,EXP(-(Matrice_OD!AJ118^2)/Param!$B$5),0)</f>
        <v>0.0652442431447094</v>
      </c>
      <c r="AK118" s="0" t="n">
        <f aca="false">IF(Matrice_OD!AK118&lt;=Param!$B$2,EXP(-(Matrice_OD!AK118^2)/Param!$B$5),0)</f>
        <v>0</v>
      </c>
      <c r="AL118" s="0" t="n">
        <f aca="false">IF(Matrice_OD!AL118&lt;=Param!$B$2,EXP(-(Matrice_OD!AL118^2)/Param!$B$5),0)</f>
        <v>0</v>
      </c>
      <c r="AM118" s="0" t="n">
        <f aca="false">IF(Matrice_OD!AM118&lt;=Param!$B$2,EXP(-(Matrice_OD!AM118^2)/Param!$B$5),0)</f>
        <v>0</v>
      </c>
      <c r="AN118" s="0" t="n">
        <f aca="false">IF(Matrice_OD!AN118&lt;=Param!$B$2,EXP(-(Matrice_OD!AN118^2)/Param!$B$5),0)</f>
        <v>0</v>
      </c>
    </row>
    <row r="119" customFormat="false" ht="15" hidden="false" customHeight="true" outlineLevel="0" collapsed="false">
      <c r="A119" s="0" t="s">
        <v>336</v>
      </c>
      <c r="B119" s="0" t="s">
        <v>337</v>
      </c>
      <c r="C119" s="0" t="n">
        <f aca="false">IF(Matrice_OD!C119&lt;=Param!$B$2,EXP(-(Matrice_OD!C119^2)/Param!$B$5),0)</f>
        <v>0.0147622504090032</v>
      </c>
      <c r="D119" s="0" t="n">
        <f aca="false">IF(Matrice_OD!D119&lt;=Param!$B$2,EXP(-(Matrice_OD!D119^2)/Param!$B$5),0)</f>
        <v>0.0217431553047369</v>
      </c>
      <c r="E119" s="0" t="n">
        <f aca="false">IF(Matrice_OD!E119&lt;=Param!$B$2,EXP(-(Matrice_OD!E119^2)/Param!$B$5),0)</f>
        <v>0.0223384792951249</v>
      </c>
      <c r="F119" s="0" t="n">
        <f aca="false">IF(Matrice_OD!F119&lt;=Param!$B$2,EXP(-(Matrice_OD!F119^2)/Param!$B$5),0)</f>
        <v>0.0229266560707008</v>
      </c>
      <c r="G119" s="0" t="n">
        <f aca="false">IF(Matrice_OD!G119&lt;=Param!$B$2,EXP(-(Matrice_OD!G119^2)/Param!$B$5),0)</f>
        <v>0.0223177175946652</v>
      </c>
      <c r="H119" s="0" t="n">
        <f aca="false">IF(Matrice_OD!H119&lt;=Param!$B$2,EXP(-(Matrice_OD!H119^2)/Param!$B$5),0)</f>
        <v>0.0274573841892333</v>
      </c>
      <c r="I119" s="0" t="n">
        <f aca="false">IF(Matrice_OD!I119&lt;=Param!$B$2,EXP(-(Matrice_OD!I119^2)/Param!$B$5),0)</f>
        <v>0.0269646915528868</v>
      </c>
      <c r="J119" s="0" t="n">
        <f aca="false">IF(Matrice_OD!J119&lt;=Param!$B$2,EXP(-(Matrice_OD!J119^2)/Param!$B$5),0)</f>
        <v>0.0252766652995604</v>
      </c>
      <c r="K119" s="0" t="n">
        <f aca="false">IF(Matrice_OD!K119&lt;=Param!$B$2,EXP(-(Matrice_OD!K119^2)/Param!$B$5),0)</f>
        <v>0.0236588943250474</v>
      </c>
      <c r="L119" s="0" t="n">
        <f aca="false">IF(Matrice_OD!L119&lt;=Param!$B$2,EXP(-(Matrice_OD!L119^2)/Param!$B$5),0)</f>
        <v>0.0270136156265977</v>
      </c>
      <c r="M119" s="0" t="n">
        <f aca="false">IF(Matrice_OD!M119&lt;=Param!$B$2,EXP(-(Matrice_OD!M119^2)/Param!$B$5),0)</f>
        <v>0.030119268479901</v>
      </c>
      <c r="N119" s="0" t="n">
        <f aca="false">IF(Matrice_OD!N119&lt;=Param!$B$2,EXP(-(Matrice_OD!N119^2)/Param!$B$5),0)</f>
        <v>0.0256723006473405</v>
      </c>
      <c r="O119" s="0" t="n">
        <f aca="false">IF(Matrice_OD!O119&lt;=Param!$B$2,EXP(-(Matrice_OD!O119^2)/Param!$B$5),0)</f>
        <v>0.0260732717344634</v>
      </c>
      <c r="P119" s="0" t="n">
        <f aca="false">IF(Matrice_OD!P119&lt;=Param!$B$2,EXP(-(Matrice_OD!P119^2)/Param!$B$5),0)</f>
        <v>0.0269646915528868</v>
      </c>
      <c r="Q119" s="0" t="n">
        <f aca="false">IF(Matrice_OD!Q119&lt;=Param!$B$2,EXP(-(Matrice_OD!Q119^2)/Param!$B$5),0)</f>
        <v>0.0272100774395149</v>
      </c>
      <c r="R119" s="0" t="n">
        <f aca="false">IF(Matrice_OD!R119&lt;=Param!$B$2,EXP(-(Matrice_OD!R119^2)/Param!$B$5),0)</f>
        <v>0.0267454768662073</v>
      </c>
      <c r="S119" s="0" t="n">
        <f aca="false">IF(Matrice_OD!S119&lt;=Param!$B$2,EXP(-(Matrice_OD!S119^2)/Param!$B$5),0)</f>
        <v>0.0253460980809287</v>
      </c>
      <c r="T119" s="0" t="n">
        <f aca="false">IF(Matrice_OD!T119&lt;=Param!$B$2,EXP(-(Matrice_OD!T119^2)/Param!$B$5),0)</f>
        <v>0.148775132485205</v>
      </c>
      <c r="U119" s="0" t="n">
        <f aca="false">IF(Matrice_OD!U119&lt;=Param!$B$2,EXP(-(Matrice_OD!U119^2)/Param!$B$5),0)</f>
        <v>0.499536253519093</v>
      </c>
      <c r="V119" s="0" t="n">
        <f aca="false">IF(Matrice_OD!V119&lt;=Param!$B$2,EXP(-(Matrice_OD!V119^2)/Param!$B$5),0)</f>
        <v>0.757158091550379</v>
      </c>
      <c r="W119" s="0" t="n">
        <f aca="false">IF(Matrice_OD!W119&lt;=Param!$B$2,EXP(-(Matrice_OD!W119^2)/Param!$B$5),0)</f>
        <v>0.789487322402236</v>
      </c>
      <c r="X119" s="0" t="n">
        <f aca="false">IF(Matrice_OD!X119&lt;=Param!$B$2,EXP(-(Matrice_OD!X119^2)/Param!$B$5),0)</f>
        <v>0.814097543804378</v>
      </c>
      <c r="Y119" s="0" t="n">
        <f aca="false">IF(Matrice_OD!Y119&lt;=Param!$B$2,EXP(-(Matrice_OD!Y119^2)/Param!$B$5),0)</f>
        <v>0.81374530117233</v>
      </c>
      <c r="Z119" s="0" t="n">
        <f aca="false">IF(Matrice_OD!Z119&lt;=Param!$B$2,EXP(-(Matrice_OD!Z119^2)/Param!$B$5),0)</f>
        <v>0.808613545867913</v>
      </c>
      <c r="AA119" s="0" t="n">
        <f aca="false">IF(Matrice_OD!AA119&lt;=Param!$B$2,EXP(-(Matrice_OD!AA119^2)/Param!$B$5),0)</f>
        <v>0.817782852678134</v>
      </c>
      <c r="AB119" s="0" t="n">
        <f aca="false">IF(Matrice_OD!AB119&lt;=Param!$B$2,EXP(-(Matrice_OD!AB119^2)/Param!$B$5),0)</f>
        <v>0.838692845506391</v>
      </c>
      <c r="AC119" s="0" t="n">
        <f aca="false">IF(Matrice_OD!AC119&lt;=Param!$B$2,EXP(-(Matrice_OD!AC119^2)/Param!$B$5),0)</f>
        <v>0</v>
      </c>
      <c r="AD119" s="0" t="n">
        <f aca="false">IF(Matrice_OD!AD119&lt;=Param!$B$2,EXP(-(Matrice_OD!AD119^2)/Param!$B$5),0)</f>
        <v>0</v>
      </c>
      <c r="AE119" s="0" t="n">
        <f aca="false">IF(Matrice_OD!AE119&lt;=Param!$B$2,EXP(-(Matrice_OD!AE119^2)/Param!$B$5),0)</f>
        <v>0</v>
      </c>
      <c r="AF119" s="0" t="n">
        <f aca="false">IF(Matrice_OD!AF119&lt;=Param!$B$2,EXP(-(Matrice_OD!AF119^2)/Param!$B$5),0)</f>
        <v>0</v>
      </c>
      <c r="AG119" s="0" t="n">
        <f aca="false">IF(Matrice_OD!AG119&lt;=Param!$B$2,EXP(-(Matrice_OD!AG119^2)/Param!$B$5),0)</f>
        <v>0</v>
      </c>
      <c r="AH119" s="0" t="n">
        <f aca="false">IF(Matrice_OD!AH119&lt;=Param!$B$2,EXP(-(Matrice_OD!AH119^2)/Param!$B$5),0)</f>
        <v>0.029112518517148</v>
      </c>
      <c r="AI119" s="0" t="n">
        <f aca="false">IF(Matrice_OD!AI119&lt;=Param!$B$2,EXP(-(Matrice_OD!AI119^2)/Param!$B$5),0)</f>
        <v>0.131193664879079</v>
      </c>
      <c r="AJ119" s="0" t="n">
        <f aca="false">IF(Matrice_OD!AJ119&lt;=Param!$B$2,EXP(-(Matrice_OD!AJ119^2)/Param!$B$5),0)</f>
        <v>0.798940331945742</v>
      </c>
      <c r="AK119" s="0" t="n">
        <f aca="false">IF(Matrice_OD!AK119&lt;=Param!$B$2,EXP(-(Matrice_OD!AK119^2)/Param!$B$5),0)</f>
        <v>0</v>
      </c>
      <c r="AL119" s="0" t="n">
        <f aca="false">IF(Matrice_OD!AL119&lt;=Param!$B$2,EXP(-(Matrice_OD!AL119^2)/Param!$B$5),0)</f>
        <v>0</v>
      </c>
      <c r="AM119" s="0" t="n">
        <f aca="false">IF(Matrice_OD!AM119&lt;=Param!$B$2,EXP(-(Matrice_OD!AM119^2)/Param!$B$5),0)</f>
        <v>0.0135241852546266</v>
      </c>
      <c r="AN119" s="0" t="n">
        <f aca="false">IF(Matrice_OD!AN119&lt;=Param!$B$2,EXP(-(Matrice_OD!AN119^2)/Param!$B$5),0)</f>
        <v>0</v>
      </c>
    </row>
    <row r="120" customFormat="false" ht="15" hidden="false" customHeight="true" outlineLevel="0" collapsed="false">
      <c r="A120" s="0" t="s">
        <v>338</v>
      </c>
      <c r="B120" s="0" t="s">
        <v>339</v>
      </c>
      <c r="C120" s="0" t="n">
        <f aca="false">IF(Matrice_OD!C120&lt;=Param!$B$2,EXP(-(Matrice_OD!C120^2)/Param!$B$5),0)</f>
        <v>0.0223592577673307</v>
      </c>
      <c r="D120" s="0" t="n">
        <f aca="false">IF(Matrice_OD!D120&lt;=Param!$B$2,EXP(-(Matrice_OD!D120^2)/Param!$B$5),0)</f>
        <v>0.0517545360520648</v>
      </c>
      <c r="E120" s="0" t="n">
        <f aca="false">IF(Matrice_OD!E120&lt;=Param!$B$2,EXP(-(Matrice_OD!E120^2)/Param!$B$5),0)</f>
        <v>0.0529984430149388</v>
      </c>
      <c r="F120" s="0" t="n">
        <f aca="false">IF(Matrice_OD!F120&lt;=Param!$B$2,EXP(-(Matrice_OD!F120^2)/Param!$B$5),0)</f>
        <v>0.054178766248034</v>
      </c>
      <c r="G120" s="0" t="n">
        <f aca="false">IF(Matrice_OD!G120&lt;=Param!$B$2,EXP(-(Matrice_OD!G120^2)/Param!$B$5),0)</f>
        <v>0.0529118670605959</v>
      </c>
      <c r="H120" s="0" t="n">
        <f aca="false">IF(Matrice_OD!H120&lt;=Param!$B$2,EXP(-(Matrice_OD!H120^2)/Param!$B$5),0)</f>
        <v>0.0634652362761392</v>
      </c>
      <c r="I120" s="0" t="n">
        <f aca="false">IF(Matrice_OD!I120&lt;=Param!$B$2,EXP(-(Matrice_OD!I120^2)/Param!$B$5),0)</f>
        <v>0.0624666189376765</v>
      </c>
      <c r="J120" s="0" t="n">
        <f aca="false">IF(Matrice_OD!J120&lt;=Param!$B$2,EXP(-(Matrice_OD!J120^2)/Param!$B$5),0)</f>
        <v>0.0590250576262198</v>
      </c>
      <c r="K120" s="0" t="n">
        <f aca="false">IF(Matrice_OD!K120&lt;=Param!$B$2,EXP(-(Matrice_OD!K120^2)/Param!$B$5),0)</f>
        <v>0.0556959960716611</v>
      </c>
      <c r="L120" s="0" t="n">
        <f aca="false">IF(Matrice_OD!L120&lt;=Param!$B$2,EXP(-(Matrice_OD!L120^2)/Param!$B$5),0)</f>
        <v>0.0625658975239068</v>
      </c>
      <c r="M120" s="0" t="n">
        <f aca="false">IF(Matrice_OD!M120&lt;=Param!$B$2,EXP(-(Matrice_OD!M120^2)/Param!$B$5),0)</f>
        <v>0.0688170066015539</v>
      </c>
      <c r="N120" s="0" t="n">
        <f aca="false">IF(Matrice_OD!N120&lt;=Param!$B$2,EXP(-(Matrice_OD!N120^2)/Param!$B$5),0)</f>
        <v>0.0598824459085393</v>
      </c>
      <c r="O120" s="0" t="n">
        <f aca="false">IF(Matrice_OD!O120&lt;=Param!$B$2,EXP(-(Matrice_OD!O120^2)/Param!$B$5),0)</f>
        <v>0.0606531427269198</v>
      </c>
      <c r="P120" s="0" t="n">
        <f aca="false">IF(Matrice_OD!P120&lt;=Param!$B$2,EXP(-(Matrice_OD!P120^2)/Param!$B$5),0)</f>
        <v>0.0624666189376765</v>
      </c>
      <c r="Q120" s="0" t="n">
        <f aca="false">IF(Matrice_OD!Q120&lt;=Param!$B$2,EXP(-(Matrice_OD!Q120^2)/Param!$B$5),0)</f>
        <v>0.0629643058370175</v>
      </c>
      <c r="R120" s="0" t="n">
        <f aca="false">IF(Matrice_OD!R120&lt;=Param!$B$2,EXP(-(Matrice_OD!R120^2)/Param!$B$5),0)</f>
        <v>0.0620214620825081</v>
      </c>
      <c r="S120" s="0" t="n">
        <f aca="false">IF(Matrice_OD!S120&lt;=Param!$B$2,EXP(-(Matrice_OD!S120^2)/Param!$B$5),0)</f>
        <v>0.0591672497669143</v>
      </c>
      <c r="T120" s="0" t="n">
        <f aca="false">IF(Matrice_OD!T120&lt;=Param!$B$2,EXP(-(Matrice_OD!T120^2)/Param!$B$5),0)</f>
        <v>0.19598120325461</v>
      </c>
      <c r="U120" s="0" t="n">
        <f aca="false">IF(Matrice_OD!U120&lt;=Param!$B$2,EXP(-(Matrice_OD!U120^2)/Param!$B$5),0)</f>
        <v>0.797856368711333</v>
      </c>
      <c r="V120" s="0" t="n">
        <f aca="false">IF(Matrice_OD!V120&lt;=Param!$B$2,EXP(-(Matrice_OD!V120^2)/Param!$B$5),0)</f>
        <v>0.704519850987378</v>
      </c>
      <c r="W120" s="0" t="n">
        <f aca="false">IF(Matrice_OD!W120&lt;=Param!$B$2,EXP(-(Matrice_OD!W120^2)/Param!$B$5),0)</f>
        <v>0.711463892655225</v>
      </c>
      <c r="X120" s="0" t="n">
        <f aca="false">IF(Matrice_OD!X120&lt;=Param!$B$2,EXP(-(Matrice_OD!X120^2)/Param!$B$5),0)</f>
        <v>0.731122082308951</v>
      </c>
      <c r="Y120" s="0" t="n">
        <f aca="false">IF(Matrice_OD!Y120&lt;=Param!$B$2,EXP(-(Matrice_OD!Y120^2)/Param!$B$5),0)</f>
        <v>0.72231119449645</v>
      </c>
      <c r="Z120" s="0" t="n">
        <f aca="false">IF(Matrice_OD!Z120&lt;=Param!$B$2,EXP(-(Matrice_OD!Z120^2)/Param!$B$5),0)</f>
        <v>0.709681213162777</v>
      </c>
      <c r="AA120" s="0" t="n">
        <f aca="false">IF(Matrice_OD!AA120&lt;=Param!$B$2,EXP(-(Matrice_OD!AA120^2)/Param!$B$5),0)</f>
        <v>0.742771251713675</v>
      </c>
      <c r="AB120" s="0" t="n">
        <f aca="false">IF(Matrice_OD!AB120&lt;=Param!$B$2,EXP(-(Matrice_OD!AB120^2)/Param!$B$5),0)</f>
        <v>0.726430465117413</v>
      </c>
      <c r="AC120" s="0" t="n">
        <f aca="false">IF(Matrice_OD!AC120&lt;=Param!$B$2,EXP(-(Matrice_OD!AC120^2)/Param!$B$5),0)</f>
        <v>0</v>
      </c>
      <c r="AD120" s="0" t="n">
        <f aca="false">IF(Matrice_OD!AD120&lt;=Param!$B$2,EXP(-(Matrice_OD!AD120^2)/Param!$B$5),0)</f>
        <v>0</v>
      </c>
      <c r="AE120" s="0" t="n">
        <f aca="false">IF(Matrice_OD!AE120&lt;=Param!$B$2,EXP(-(Matrice_OD!AE120^2)/Param!$B$5),0)</f>
        <v>0</v>
      </c>
      <c r="AF120" s="0" t="n">
        <f aca="false">IF(Matrice_OD!AF120&lt;=Param!$B$2,EXP(-(Matrice_OD!AF120^2)/Param!$B$5),0)</f>
        <v>0</v>
      </c>
      <c r="AG120" s="0" t="n">
        <f aca="false">IF(Matrice_OD!AG120&lt;=Param!$B$2,EXP(-(Matrice_OD!AG120^2)/Param!$B$5),0)</f>
        <v>0</v>
      </c>
      <c r="AH120" s="0" t="n">
        <f aca="false">IF(Matrice_OD!AH120&lt;=Param!$B$2,EXP(-(Matrice_OD!AH120^2)/Param!$B$5),0)</f>
        <v>0.0668013378789367</v>
      </c>
      <c r="AI120" s="0" t="n">
        <f aca="false">IF(Matrice_OD!AI120&lt;=Param!$B$2,EXP(-(Matrice_OD!AI120^2)/Param!$B$5),0)</f>
        <v>0.174545682653563</v>
      </c>
      <c r="AJ120" s="0" t="n">
        <f aca="false">IF(Matrice_OD!AJ120&lt;=Param!$B$2,EXP(-(Matrice_OD!AJ120^2)/Param!$B$5),0)</f>
        <v>0.727213612965454</v>
      </c>
      <c r="AK120" s="0" t="n">
        <f aca="false">IF(Matrice_OD!AK120&lt;=Param!$B$2,EXP(-(Matrice_OD!AK120^2)/Param!$B$5),0)</f>
        <v>0</v>
      </c>
      <c r="AL120" s="0" t="n">
        <f aca="false">IF(Matrice_OD!AL120&lt;=Param!$B$2,EXP(-(Matrice_OD!AL120^2)/Param!$B$5),0)</f>
        <v>0</v>
      </c>
      <c r="AM120" s="0" t="n">
        <f aca="false">IF(Matrice_OD!AM120&lt;=Param!$B$2,EXP(-(Matrice_OD!AM120^2)/Param!$B$5),0)</f>
        <v>0.0204779472408839</v>
      </c>
      <c r="AN120" s="0" t="n">
        <f aca="false">IF(Matrice_OD!AN120&lt;=Param!$B$2,EXP(-(Matrice_OD!AN120^2)/Param!$B$5),0)</f>
        <v>0</v>
      </c>
    </row>
    <row r="121" customFormat="false" ht="15" hidden="false" customHeight="true" outlineLevel="0" collapsed="false">
      <c r="A121" s="0" t="s">
        <v>340</v>
      </c>
      <c r="B121" s="0" t="s">
        <v>341</v>
      </c>
      <c r="C121" s="0" t="n">
        <f aca="false">IF(Matrice_OD!C121&lt;=Param!$B$2,EXP(-(Matrice_OD!C121^2)/Param!$B$5),0)</f>
        <v>0.0437101921899604</v>
      </c>
      <c r="D121" s="0" t="n">
        <f aca="false">IF(Matrice_OD!D121&lt;=Param!$B$2,EXP(-(Matrice_OD!D121^2)/Param!$B$5),0)</f>
        <v>0.0320804093452474</v>
      </c>
      <c r="E121" s="0" t="n">
        <f aca="false">IF(Matrice_OD!E121&lt;=Param!$B$2,EXP(-(Matrice_OD!E121^2)/Param!$B$5),0)</f>
        <v>0.0329122823409058</v>
      </c>
      <c r="F121" s="0" t="n">
        <f aca="false">IF(Matrice_OD!F121&lt;=Param!$B$2,EXP(-(Matrice_OD!F121^2)/Param!$B$5),0)</f>
        <v>0.0337032669293794</v>
      </c>
      <c r="G121" s="0" t="n">
        <f aca="false">IF(Matrice_OD!G121&lt;=Param!$B$2,EXP(-(Matrice_OD!G121^2)/Param!$B$5),0)</f>
        <v>0.0328543264348897</v>
      </c>
      <c r="H121" s="0" t="n">
        <f aca="false">IF(Matrice_OD!H121&lt;=Param!$B$2,EXP(-(Matrice_OD!H121^2)/Param!$B$5),0)</f>
        <v>0.0399794135962975</v>
      </c>
      <c r="I121" s="0" t="n">
        <f aca="false">IF(Matrice_OD!I121&lt;=Param!$B$2,EXP(-(Matrice_OD!I121^2)/Param!$B$5),0)</f>
        <v>0.0393001713976986</v>
      </c>
      <c r="J121" s="0" t="n">
        <f aca="false">IF(Matrice_OD!J121&lt;=Param!$B$2,EXP(-(Matrice_OD!J121^2)/Param!$B$5),0)</f>
        <v>0.0369671441701628</v>
      </c>
      <c r="K121" s="0" t="n">
        <f aca="false">IF(Matrice_OD!K121&lt;=Param!$B$2,EXP(-(Matrice_OD!K121^2)/Param!$B$5),0)</f>
        <v>0.0347526894687415</v>
      </c>
      <c r="L121" s="0" t="n">
        <f aca="false">IF(Matrice_OD!L121&lt;=Param!$B$2,EXP(-(Matrice_OD!L121^2)/Param!$B$5),0)</f>
        <v>0.0393676536201971</v>
      </c>
      <c r="M121" s="0" t="n">
        <f aca="false">IF(Matrice_OD!M121&lt;=Param!$B$2,EXP(-(Matrice_OD!M121^2)/Param!$B$5),0)</f>
        <v>0.0436364867764855</v>
      </c>
      <c r="N121" s="0" t="n">
        <f aca="false">IF(Matrice_OD!N121&lt;=Param!$B$2,EXP(-(Matrice_OD!N121^2)/Param!$B$5),0)</f>
        <v>0.0375472106359517</v>
      </c>
      <c r="O121" s="0" t="n">
        <f aca="false">IF(Matrice_OD!O121&lt;=Param!$B$2,EXP(-(Matrice_OD!O121^2)/Param!$B$5),0)</f>
        <v>0.0380692846388409</v>
      </c>
      <c r="P121" s="0" t="n">
        <f aca="false">IF(Matrice_OD!P121&lt;=Param!$B$2,EXP(-(Matrice_OD!P121^2)/Param!$B$5),0)</f>
        <v>0.0393001713976986</v>
      </c>
      <c r="Q121" s="0" t="n">
        <f aca="false">IF(Matrice_OD!Q121&lt;=Param!$B$2,EXP(-(Matrice_OD!Q121^2)/Param!$B$5),0)</f>
        <v>0.0396725371331298</v>
      </c>
      <c r="R121" s="0" t="n">
        <f aca="false">IF(Matrice_OD!R121&lt;=Param!$B$2,EXP(-(Matrice_OD!R121^2)/Param!$B$5),0)</f>
        <v>0.038997710513131</v>
      </c>
      <c r="S121" s="0" t="n">
        <f aca="false">IF(Matrice_OD!S121&lt;=Param!$B$2,EXP(-(Matrice_OD!S121^2)/Param!$B$5),0)</f>
        <v>0.0370632906453469</v>
      </c>
      <c r="T121" s="0" t="n">
        <f aca="false">IF(Matrice_OD!T121&lt;=Param!$B$2,EXP(-(Matrice_OD!T121^2)/Param!$B$5),0)</f>
        <v>0.300754492605156</v>
      </c>
      <c r="U121" s="0" t="n">
        <f aca="false">IF(Matrice_OD!U121&lt;=Param!$B$2,EXP(-(Matrice_OD!U121^2)/Param!$B$5),0)</f>
        <v>0.69014499959859</v>
      </c>
      <c r="V121" s="0" t="n">
        <f aca="false">IF(Matrice_OD!V121&lt;=Param!$B$2,EXP(-(Matrice_OD!V121^2)/Param!$B$5),0)</f>
        <v>0.905005533366617</v>
      </c>
      <c r="W121" s="0" t="n">
        <f aca="false">IF(Matrice_OD!W121&lt;=Param!$B$2,EXP(-(Matrice_OD!W121^2)/Param!$B$5),0)</f>
        <v>0.909727055890899</v>
      </c>
      <c r="X121" s="0" t="n">
        <f aca="false">IF(Matrice_OD!X121&lt;=Param!$B$2,EXP(-(Matrice_OD!X121^2)/Param!$B$5),0)</f>
        <v>0.922644862642763</v>
      </c>
      <c r="Y121" s="0" t="n">
        <f aca="false">IF(Matrice_OD!Y121&lt;=Param!$B$2,EXP(-(Matrice_OD!Y121^2)/Param!$B$5),0)</f>
        <v>0.916938321347026</v>
      </c>
      <c r="Z121" s="0" t="n">
        <f aca="false">IF(Matrice_OD!Z121&lt;=Param!$B$2,EXP(-(Matrice_OD!Z121^2)/Param!$B$5),0)</f>
        <v>0.908522689294809</v>
      </c>
      <c r="AA121" s="0" t="n">
        <f aca="false">IF(Matrice_OD!AA121&lt;=Param!$B$2,EXP(-(Matrice_OD!AA121^2)/Param!$B$5),0)</f>
        <v>0.929975709051732</v>
      </c>
      <c r="AB121" s="0" t="n">
        <f aca="false">IF(Matrice_OD!AB121&lt;=Param!$B$2,EXP(-(Matrice_OD!AB121^2)/Param!$B$5),0)</f>
        <v>0.919623319241274</v>
      </c>
      <c r="AC121" s="0" t="n">
        <f aca="false">IF(Matrice_OD!AC121&lt;=Param!$B$2,EXP(-(Matrice_OD!AC121^2)/Param!$B$5),0)</f>
        <v>0</v>
      </c>
      <c r="AD121" s="0" t="n">
        <f aca="false">IF(Matrice_OD!AD121&lt;=Param!$B$2,EXP(-(Matrice_OD!AD121^2)/Param!$B$5),0)</f>
        <v>0</v>
      </c>
      <c r="AE121" s="0" t="n">
        <f aca="false">IF(Matrice_OD!AE121&lt;=Param!$B$2,EXP(-(Matrice_OD!AE121^2)/Param!$B$5),0)</f>
        <v>0</v>
      </c>
      <c r="AF121" s="0" t="n">
        <f aca="false">IF(Matrice_OD!AF121&lt;=Param!$B$2,EXP(-(Matrice_OD!AF121^2)/Param!$B$5),0)</f>
        <v>0</v>
      </c>
      <c r="AG121" s="0" t="n">
        <f aca="false">IF(Matrice_OD!AG121&lt;=Param!$B$2,EXP(-(Matrice_OD!AG121^2)/Param!$B$5),0)</f>
        <v>0</v>
      </c>
      <c r="AH121" s="0" t="n">
        <f aca="false">IF(Matrice_OD!AH121&lt;=Param!$B$2,EXP(-(Matrice_OD!AH121^2)/Param!$B$5),0)</f>
        <v>0.0422558088964104</v>
      </c>
      <c r="AI121" s="0" t="n">
        <f aca="false">IF(Matrice_OD!AI121&lt;=Param!$B$2,EXP(-(Matrice_OD!AI121^2)/Param!$B$5),0)</f>
        <v>0.272057755713263</v>
      </c>
      <c r="AJ121" s="0" t="n">
        <f aca="false">IF(Matrice_OD!AJ121&lt;=Param!$B$2,EXP(-(Matrice_OD!AJ121^2)/Param!$B$5),0)</f>
        <v>0.920130406801696</v>
      </c>
      <c r="AK121" s="0" t="n">
        <f aca="false">IF(Matrice_OD!AK121&lt;=Param!$B$2,EXP(-(Matrice_OD!AK121^2)/Param!$B$5),0)</f>
        <v>0</v>
      </c>
      <c r="AL121" s="0" t="n">
        <f aca="false">IF(Matrice_OD!AL121&lt;=Param!$B$2,EXP(-(Matrice_OD!AL121^2)/Param!$B$5),0)</f>
        <v>0</v>
      </c>
      <c r="AM121" s="0" t="n">
        <f aca="false">IF(Matrice_OD!AM121&lt;=Param!$B$2,EXP(-(Matrice_OD!AM121^2)/Param!$B$5),0)</f>
        <v>0.0404953296131581</v>
      </c>
      <c r="AN121" s="0" t="n">
        <f aca="false">IF(Matrice_OD!AN121&lt;=Param!$B$2,EXP(-(Matrice_OD!AN121^2)/Param!$B$5),0)</f>
        <v>0</v>
      </c>
    </row>
    <row r="122" customFormat="false" ht="15" hidden="false" customHeight="true" outlineLevel="0" collapsed="false">
      <c r="A122" s="0" t="s">
        <v>342</v>
      </c>
      <c r="B122" s="0" t="s">
        <v>343</v>
      </c>
      <c r="C122" s="0" t="n">
        <f aca="false">IF(Matrice_OD!C122&lt;=Param!$B$2,EXP(-(Matrice_OD!C122^2)/Param!$B$5),0)</f>
        <v>0.0566047805611016</v>
      </c>
      <c r="D122" s="0" t="n">
        <f aca="false">IF(Matrice_OD!D122&lt;=Param!$B$2,EXP(-(Matrice_OD!D122^2)/Param!$B$5),0)</f>
        <v>0.0332911267171048</v>
      </c>
      <c r="E122" s="0" t="n">
        <f aca="false">IF(Matrice_OD!E122&lt;=Param!$B$2,EXP(-(Matrice_OD!E122^2)/Param!$B$5),0)</f>
        <v>0.0294272717620928</v>
      </c>
      <c r="F122" s="0" t="n">
        <f aca="false">IF(Matrice_OD!F122&lt;=Param!$B$2,EXP(-(Matrice_OD!F122^2)/Param!$B$5),0)</f>
        <v>0.0301461600121197</v>
      </c>
      <c r="G122" s="0" t="n">
        <f aca="false">IF(Matrice_OD!G122&lt;=Param!$B$2,EXP(-(Matrice_OD!G122^2)/Param!$B$5),0)</f>
        <v>0.0281855454947078</v>
      </c>
      <c r="H122" s="0" t="n">
        <f aca="false">IF(Matrice_OD!H122&lt;=Param!$B$2,EXP(-(Matrice_OD!H122^2)/Param!$B$5),0)</f>
        <v>0.0358609836208446</v>
      </c>
      <c r="I122" s="0" t="n">
        <f aca="false">IF(Matrice_OD!I122&lt;=Param!$B$2,EXP(-(Matrice_OD!I122^2)/Param!$B$5),0)</f>
        <v>0.0338218172260284</v>
      </c>
      <c r="J122" s="0" t="n">
        <f aca="false">IF(Matrice_OD!J122&lt;=Param!$B$2,EXP(-(Matrice_OD!J122^2)/Param!$B$5),0)</f>
        <v>0.0317977539486168</v>
      </c>
      <c r="K122" s="0" t="n">
        <f aca="false">IF(Matrice_OD!K122&lt;=Param!$B$2,EXP(-(Matrice_OD!K122^2)/Param!$B$5),0)</f>
        <v>0.0298248163259103</v>
      </c>
      <c r="L122" s="0" t="n">
        <f aca="false">IF(Matrice_OD!L122&lt;=Param!$B$2,EXP(-(Matrice_OD!L122^2)/Param!$B$5),0)</f>
        <v>0.0338812255414175</v>
      </c>
      <c r="M122" s="0" t="n">
        <f aca="false">IF(Matrice_OD!M122&lt;=Param!$B$2,EXP(-(Matrice_OD!M122^2)/Param!$B$5),0)</f>
        <v>0.03767715687837</v>
      </c>
      <c r="N122" s="0" t="n">
        <f aca="false">IF(Matrice_OD!N122&lt;=Param!$B$2,EXP(-(Matrice_OD!N122^2)/Param!$B$5),0)</f>
        <v>0.0322795433848997</v>
      </c>
      <c r="O122" s="0" t="n">
        <f aca="false">IF(Matrice_OD!O122&lt;=Param!$B$2,EXP(-(Matrice_OD!O122^2)/Param!$B$5),0)</f>
        <v>0.0327675559297011</v>
      </c>
      <c r="P122" s="0" t="n">
        <f aca="false">IF(Matrice_OD!P122&lt;=Param!$B$2,EXP(-(Matrice_OD!P122^2)/Param!$B$5),0)</f>
        <v>0.0338515102758557</v>
      </c>
      <c r="Q122" s="0" t="n">
        <f aca="false">IF(Matrice_OD!Q122&lt;=Param!$B$2,EXP(-(Matrice_OD!Q122^2)/Param!$B$5),0)</f>
        <v>0.0341496647429038</v>
      </c>
      <c r="R122" s="0" t="n">
        <f aca="false">IF(Matrice_OD!R122&lt;=Param!$B$2,EXP(-(Matrice_OD!R122^2)/Param!$B$5),0)</f>
        <v>0.0335555773852284</v>
      </c>
      <c r="S122" s="0" t="n">
        <f aca="false">IF(Matrice_OD!S122&lt;=Param!$B$2,EXP(-(Matrice_OD!S122^2)/Param!$B$5),0)</f>
        <v>0.0318541140643069</v>
      </c>
      <c r="T122" s="0" t="n">
        <f aca="false">IF(Matrice_OD!T122&lt;=Param!$B$2,EXP(-(Matrice_OD!T122^2)/Param!$B$5),0)</f>
        <v>0.352247565306754</v>
      </c>
      <c r="U122" s="0" t="n">
        <f aca="false">IF(Matrice_OD!U122&lt;=Param!$B$2,EXP(-(Matrice_OD!U122^2)/Param!$B$5),0)</f>
        <v>0.655212237178466</v>
      </c>
      <c r="V122" s="0" t="n">
        <f aca="false">IF(Matrice_OD!V122&lt;=Param!$B$2,EXP(-(Matrice_OD!V122^2)/Param!$B$5),0)</f>
        <v>0.829887521779269</v>
      </c>
      <c r="W122" s="0" t="n">
        <f aca="false">IF(Matrice_OD!W122&lt;=Param!$B$2,EXP(-(Matrice_OD!W122^2)/Param!$B$5),0)</f>
        <v>0.782313170818897</v>
      </c>
      <c r="X122" s="0" t="n">
        <f aca="false">IF(Matrice_OD!X122&lt;=Param!$B$2,EXP(-(Matrice_OD!X122^2)/Param!$B$5),0)</f>
        <v>0.794230287205246</v>
      </c>
      <c r="Y122" s="0" t="n">
        <f aca="false">IF(Matrice_OD!Y122&lt;=Param!$B$2,EXP(-(Matrice_OD!Y122^2)/Param!$B$5),0)</f>
        <v>0.78600102268545</v>
      </c>
      <c r="Z122" s="0" t="n">
        <f aca="false">IF(Matrice_OD!Z122&lt;=Param!$B$2,EXP(-(Matrice_OD!Z122^2)/Param!$B$5),0)</f>
        <v>0.77451023365312</v>
      </c>
      <c r="AA122" s="0" t="n">
        <f aca="false">IF(Matrice_OD!AA122&lt;=Param!$B$2,EXP(-(Matrice_OD!AA122^2)/Param!$B$5),0)</f>
        <v>0.76152804392553</v>
      </c>
      <c r="AB122" s="0" t="n">
        <f aca="false">IF(Matrice_OD!AB122&lt;=Param!$B$2,EXP(-(Matrice_OD!AB122^2)/Param!$B$5),0)</f>
        <v>0.745472080269632</v>
      </c>
      <c r="AC122" s="0" t="n">
        <f aca="false">IF(Matrice_OD!AC122&lt;=Param!$B$2,EXP(-(Matrice_OD!AC122^2)/Param!$B$5),0)</f>
        <v>0</v>
      </c>
      <c r="AD122" s="0" t="n">
        <f aca="false">IF(Matrice_OD!AD122&lt;=Param!$B$2,EXP(-(Matrice_OD!AD122^2)/Param!$B$5),0)</f>
        <v>0</v>
      </c>
      <c r="AE122" s="0" t="n">
        <f aca="false">IF(Matrice_OD!AE122&lt;=Param!$B$2,EXP(-(Matrice_OD!AE122^2)/Param!$B$5),0)</f>
        <v>0</v>
      </c>
      <c r="AF122" s="0" t="n">
        <f aca="false">IF(Matrice_OD!AF122&lt;=Param!$B$2,EXP(-(Matrice_OD!AF122^2)/Param!$B$5),0)</f>
        <v>0</v>
      </c>
      <c r="AG122" s="0" t="n">
        <f aca="false">IF(Matrice_OD!AG122&lt;=Param!$B$2,EXP(-(Matrice_OD!AG122^2)/Param!$B$5),0)</f>
        <v>0</v>
      </c>
      <c r="AH122" s="0" t="n">
        <f aca="false">IF(Matrice_OD!AH122&lt;=Param!$B$2,EXP(-(Matrice_OD!AH122^2)/Param!$B$5),0)</f>
        <v>0.036426302212833</v>
      </c>
      <c r="AI122" s="0" t="n">
        <f aca="false">IF(Matrice_OD!AI122&lt;=Param!$B$2,EXP(-(Matrice_OD!AI122^2)/Param!$B$5),0)</f>
        <v>0.320776736147784</v>
      </c>
      <c r="AJ122" s="0" t="n">
        <f aca="false">IF(Matrice_OD!AJ122&lt;=Param!$B$2,EXP(-(Matrice_OD!AJ122^2)/Param!$B$5),0)</f>
        <v>0.790584726329928</v>
      </c>
      <c r="AK122" s="0" t="n">
        <f aca="false">IF(Matrice_OD!AK122&lt;=Param!$B$2,EXP(-(Matrice_OD!AK122^2)/Param!$B$5),0)</f>
        <v>0</v>
      </c>
      <c r="AL122" s="0" t="n">
        <f aca="false">IF(Matrice_OD!AL122&lt;=Param!$B$2,EXP(-(Matrice_OD!AL122^2)/Param!$B$5),0)</f>
        <v>0</v>
      </c>
      <c r="AM122" s="0" t="n">
        <f aca="false">IF(Matrice_OD!AM122&lt;=Param!$B$2,EXP(-(Matrice_OD!AM122^2)/Param!$B$5),0)</f>
        <v>0.0524807460249773</v>
      </c>
      <c r="AN122" s="0" t="n">
        <f aca="false">IF(Matrice_OD!AN122&lt;=Param!$B$2,EXP(-(Matrice_OD!AN122^2)/Param!$B$5),0)</f>
        <v>0</v>
      </c>
    </row>
    <row r="123" customFormat="false" ht="15" hidden="false" customHeight="true" outlineLevel="0" collapsed="false">
      <c r="A123" s="0" t="s">
        <v>344</v>
      </c>
      <c r="B123" s="0" t="s">
        <v>345</v>
      </c>
      <c r="C123" s="0" t="n">
        <f aca="false">IF(Matrice_OD!C123&lt;=Param!$B$2,EXP(-(Matrice_OD!C123^2)/Param!$B$5),0)</f>
        <v>0.0433061036599208</v>
      </c>
      <c r="D123" s="0" t="n">
        <f aca="false">IF(Matrice_OD!D123&lt;=Param!$B$2,EXP(-(Matrice_OD!D123^2)/Param!$B$5),0)</f>
        <v>0.0212609524433554</v>
      </c>
      <c r="E123" s="0" t="n">
        <f aca="false">IF(Matrice_OD!E123&lt;=Param!$B$2,EXP(-(Matrice_OD!E123^2)/Param!$B$5),0)</f>
        <v>0.0186294485696165</v>
      </c>
      <c r="F123" s="0" t="n">
        <f aca="false">IF(Matrice_OD!F123&lt;=Param!$B$2,EXP(-(Matrice_OD!F123^2)/Param!$B$5),0)</f>
        <v>0.0191135782997942</v>
      </c>
      <c r="G123" s="0" t="n">
        <f aca="false">IF(Matrice_OD!G123&lt;=Param!$B$2,EXP(-(Matrice_OD!G123^2)/Param!$B$5),0)</f>
        <v>0.017524495767718</v>
      </c>
      <c r="H123" s="0" t="n">
        <f aca="false">IF(Matrice_OD!H123&lt;=Param!$B$2,EXP(-(Matrice_OD!H123^2)/Param!$B$5),0)</f>
        <v>0.0230117686937938</v>
      </c>
      <c r="I123" s="0" t="n">
        <f aca="false">IF(Matrice_OD!I123&lt;=Param!$B$2,EXP(-(Matrice_OD!I123^2)/Param!$B$5),0)</f>
        <v>0.019332251858451</v>
      </c>
      <c r="J123" s="0" t="n">
        <f aca="false">IF(Matrice_OD!J123&lt;=Param!$B$2,EXP(-(Matrice_OD!J123^2)/Param!$B$5),0)</f>
        <v>0.018365148502441</v>
      </c>
      <c r="K123" s="0" t="n">
        <f aca="false">IF(Matrice_OD!K123&lt;=Param!$B$2,EXP(-(Matrice_OD!K123^2)/Param!$B$5),0)</f>
        <v>0.0180350820911019</v>
      </c>
      <c r="L123" s="0" t="n">
        <f aca="false">IF(Matrice_OD!L123&lt;=Param!$B$2,EXP(-(Matrice_OD!L123^2)/Param!$B$5),0)</f>
        <v>0.019368909078422</v>
      </c>
      <c r="M123" s="0" t="n">
        <f aca="false">IF(Matrice_OD!M123&lt;=Param!$B$2,EXP(-(Matrice_OD!M123^2)/Param!$B$5),0)</f>
        <v>0.0214807947626181</v>
      </c>
      <c r="N123" s="0" t="n">
        <f aca="false">IF(Matrice_OD!N123&lt;=Param!$B$2,EXP(-(Matrice_OD!N123^2)/Param!$B$5),0)</f>
        <v>0.0191680431238987</v>
      </c>
      <c r="O123" s="0" t="n">
        <f aca="false">IF(Matrice_OD!O123&lt;=Param!$B$2,EXP(-(Matrice_OD!O123^2)/Param!$B$5),0)</f>
        <v>0.0186649386983093</v>
      </c>
      <c r="P123" s="0" t="n">
        <f aca="false">IF(Matrice_OD!P123&lt;=Param!$B$2,EXP(-(Matrice_OD!P123^2)/Param!$B$5),0)</f>
        <v>0.0185056974154593</v>
      </c>
      <c r="Q123" s="0" t="n">
        <f aca="false">IF(Matrice_OD!Q123&lt;=Param!$B$2,EXP(-(Matrice_OD!Q123^2)/Param!$B$5),0)</f>
        <v>0.0179147943517901</v>
      </c>
      <c r="R123" s="0" t="n">
        <f aca="false">IF(Matrice_OD!R123&lt;=Param!$B$2,EXP(-(Matrice_OD!R123^2)/Param!$B$5),0)</f>
        <v>0.0177102207825369</v>
      </c>
      <c r="S123" s="0" t="n">
        <f aca="false">IF(Matrice_OD!S123&lt;=Param!$B$2,EXP(-(Matrice_OD!S123^2)/Param!$B$5),0)</f>
        <v>0.0172242627540272</v>
      </c>
      <c r="T123" s="0" t="n">
        <f aca="false">IF(Matrice_OD!T123&lt;=Param!$B$2,EXP(-(Matrice_OD!T123^2)/Param!$B$5),0)</f>
        <v>0.273095142391403</v>
      </c>
      <c r="U123" s="0" t="n">
        <f aca="false">IF(Matrice_OD!U123&lt;=Param!$B$2,EXP(-(Matrice_OD!U123^2)/Param!$B$5),0)</f>
        <v>0.131997987145122</v>
      </c>
      <c r="V123" s="0" t="n">
        <f aca="false">IF(Matrice_OD!V123&lt;=Param!$B$2,EXP(-(Matrice_OD!V123^2)/Param!$B$5),0)</f>
        <v>0.530338415113168</v>
      </c>
      <c r="W123" s="0" t="n">
        <f aca="false">IF(Matrice_OD!W123&lt;=Param!$B$2,EXP(-(Matrice_OD!W123^2)/Param!$B$5),0)</f>
        <v>0.515480741358987</v>
      </c>
      <c r="X123" s="0" t="n">
        <f aca="false">IF(Matrice_OD!X123&lt;=Param!$B$2,EXP(-(Matrice_OD!X123^2)/Param!$B$5),0)</f>
        <v>0.508090080308741</v>
      </c>
      <c r="Y123" s="0" t="n">
        <f aca="false">IF(Matrice_OD!Y123&lt;=Param!$B$2,EXP(-(Matrice_OD!Y123^2)/Param!$B$5),0)</f>
        <v>0.507890712959088</v>
      </c>
      <c r="Z123" s="0" t="n">
        <f aca="false">IF(Matrice_OD!Z123&lt;=Param!$B$2,EXP(-(Matrice_OD!Z123^2)/Param!$B$5),0)</f>
        <v>0.502714466169526</v>
      </c>
      <c r="AA123" s="0" t="n">
        <f aca="false">IF(Matrice_OD!AA123&lt;=Param!$B$2,EXP(-(Matrice_OD!AA123^2)/Param!$B$5),0)</f>
        <v>0.473349584243196</v>
      </c>
      <c r="AB123" s="0" t="n">
        <f aca="false">IF(Matrice_OD!AB123&lt;=Param!$B$2,EXP(-(Matrice_OD!AB123^2)/Param!$B$5),0)</f>
        <v>0.459365103344351</v>
      </c>
      <c r="AC123" s="0" t="n">
        <f aca="false">IF(Matrice_OD!AC123&lt;=Param!$B$2,EXP(-(Matrice_OD!AC123^2)/Param!$B$5),0)</f>
        <v>0</v>
      </c>
      <c r="AD123" s="0" t="n">
        <f aca="false">IF(Matrice_OD!AD123&lt;=Param!$B$2,EXP(-(Matrice_OD!AD123^2)/Param!$B$5),0)</f>
        <v>0</v>
      </c>
      <c r="AE123" s="0" t="n">
        <f aca="false">IF(Matrice_OD!AE123&lt;=Param!$B$2,EXP(-(Matrice_OD!AE123^2)/Param!$B$5),0)</f>
        <v>0</v>
      </c>
      <c r="AF123" s="0" t="n">
        <f aca="false">IF(Matrice_OD!AF123&lt;=Param!$B$2,EXP(-(Matrice_OD!AF123^2)/Param!$B$5),0)</f>
        <v>0</v>
      </c>
      <c r="AG123" s="0" t="n">
        <f aca="false">IF(Matrice_OD!AG123&lt;=Param!$B$2,EXP(-(Matrice_OD!AG123^2)/Param!$B$5),0)</f>
        <v>0</v>
      </c>
      <c r="AH123" s="0" t="n">
        <f aca="false">IF(Matrice_OD!AH123&lt;=Param!$B$2,EXP(-(Matrice_OD!AH123^2)/Param!$B$5),0)</f>
        <v>0.0159902692927358</v>
      </c>
      <c r="AI123" s="0" t="n">
        <f aca="false">IF(Matrice_OD!AI123&lt;=Param!$B$2,EXP(-(Matrice_OD!AI123^2)/Param!$B$5),0)</f>
        <v>0.270432488298732</v>
      </c>
      <c r="AJ123" s="0" t="n">
        <f aca="false">IF(Matrice_OD!AJ123&lt;=Param!$B$2,EXP(-(Matrice_OD!AJ123^2)/Param!$B$5),0)</f>
        <v>0.491220680005653</v>
      </c>
      <c r="AK123" s="0" t="n">
        <f aca="false">IF(Matrice_OD!AK123&lt;=Param!$B$2,EXP(-(Matrice_OD!AK123^2)/Param!$B$5),0)</f>
        <v>0</v>
      </c>
      <c r="AL123" s="0" t="n">
        <f aca="false">IF(Matrice_OD!AL123&lt;=Param!$B$2,EXP(-(Matrice_OD!AL123^2)/Param!$B$5),0)</f>
        <v>0</v>
      </c>
      <c r="AM123" s="0" t="n">
        <f aca="false">IF(Matrice_OD!AM123&lt;=Param!$B$2,EXP(-(Matrice_OD!AM123^2)/Param!$B$5),0)</f>
        <v>0.0401507652563979</v>
      </c>
      <c r="AN123" s="0" t="n">
        <f aca="false">IF(Matrice_OD!AN123&lt;=Param!$B$2,EXP(-(Matrice_OD!AN123^2)/Param!$B$5),0)</f>
        <v>0</v>
      </c>
    </row>
    <row r="124" customFormat="false" ht="15" hidden="false" customHeight="true" outlineLevel="0" collapsed="false">
      <c r="A124" s="0" t="s">
        <v>346</v>
      </c>
      <c r="B124" s="0" t="s">
        <v>347</v>
      </c>
      <c r="C124" s="0" t="n">
        <f aca="false">IF(Matrice_OD!C124&lt;=Param!$B$2,EXP(-(Matrice_OD!C124^2)/Param!$B$5),0)</f>
        <v>0.0827782135111583</v>
      </c>
      <c r="D124" s="0" t="n">
        <f aca="false">IF(Matrice_OD!D124&lt;=Param!$B$2,EXP(-(Matrice_OD!D124^2)/Param!$B$5),0)</f>
        <v>0.050368671217248</v>
      </c>
      <c r="E124" s="0" t="n">
        <f aca="false">IF(Matrice_OD!E124&lt;=Param!$B$2,EXP(-(Matrice_OD!E124^2)/Param!$B$5),0)</f>
        <v>0.0448660669426983</v>
      </c>
      <c r="F124" s="0" t="n">
        <f aca="false">IF(Matrice_OD!F124&lt;=Param!$B$2,EXP(-(Matrice_OD!F124^2)/Param!$B$5),0)</f>
        <v>0.0458935866752312</v>
      </c>
      <c r="G124" s="0" t="n">
        <f aca="false">IF(Matrice_OD!G124&lt;=Param!$B$2,EXP(-(Matrice_OD!G124^2)/Param!$B$5),0)</f>
        <v>0.0425073445535022</v>
      </c>
      <c r="H124" s="0" t="n">
        <f aca="false">IF(Matrice_OD!H124&lt;=Param!$B$2,EXP(-(Matrice_OD!H124^2)/Param!$B$5),0)</f>
        <v>0.0540025412761181</v>
      </c>
      <c r="I124" s="0" t="n">
        <f aca="false">IF(Matrice_OD!I124&lt;=Param!$B$2,EXP(-(Matrice_OD!I124^2)/Param!$B$5),0)</f>
        <v>0.0463178213663985</v>
      </c>
      <c r="J124" s="0" t="n">
        <f aca="false">IF(Matrice_OD!J124&lt;=Param!$B$2,EXP(-(Matrice_OD!J124^2)/Param!$B$5),0)</f>
        <v>0.0443036095655522</v>
      </c>
      <c r="K124" s="0" t="n">
        <f aca="false">IF(Matrice_OD!K124&lt;=Param!$B$2,EXP(-(Matrice_OD!K124^2)/Param!$B$5),0)</f>
        <v>0.0435996732530022</v>
      </c>
      <c r="L124" s="0" t="n">
        <f aca="false">IF(Matrice_OD!L124&lt;=Param!$B$2,EXP(-(Matrice_OD!L124^2)/Param!$B$5),0)</f>
        <v>0.0463953066332199</v>
      </c>
      <c r="M124" s="0" t="n">
        <f aca="false">IF(Matrice_OD!M124&lt;=Param!$B$2,EXP(-(Matrice_OD!M124^2)/Param!$B$5),0)</f>
        <v>0.0508271522615421</v>
      </c>
      <c r="N124" s="0" t="n">
        <f aca="false">IF(Matrice_OD!N124&lt;=Param!$B$2,EXP(-(Matrice_OD!N124^2)/Param!$B$5),0)</f>
        <v>0.0460089629650676</v>
      </c>
      <c r="O124" s="0" t="n">
        <f aca="false">IF(Matrice_OD!O124&lt;=Param!$B$2,EXP(-(Matrice_OD!O124^2)/Param!$B$5),0)</f>
        <v>0.0449415119377117</v>
      </c>
      <c r="P124" s="0" t="n">
        <f aca="false">IF(Matrice_OD!P124&lt;=Param!$B$2,EXP(-(Matrice_OD!P124^2)/Param!$B$5),0)</f>
        <v>0.0445653486638251</v>
      </c>
      <c r="Q124" s="0" t="n">
        <f aca="false">IF(Matrice_OD!Q124&lt;=Param!$B$2,EXP(-(Matrice_OD!Q124^2)/Param!$B$5),0)</f>
        <v>0.043342708734231</v>
      </c>
      <c r="R124" s="0" t="n">
        <f aca="false">IF(Matrice_OD!R124&lt;=Param!$B$2,EXP(-(Matrice_OD!R124^2)/Param!$B$5),0)</f>
        <v>0.0428688664567182</v>
      </c>
      <c r="S124" s="0" t="n">
        <f aca="false">IF(Matrice_OD!S124&lt;=Param!$B$2,EXP(-(Matrice_OD!S124^2)/Param!$B$5),0)</f>
        <v>0.0418630712103475</v>
      </c>
      <c r="T124" s="0" t="n">
        <f aca="false">IF(Matrice_OD!T124&lt;=Param!$B$2,EXP(-(Matrice_OD!T124^2)/Param!$B$5),0)</f>
        <v>0.440384474734481</v>
      </c>
      <c r="U124" s="0" t="n">
        <f aca="false">IF(Matrice_OD!U124&lt;=Param!$B$2,EXP(-(Matrice_OD!U124^2)/Param!$B$5),0)</f>
        <v>0.307877306913631</v>
      </c>
      <c r="V124" s="0" t="n">
        <f aca="false">IF(Matrice_OD!V124&lt;=Param!$B$2,EXP(-(Matrice_OD!V124^2)/Param!$B$5),0)</f>
        <v>0.64972263955508</v>
      </c>
      <c r="W124" s="0" t="n">
        <f aca="false">IF(Matrice_OD!W124&lt;=Param!$B$2,EXP(-(Matrice_OD!W124^2)/Param!$B$5),0)</f>
        <v>0.605619708727759</v>
      </c>
      <c r="X124" s="0" t="n">
        <f aca="false">IF(Matrice_OD!X124&lt;=Param!$B$2,EXP(-(Matrice_OD!X124^2)/Param!$B$5),0)</f>
        <v>0.603369952871119</v>
      </c>
      <c r="Y124" s="0" t="n">
        <f aca="false">IF(Matrice_OD!Y124&lt;=Param!$B$2,EXP(-(Matrice_OD!Y124^2)/Param!$B$5),0)</f>
        <v>0.602960913865441</v>
      </c>
      <c r="Z124" s="0" t="n">
        <f aca="false">IF(Matrice_OD!Z124&lt;=Param!$B$2,EXP(-(Matrice_OD!Z124^2)/Param!$B$5),0)</f>
        <v>0.597030398694331</v>
      </c>
      <c r="AA124" s="0" t="n">
        <f aca="false">IF(Matrice_OD!AA124&lt;=Param!$B$2,EXP(-(Matrice_OD!AA124^2)/Param!$B$5),0)</f>
        <v>0.567426874775233</v>
      </c>
      <c r="AB124" s="0" t="n">
        <f aca="false">IF(Matrice_OD!AB124&lt;=Param!$B$2,EXP(-(Matrice_OD!AB124^2)/Param!$B$5),0)</f>
        <v>0.552583013968282</v>
      </c>
      <c r="AC124" s="0" t="n">
        <f aca="false">IF(Matrice_OD!AC124&lt;=Param!$B$2,EXP(-(Matrice_OD!AC124^2)/Param!$B$5),0)</f>
        <v>0</v>
      </c>
      <c r="AD124" s="0" t="n">
        <f aca="false">IF(Matrice_OD!AD124&lt;=Param!$B$2,EXP(-(Matrice_OD!AD124^2)/Param!$B$5),0)</f>
        <v>0</v>
      </c>
      <c r="AE124" s="0" t="n">
        <f aca="false">IF(Matrice_OD!AE124&lt;=Param!$B$2,EXP(-(Matrice_OD!AE124^2)/Param!$B$5),0)</f>
        <v>0</v>
      </c>
      <c r="AF124" s="0" t="n">
        <f aca="false">IF(Matrice_OD!AF124&lt;=Param!$B$2,EXP(-(Matrice_OD!AF124^2)/Param!$B$5),0)</f>
        <v>0</v>
      </c>
      <c r="AG124" s="0" t="n">
        <f aca="false">IF(Matrice_OD!AG124&lt;=Param!$B$2,EXP(-(Matrice_OD!AG124^2)/Param!$B$5),0)</f>
        <v>0</v>
      </c>
      <c r="AH124" s="0" t="n">
        <f aca="false">IF(Matrice_OD!AH124&lt;=Param!$B$2,EXP(-(Matrice_OD!AH124^2)/Param!$B$5),0)</f>
        <v>0.0391655003380291</v>
      </c>
      <c r="AI124" s="0" t="n">
        <f aca="false">IF(Matrice_OD!AI124&lt;=Param!$B$2,EXP(-(Matrice_OD!AI124^2)/Param!$B$5),0)</f>
        <v>0.405227457016498</v>
      </c>
      <c r="AJ124" s="0" t="n">
        <f aca="false">IF(Matrice_OD!AJ124&lt;=Param!$B$2,EXP(-(Matrice_OD!AJ124^2)/Param!$B$5),0)</f>
        <v>0.585993021960354</v>
      </c>
      <c r="AK124" s="0" t="n">
        <f aca="false">IF(Matrice_OD!AK124&lt;=Param!$B$2,EXP(-(Matrice_OD!AK124^2)/Param!$B$5),0)</f>
        <v>0</v>
      </c>
      <c r="AL124" s="0" t="n">
        <f aca="false">IF(Matrice_OD!AL124&lt;=Param!$B$2,EXP(-(Matrice_OD!AL124^2)/Param!$B$5),0)</f>
        <v>0</v>
      </c>
      <c r="AM124" s="0" t="n">
        <f aca="false">IF(Matrice_OD!AM124&lt;=Param!$B$2,EXP(-(Matrice_OD!AM124^2)/Param!$B$5),0)</f>
        <v>0.0773203528330192</v>
      </c>
      <c r="AN124" s="0" t="n">
        <f aca="false">IF(Matrice_OD!AN124&lt;=Param!$B$2,EXP(-(Matrice_OD!AN124^2)/Param!$B$5),0)</f>
        <v>0</v>
      </c>
    </row>
    <row r="125" customFormat="false" ht="15" hidden="false" customHeight="true" outlineLevel="0" collapsed="false">
      <c r="A125" s="0" t="s">
        <v>348</v>
      </c>
      <c r="B125" s="0" t="s">
        <v>349</v>
      </c>
      <c r="C125" s="0" t="n">
        <f aca="false">IF(Matrice_OD!C125&lt;=Param!$B$2,EXP(-(Matrice_OD!C125^2)/Param!$B$5),0)</f>
        <v>0.0418630712103475</v>
      </c>
      <c r="D125" s="0" t="n">
        <f aca="false">IF(Matrice_OD!D125&lt;=Param!$B$2,EXP(-(Matrice_OD!D125^2)/Param!$B$5),0)</f>
        <v>0.0239662439315106</v>
      </c>
      <c r="E125" s="0" t="n">
        <f aca="false">IF(Matrice_OD!E125&lt;=Param!$B$2,EXP(-(Matrice_OD!E125^2)/Param!$B$5),0)</f>
        <v>0.0210627973526679</v>
      </c>
      <c r="F125" s="0" t="n">
        <f aca="false">IF(Matrice_OD!F125&lt;=Param!$B$2,EXP(-(Matrice_OD!F125^2)/Param!$B$5),0)</f>
        <v>0.0216015401200775</v>
      </c>
      <c r="G125" s="0" t="n">
        <f aca="false">IF(Matrice_OD!G125&lt;=Param!$B$2,EXP(-(Matrice_OD!G125^2)/Param!$B$5),0)</f>
        <v>0.0198322708257796</v>
      </c>
      <c r="H125" s="0" t="n">
        <f aca="false">IF(Matrice_OD!H125&lt;=Param!$B$2,EXP(-(Matrice_OD!H125^2)/Param!$B$5),0)</f>
        <v>0.0259311397038601</v>
      </c>
      <c r="I125" s="0" t="n">
        <f aca="false">IF(Matrice_OD!I125&lt;=Param!$B$2,EXP(-(Matrice_OD!I125^2)/Param!$B$5),0)</f>
        <v>0.0218244401148703</v>
      </c>
      <c r="J125" s="0" t="n">
        <f aca="false">IF(Matrice_OD!J125&lt;=Param!$B$2,EXP(-(Matrice_OD!J125^2)/Param!$B$5),0)</f>
        <v>0.0207685793485894</v>
      </c>
      <c r="K125" s="0" t="n">
        <f aca="false">IF(Matrice_OD!K125&lt;=Param!$B$2,EXP(-(Matrice_OD!K125^2)/Param!$B$5),0)</f>
        <v>0.0204010464393469</v>
      </c>
      <c r="L125" s="0" t="n">
        <f aca="false">IF(Matrice_OD!L125&lt;=Param!$B$2,EXP(-(Matrice_OD!L125^2)/Param!$B$5),0)</f>
        <v>0.0218855769490321</v>
      </c>
      <c r="M125" s="0" t="n">
        <f aca="false">IF(Matrice_OD!M125&lt;=Param!$B$2,EXP(-(Matrice_OD!M125^2)/Param!$B$5),0)</f>
        <v>0.0242101528226816</v>
      </c>
      <c r="N125" s="0" t="n">
        <f aca="false">IF(Matrice_OD!N125&lt;=Param!$B$2,EXP(-(Matrice_OD!N125^2)/Param!$B$5),0)</f>
        <v>0.0216621338281681</v>
      </c>
      <c r="O125" s="0" t="n">
        <f aca="false">IF(Matrice_OD!O125&lt;=Param!$B$2,EXP(-(Matrice_OD!O125^2)/Param!$B$5),0)</f>
        <v>0.0211022992664515</v>
      </c>
      <c r="P125" s="0" t="n">
        <f aca="false">IF(Matrice_OD!P125&lt;=Param!$B$2,EXP(-(Matrice_OD!P125^2)/Param!$B$5),0)</f>
        <v>0.02092504711101</v>
      </c>
      <c r="Q125" s="0" t="n">
        <f aca="false">IF(Matrice_OD!Q125&lt;=Param!$B$2,EXP(-(Matrice_OD!Q125^2)/Param!$B$5),0)</f>
        <v>0.0202670755496483</v>
      </c>
      <c r="R125" s="0" t="n">
        <f aca="false">IF(Matrice_OD!R125&lt;=Param!$B$2,EXP(-(Matrice_OD!R125^2)/Param!$B$5),0)</f>
        <v>0.0200203062253895</v>
      </c>
      <c r="S125" s="0" t="n">
        <f aca="false">IF(Matrice_OD!S125&lt;=Param!$B$2,EXP(-(Matrice_OD!S125^2)/Param!$B$5),0)</f>
        <v>0.0194976877547321</v>
      </c>
      <c r="T125" s="0" t="n">
        <f aca="false">IF(Matrice_OD!T125&lt;=Param!$B$2,EXP(-(Matrice_OD!T125^2)/Param!$B$5),0)</f>
        <v>0.292644735649126</v>
      </c>
      <c r="U125" s="0" t="n">
        <f aca="false">IF(Matrice_OD!U125&lt;=Param!$B$2,EXP(-(Matrice_OD!U125^2)/Param!$B$5),0)</f>
        <v>0.362794765524615</v>
      </c>
      <c r="V125" s="0" t="n">
        <f aca="false">IF(Matrice_OD!V125&lt;=Param!$B$2,EXP(-(Matrice_OD!V125^2)/Param!$B$5),0)</f>
        <v>0.908254132842625</v>
      </c>
      <c r="W125" s="0" t="n">
        <f aca="false">IF(Matrice_OD!W125&lt;=Param!$B$2,EXP(-(Matrice_OD!W125^2)/Param!$B$5),0)</f>
        <v>0.917324228267389</v>
      </c>
      <c r="X125" s="0" t="n">
        <f aca="false">IF(Matrice_OD!X125&lt;=Param!$B$2,EXP(-(Matrice_OD!X125^2)/Param!$B$5),0)</f>
        <v>0.908924897730335</v>
      </c>
      <c r="Y125" s="0" t="n">
        <f aca="false">IF(Matrice_OD!Y125&lt;=Param!$B$2,EXP(-(Matrice_OD!Y125^2)/Param!$B$5),0)</f>
        <v>0.90879091180797</v>
      </c>
      <c r="Z125" s="0" t="n">
        <f aca="false">IF(Matrice_OD!Z125&lt;=Param!$B$2,EXP(-(Matrice_OD!Z125^2)/Param!$B$5),0)</f>
        <v>0.910260151177501</v>
      </c>
      <c r="AA125" s="0" t="n">
        <f aca="false">IF(Matrice_OD!AA125&lt;=Param!$B$2,EXP(-(Matrice_OD!AA125^2)/Param!$B$5),0)</f>
        <v>0.893980405667934</v>
      </c>
      <c r="AB125" s="0" t="n">
        <f aca="false">IF(Matrice_OD!AB125&lt;=Param!$B$2,EXP(-(Matrice_OD!AB125^2)/Param!$B$5),0)</f>
        <v>0.883502941971593</v>
      </c>
      <c r="AC125" s="0" t="n">
        <f aca="false">IF(Matrice_OD!AC125&lt;=Param!$B$2,EXP(-(Matrice_OD!AC125^2)/Param!$B$5),0)</f>
        <v>0</v>
      </c>
      <c r="AD125" s="0" t="n">
        <f aca="false">IF(Matrice_OD!AD125&lt;=Param!$B$2,EXP(-(Matrice_OD!AD125^2)/Param!$B$5),0)</f>
        <v>0</v>
      </c>
      <c r="AE125" s="0" t="n">
        <f aca="false">IF(Matrice_OD!AE125&lt;=Param!$B$2,EXP(-(Matrice_OD!AE125^2)/Param!$B$5),0)</f>
        <v>0</v>
      </c>
      <c r="AF125" s="0" t="n">
        <f aca="false">IF(Matrice_OD!AF125&lt;=Param!$B$2,EXP(-(Matrice_OD!AF125^2)/Param!$B$5),0)</f>
        <v>0</v>
      </c>
      <c r="AG125" s="0" t="n">
        <f aca="false">IF(Matrice_OD!AG125&lt;=Param!$B$2,EXP(-(Matrice_OD!AG125^2)/Param!$B$5),0)</f>
        <v>0</v>
      </c>
      <c r="AH125" s="0" t="n">
        <f aca="false">IF(Matrice_OD!AH125&lt;=Param!$B$2,EXP(-(Matrice_OD!AH125^2)/Param!$B$5),0)</f>
        <v>0.0198322708257796</v>
      </c>
      <c r="AI125" s="0" t="n">
        <f aca="false">IF(Matrice_OD!AI125&lt;=Param!$B$2,EXP(-(Matrice_OD!AI125^2)/Param!$B$5),0)</f>
        <v>0.264573155925817</v>
      </c>
      <c r="AJ125" s="0" t="n">
        <f aca="false">IF(Matrice_OD!AJ125&lt;=Param!$B$2,EXP(-(Matrice_OD!AJ125^2)/Param!$B$5),0)</f>
        <v>0.897242021026383</v>
      </c>
      <c r="AK125" s="0" t="n">
        <f aca="false">IF(Matrice_OD!AK125&lt;=Param!$B$2,EXP(-(Matrice_OD!AK125^2)/Param!$B$5),0)</f>
        <v>0</v>
      </c>
      <c r="AL125" s="0" t="n">
        <f aca="false">IF(Matrice_OD!AL125&lt;=Param!$B$2,EXP(-(Matrice_OD!AL125^2)/Param!$B$5),0)</f>
        <v>0</v>
      </c>
      <c r="AM125" s="0" t="n">
        <f aca="false">IF(Matrice_OD!AM125&lt;=Param!$B$2,EXP(-(Matrice_OD!AM125^2)/Param!$B$5),0)</f>
        <v>0.0418986471096769</v>
      </c>
      <c r="AN125" s="0" t="n">
        <f aca="false">IF(Matrice_OD!AN125&lt;=Param!$B$2,EXP(-(Matrice_OD!AN125^2)/Param!$B$5),0)</f>
        <v>0</v>
      </c>
    </row>
    <row r="126" customFormat="false" ht="15" hidden="false" customHeight="true" outlineLevel="0" collapsed="false">
      <c r="A126" s="0" t="s">
        <v>350</v>
      </c>
      <c r="B126" s="0" t="s">
        <v>351</v>
      </c>
      <c r="C126" s="0" t="n">
        <f aca="false">IF(Matrice_OD!C126&lt;=Param!$B$2,EXP(-(Matrice_OD!C126^2)/Param!$B$5),0)</f>
        <v>0.129243104863288</v>
      </c>
      <c r="D126" s="0" t="n">
        <f aca="false">IF(Matrice_OD!D126&lt;=Param!$B$2,EXP(-(Matrice_OD!D126^2)/Param!$B$5),0)</f>
        <v>0.0822189312500165</v>
      </c>
      <c r="E126" s="0" t="n">
        <f aca="false">IF(Matrice_OD!E126&lt;=Param!$B$2,EXP(-(Matrice_OD!E126^2)/Param!$B$5),0)</f>
        <v>0.073959165115107</v>
      </c>
      <c r="F126" s="0" t="n">
        <f aca="false">IF(Matrice_OD!F126&lt;=Param!$B$2,EXP(-(Matrice_OD!F126^2)/Param!$B$5),0)</f>
        <v>0.0755088750345227</v>
      </c>
      <c r="G126" s="0" t="n">
        <f aca="false">IF(Matrice_OD!G126&lt;=Param!$B$2,EXP(-(Matrice_OD!G126^2)/Param!$B$5),0)</f>
        <v>0.0703883268417889</v>
      </c>
      <c r="H126" s="0" t="n">
        <f aca="false">IF(Matrice_OD!H126&lt;=Param!$B$2,EXP(-(Matrice_OD!H126^2)/Param!$B$5),0)</f>
        <v>0.0876231504937152</v>
      </c>
      <c r="I126" s="0" t="n">
        <f aca="false">IF(Matrice_OD!I126&lt;=Param!$B$2,EXP(-(Matrice_OD!I126^2)/Param!$B$5),0)</f>
        <v>0.0761476999794322</v>
      </c>
      <c r="J126" s="0" t="n">
        <f aca="false">IF(Matrice_OD!J126&lt;=Param!$B$2,EXP(-(Matrice_OD!J126^2)/Param!$B$5),0)</f>
        <v>0.073109381717263</v>
      </c>
      <c r="K126" s="0" t="n">
        <f aca="false">IF(Matrice_OD!K126&lt;=Param!$B$2,EXP(-(Matrice_OD!K126^2)/Param!$B$5),0)</f>
        <v>0.0720443456575033</v>
      </c>
      <c r="L126" s="0" t="n">
        <f aca="false">IF(Matrice_OD!L126&lt;=Param!$B$2,EXP(-(Matrice_OD!L126^2)/Param!$B$5),0)</f>
        <v>0.0762643165629604</v>
      </c>
      <c r="M126" s="0" t="n">
        <f aca="false">IF(Matrice_OD!M126&lt;=Param!$B$2,EXP(-(Matrice_OD!M126^2)/Param!$B$5),0)</f>
        <v>0.082902910507504</v>
      </c>
      <c r="N126" s="0" t="n">
        <f aca="false">IF(Matrice_OD!N126&lt;=Param!$B$2,EXP(-(Matrice_OD!N126^2)/Param!$B$5),0)</f>
        <v>0.0756826698878723</v>
      </c>
      <c r="O126" s="0" t="n">
        <f aca="false">IF(Matrice_OD!O126&lt;=Param!$B$2,EXP(-(Matrice_OD!O126^2)/Param!$B$5),0)</f>
        <v>0.0740730701834572</v>
      </c>
      <c r="P126" s="0" t="n">
        <f aca="false">IF(Matrice_OD!P126&lt;=Param!$B$2,EXP(-(Matrice_OD!P126^2)/Param!$B$5),0)</f>
        <v>0.0735049593887281</v>
      </c>
      <c r="Q126" s="0" t="n">
        <f aca="false">IF(Matrice_OD!Q126&lt;=Param!$B$2,EXP(-(Matrice_OD!Q126^2)/Param!$B$5),0)</f>
        <v>0.0716551455850623</v>
      </c>
      <c r="R126" s="0" t="n">
        <f aca="false">IF(Matrice_OD!R126&lt;=Param!$B$2,EXP(-(Matrice_OD!R126^2)/Param!$B$5),0)</f>
        <v>0.0709368664291132</v>
      </c>
      <c r="S126" s="0" t="n">
        <f aca="false">IF(Matrice_OD!S126&lt;=Param!$B$2,EXP(-(Matrice_OD!S126^2)/Param!$B$5),0)</f>
        <v>0.0694096337972817</v>
      </c>
      <c r="T126" s="0" t="n">
        <f aca="false">IF(Matrice_OD!T126&lt;=Param!$B$2,EXP(-(Matrice_OD!T126^2)/Param!$B$5),0)</f>
        <v>0.563354801264448</v>
      </c>
      <c r="U126" s="0" t="n">
        <f aca="false">IF(Matrice_OD!U126&lt;=Param!$B$2,EXP(-(Matrice_OD!U126^2)/Param!$B$5),0)</f>
        <v>0.592532529254339</v>
      </c>
      <c r="V126" s="0" t="n">
        <f aca="false">IF(Matrice_OD!V126&lt;=Param!$B$2,EXP(-(Matrice_OD!V126^2)/Param!$B$5),0)</f>
        <v>0.525911289633503</v>
      </c>
      <c r="W126" s="0" t="n">
        <f aca="false">IF(Matrice_OD!W126&lt;=Param!$B$2,EXP(-(Matrice_OD!W126^2)/Param!$B$5),0)</f>
        <v>0.482946652891376</v>
      </c>
      <c r="X126" s="0" t="n">
        <f aca="false">IF(Matrice_OD!X126&lt;=Param!$B$2,EXP(-(Matrice_OD!X126^2)/Param!$B$5),0)</f>
        <v>0.480786835753851</v>
      </c>
      <c r="Y126" s="0" t="n">
        <f aca="false">IF(Matrice_OD!Y126&lt;=Param!$B$2,EXP(-(Matrice_OD!Y126^2)/Param!$B$5),0)</f>
        <v>0.480394470626293</v>
      </c>
      <c r="Z126" s="0" t="n">
        <f aca="false">IF(Matrice_OD!Z126&lt;=Param!$B$2,EXP(-(Matrice_OD!Z126^2)/Param!$B$5),0)</f>
        <v>0.474716763313502</v>
      </c>
      <c r="AA126" s="0" t="n">
        <f aca="false">IF(Matrice_OD!AA126&lt;=Param!$B$2,EXP(-(Matrice_OD!AA126^2)/Param!$B$5),0)</f>
        <v>0.446677878148729</v>
      </c>
      <c r="AB126" s="0" t="n">
        <f aca="false">IF(Matrice_OD!AB126&lt;=Param!$B$2,EXP(-(Matrice_OD!AB126^2)/Param!$B$5),0)</f>
        <v>0.432803009126246</v>
      </c>
      <c r="AC126" s="0" t="n">
        <f aca="false">IF(Matrice_OD!AC126&lt;=Param!$B$2,EXP(-(Matrice_OD!AC126^2)/Param!$B$5),0)</f>
        <v>0</v>
      </c>
      <c r="AD126" s="0" t="n">
        <f aca="false">IF(Matrice_OD!AD126&lt;=Param!$B$2,EXP(-(Matrice_OD!AD126^2)/Param!$B$5),0)</f>
        <v>0</v>
      </c>
      <c r="AE126" s="0" t="n">
        <f aca="false">IF(Matrice_OD!AE126&lt;=Param!$B$2,EXP(-(Matrice_OD!AE126^2)/Param!$B$5),0)</f>
        <v>0</v>
      </c>
      <c r="AF126" s="0" t="n">
        <f aca="false">IF(Matrice_OD!AF126&lt;=Param!$B$2,EXP(-(Matrice_OD!AF126^2)/Param!$B$5),0)</f>
        <v>0</v>
      </c>
      <c r="AG126" s="0" t="n">
        <f aca="false">IF(Matrice_OD!AG126&lt;=Param!$B$2,EXP(-(Matrice_OD!AG126^2)/Param!$B$5),0)</f>
        <v>0</v>
      </c>
      <c r="AH126" s="0" t="n">
        <f aca="false">IF(Matrice_OD!AH126&lt;=Param!$B$2,EXP(-(Matrice_OD!AH126^2)/Param!$B$5),0)</f>
        <v>0.0652956644581232</v>
      </c>
      <c r="AI126" s="0" t="n">
        <f aca="false">IF(Matrice_OD!AI126&lt;=Param!$B$2,EXP(-(Matrice_OD!AI126^2)/Param!$B$5),0)</f>
        <v>0.525308221032449</v>
      </c>
      <c r="AJ126" s="0" t="n">
        <f aca="false">IF(Matrice_OD!AJ126&lt;=Param!$B$2,EXP(-(Matrice_OD!AJ126^2)/Param!$B$5),0)</f>
        <v>0.464204380687803</v>
      </c>
      <c r="AK126" s="0" t="n">
        <f aca="false">IF(Matrice_OD!AK126&lt;=Param!$B$2,EXP(-(Matrice_OD!AK126^2)/Param!$B$5),0)</f>
        <v>0</v>
      </c>
      <c r="AL126" s="0" t="n">
        <f aca="false">IF(Matrice_OD!AL126&lt;=Param!$B$2,EXP(-(Matrice_OD!AL126^2)/Param!$B$5),0)</f>
        <v>0</v>
      </c>
      <c r="AM126" s="0" t="n">
        <f aca="false">IF(Matrice_OD!AM126&lt;=Param!$B$2,EXP(-(Matrice_OD!AM126^2)/Param!$B$5),0)</f>
        <v>0.121407200363518</v>
      </c>
      <c r="AN126" s="0" t="n">
        <f aca="false">IF(Matrice_OD!AN126&lt;=Param!$B$2,EXP(-(Matrice_OD!AN126^2)/Param!$B$5),0)</f>
        <v>0</v>
      </c>
    </row>
    <row r="127" customFormat="false" ht="15" hidden="false" customHeight="true" outlineLevel="0" collapsed="false">
      <c r="A127" s="0" t="s">
        <v>352</v>
      </c>
      <c r="B127" s="0" t="s">
        <v>353</v>
      </c>
      <c r="C127" s="0" t="n">
        <f aca="false">IF(Matrice_OD!C127&lt;=Param!$B$2,EXP(-(Matrice_OD!C127^2)/Param!$B$5),0)</f>
        <v>0</v>
      </c>
      <c r="D127" s="0" t="n">
        <f aca="false">IF(Matrice_OD!D127&lt;=Param!$B$2,EXP(-(Matrice_OD!D127^2)/Param!$B$5),0)</f>
        <v>0.0253460980809287</v>
      </c>
      <c r="E127" s="0" t="n">
        <f aca="false">IF(Matrice_OD!E127&lt;=Param!$B$2,EXP(-(Matrice_OD!E127^2)/Param!$B$5),0)</f>
        <v>0.0260258198779768</v>
      </c>
      <c r="F127" s="0" t="n">
        <f aca="false">IF(Matrice_OD!F127&lt;=Param!$B$2,EXP(-(Matrice_OD!F127^2)/Param!$B$5),0)</f>
        <v>0.0266727474625436</v>
      </c>
      <c r="G127" s="0" t="n">
        <f aca="false">IF(Matrice_OD!G127&lt;=Param!$B$2,EXP(-(Matrice_OD!G127^2)/Param!$B$5),0)</f>
        <v>0.0259784425653228</v>
      </c>
      <c r="H127" s="0" t="n">
        <f aca="false">IF(Matrice_OD!H127&lt;=Param!$B$2,EXP(-(Matrice_OD!H127^2)/Param!$B$5),0)</f>
        <v>0.0318259233399681</v>
      </c>
      <c r="I127" s="0" t="n">
        <f aca="false">IF(Matrice_OD!I127&lt;=Param!$B$2,EXP(-(Matrice_OD!I127^2)/Param!$B$5),0)</f>
        <v>0.0312665722065496</v>
      </c>
      <c r="J127" s="0" t="n">
        <f aca="false">IF(Matrice_OD!J127&lt;=Param!$B$2,EXP(-(Matrice_OD!J127^2)/Param!$B$5),0)</f>
        <v>0.0293483109003457</v>
      </c>
      <c r="K127" s="0" t="n">
        <f aca="false">IF(Matrice_OD!K127&lt;=Param!$B$2,EXP(-(Matrice_OD!K127^2)/Param!$B$5),0)</f>
        <v>0.0275070770811862</v>
      </c>
      <c r="L127" s="0" t="n">
        <f aca="false">IF(Matrice_OD!L127&lt;=Param!$B$2,EXP(-(Matrice_OD!L127^2)/Param!$B$5),0)</f>
        <v>0.0313221261655378</v>
      </c>
      <c r="M127" s="0" t="n">
        <f aca="false">IF(Matrice_OD!M127&lt;=Param!$B$2,EXP(-(Matrice_OD!M127^2)/Param!$B$5),0)</f>
        <v>0.0348439203527685</v>
      </c>
      <c r="N127" s="0" t="n">
        <f aca="false">IF(Matrice_OD!N127&lt;=Param!$B$2,EXP(-(Matrice_OD!N127^2)/Param!$B$5),0)</f>
        <v>0.0298248163259103</v>
      </c>
      <c r="O127" s="0" t="n">
        <f aca="false">IF(Matrice_OD!O127&lt;=Param!$B$2,EXP(-(Matrice_OD!O127^2)/Param!$B$5),0)</f>
        <v>0.0302539320512935</v>
      </c>
      <c r="P127" s="0" t="n">
        <f aca="false">IF(Matrice_OD!P127&lt;=Param!$B$2,EXP(-(Matrice_OD!P127^2)/Param!$B$5),0)</f>
        <v>0.0312665722065496</v>
      </c>
      <c r="Q127" s="0" t="n">
        <f aca="false">IF(Matrice_OD!Q127&lt;=Param!$B$2,EXP(-(Matrice_OD!Q127^2)/Param!$B$5),0)</f>
        <v>0.0315451873531522</v>
      </c>
      <c r="R127" s="0" t="n">
        <f aca="false">IF(Matrice_OD!R127&lt;=Param!$B$2,EXP(-(Matrice_OD!R127^2)/Param!$B$5),0)</f>
        <v>0.0310176216240381</v>
      </c>
      <c r="S127" s="0" t="n">
        <f aca="false">IF(Matrice_OD!S127&lt;=Param!$B$2,EXP(-(Matrice_OD!S127^2)/Param!$B$5),0)</f>
        <v>0.0294272717620928</v>
      </c>
      <c r="T127" s="0" t="n">
        <f aca="false">IF(Matrice_OD!T127&lt;=Param!$B$2,EXP(-(Matrice_OD!T127^2)/Param!$B$5),0)</f>
        <v>0.0454345025850746</v>
      </c>
      <c r="U127" s="0" t="n">
        <f aca="false">IF(Matrice_OD!U127&lt;=Param!$B$2,EXP(-(Matrice_OD!U127^2)/Param!$B$5),0)</f>
        <v>0.52953288801983</v>
      </c>
      <c r="V127" s="0" t="n">
        <f aca="false">IF(Matrice_OD!V127&lt;=Param!$B$2,EXP(-(Matrice_OD!V127^2)/Param!$B$5),0)</f>
        <v>0.27517719820329</v>
      </c>
      <c r="W127" s="0" t="n">
        <f aca="false">IF(Matrice_OD!W127&lt;=Param!$B$2,EXP(-(Matrice_OD!W127^2)/Param!$B$5),0)</f>
        <v>0.280575520836395</v>
      </c>
      <c r="X127" s="0" t="n">
        <f aca="false">IF(Matrice_OD!X127&lt;=Param!$B$2,EXP(-(Matrice_OD!X127^2)/Param!$B$5),0)</f>
        <v>0.295748427697716</v>
      </c>
      <c r="Y127" s="0" t="n">
        <f aca="false">IF(Matrice_OD!Y127&lt;=Param!$B$2,EXP(-(Matrice_OD!Y127^2)/Param!$B$5),0)</f>
        <v>0.288792411858203</v>
      </c>
      <c r="Z127" s="0" t="n">
        <f aca="false">IF(Matrice_OD!Z127&lt;=Param!$B$2,EXP(-(Matrice_OD!Z127^2)/Param!$B$5),0)</f>
        <v>0.279069576825871</v>
      </c>
      <c r="AA127" s="0" t="n">
        <f aca="false">IF(Matrice_OD!AA127&lt;=Param!$B$2,EXP(-(Matrice_OD!AA127^2)/Param!$B$5),0)</f>
        <v>0.30517511093119</v>
      </c>
      <c r="AB127" s="0" t="n">
        <f aca="false">IF(Matrice_OD!AB127&lt;=Param!$B$2,EXP(-(Matrice_OD!AB127^2)/Param!$B$5),0)</f>
        <v>0.292180853303311</v>
      </c>
      <c r="AC127" s="0" t="n">
        <f aca="false">IF(Matrice_OD!AC127&lt;=Param!$B$2,EXP(-(Matrice_OD!AC127^2)/Param!$B$5),0)</f>
        <v>0</v>
      </c>
      <c r="AD127" s="0" t="n">
        <f aca="false">IF(Matrice_OD!AD127&lt;=Param!$B$2,EXP(-(Matrice_OD!AD127^2)/Param!$B$5),0)</f>
        <v>0</v>
      </c>
      <c r="AE127" s="0" t="n">
        <f aca="false">IF(Matrice_OD!AE127&lt;=Param!$B$2,EXP(-(Matrice_OD!AE127^2)/Param!$B$5),0)</f>
        <v>0</v>
      </c>
      <c r="AF127" s="0" t="n">
        <f aca="false">IF(Matrice_OD!AF127&lt;=Param!$B$2,EXP(-(Matrice_OD!AF127^2)/Param!$B$5),0)</f>
        <v>0</v>
      </c>
      <c r="AG127" s="0" t="n">
        <f aca="false">IF(Matrice_OD!AG127&lt;=Param!$B$2,EXP(-(Matrice_OD!AG127^2)/Param!$B$5),0)</f>
        <v>0</v>
      </c>
      <c r="AH127" s="0" t="n">
        <f aca="false">IF(Matrice_OD!AH127&lt;=Param!$B$2,EXP(-(Matrice_OD!AH127^2)/Param!$B$5),0)</f>
        <v>0.0337032669293794</v>
      </c>
      <c r="AI127" s="0" t="n">
        <f aca="false">IF(Matrice_OD!AI127&lt;=Param!$B$2,EXP(-(Matrice_OD!AI127^2)/Param!$B$5),0)</f>
        <v>0.0387305116758812</v>
      </c>
      <c r="AJ127" s="0" t="n">
        <f aca="false">IF(Matrice_OD!AJ127&lt;=Param!$B$2,EXP(-(Matrice_OD!AJ127^2)/Param!$B$5),0)</f>
        <v>0.292644735649126</v>
      </c>
      <c r="AK127" s="0" t="n">
        <f aca="false">IF(Matrice_OD!AK127&lt;=Param!$B$2,EXP(-(Matrice_OD!AK127^2)/Param!$B$5),0)</f>
        <v>0</v>
      </c>
      <c r="AL127" s="0" t="n">
        <f aca="false">IF(Matrice_OD!AL127&lt;=Param!$B$2,EXP(-(Matrice_OD!AL127^2)/Param!$B$5),0)</f>
        <v>0</v>
      </c>
      <c r="AM127" s="0" t="n">
        <f aca="false">IF(Matrice_OD!AM127&lt;=Param!$B$2,EXP(-(Matrice_OD!AM127^2)/Param!$B$5),0)</f>
        <v>0</v>
      </c>
      <c r="AN127" s="0" t="n">
        <f aca="false">IF(Matrice_OD!AN127&lt;=Param!$B$2,EXP(-(Matrice_OD!AN127^2)/Param!$B$5),0)</f>
        <v>0</v>
      </c>
    </row>
    <row r="128" customFormat="false" ht="15" hidden="false" customHeight="true" outlineLevel="0" collapsed="false">
      <c r="A128" s="0" t="s">
        <v>354</v>
      </c>
      <c r="B128" s="0" t="s">
        <v>355</v>
      </c>
      <c r="C128" s="0" t="n">
        <f aca="false">IF(Matrice_OD!C128&lt;=Param!$B$2,EXP(-(Matrice_OD!C128^2)/Param!$B$5),0)</f>
        <v>0</v>
      </c>
      <c r="D128" s="0" t="n">
        <f aca="false">IF(Matrice_OD!D128&lt;=Param!$B$2,EXP(-(Matrice_OD!D128^2)/Param!$B$5),0)</f>
        <v>0.015546070826312</v>
      </c>
      <c r="E128" s="0" t="n">
        <f aca="false">IF(Matrice_OD!E128&lt;=Param!$B$2,EXP(-(Matrice_OD!E128^2)/Param!$B$5),0)</f>
        <v>0.0159902692927358</v>
      </c>
      <c r="F128" s="0" t="n">
        <f aca="false">IF(Matrice_OD!F128&lt;=Param!$B$2,EXP(-(Matrice_OD!F128^2)/Param!$B$5),0)</f>
        <v>0.0164138242064137</v>
      </c>
      <c r="G128" s="0" t="n">
        <f aca="false">IF(Matrice_OD!G128&lt;=Param!$B$2,EXP(-(Matrice_OD!G128^2)/Param!$B$5),0)</f>
        <v>0.015974768303148</v>
      </c>
      <c r="H128" s="0" t="n">
        <f aca="false">IF(Matrice_OD!H128&lt;=Param!$B$2,EXP(-(Matrice_OD!H128^2)/Param!$B$5),0)</f>
        <v>0.0198322708257796</v>
      </c>
      <c r="I128" s="0" t="n">
        <f aca="false">IF(Matrice_OD!I128&lt;=Param!$B$2,EXP(-(Matrice_OD!I128^2)/Param!$B$5),0)</f>
        <v>0.0194608177906063</v>
      </c>
      <c r="J128" s="0" t="n">
        <f aca="false">IF(Matrice_OD!J128&lt;=Param!$B$2,EXP(-(Matrice_OD!J128^2)/Param!$B$5),0)</f>
        <v>0.0181907763580576</v>
      </c>
      <c r="K128" s="0" t="n">
        <f aca="false">IF(Matrice_OD!K128&lt;=Param!$B$2,EXP(-(Matrice_OD!K128^2)/Param!$B$5),0)</f>
        <v>0.0169775237109712</v>
      </c>
      <c r="L128" s="0" t="n">
        <f aca="false">IF(Matrice_OD!L128&lt;=Param!$B$2,EXP(-(Matrice_OD!L128^2)/Param!$B$5),0)</f>
        <v>0.0194976877547321</v>
      </c>
      <c r="M128" s="0" t="n">
        <f aca="false">IF(Matrice_OD!M128&lt;=Param!$B$2,EXP(-(Matrice_OD!M128^2)/Param!$B$5),0)</f>
        <v>0.0218448025438883</v>
      </c>
      <c r="N128" s="0" t="n">
        <f aca="false">IF(Matrice_OD!N128&lt;=Param!$B$2,EXP(-(Matrice_OD!N128^2)/Param!$B$5),0)</f>
        <v>0.0184880775041104</v>
      </c>
      <c r="O128" s="0" t="n">
        <f aca="false">IF(Matrice_OD!O128&lt;=Param!$B$2,EXP(-(Matrice_OD!O128^2)/Param!$B$5),0)</f>
        <v>0.0187896201277518</v>
      </c>
      <c r="P128" s="0" t="n">
        <f aca="false">IF(Matrice_OD!P128&lt;=Param!$B$2,EXP(-(Matrice_OD!P128^2)/Param!$B$5),0)</f>
        <v>0.0194608177906063</v>
      </c>
      <c r="Q128" s="0" t="n">
        <f aca="false">IF(Matrice_OD!Q128&lt;=Param!$B$2,EXP(-(Matrice_OD!Q128^2)/Param!$B$5),0)</f>
        <v>0.019645778109333</v>
      </c>
      <c r="R128" s="0" t="n">
        <f aca="false">IF(Matrice_OD!R128&lt;=Param!$B$2,EXP(-(Matrice_OD!R128^2)/Param!$B$5),0)</f>
        <v>0.0192956552389442</v>
      </c>
      <c r="S128" s="0" t="n">
        <f aca="false">IF(Matrice_OD!S128&lt;=Param!$B$2,EXP(-(Matrice_OD!S128^2)/Param!$B$5),0)</f>
        <v>0.0182255344110262</v>
      </c>
      <c r="T128" s="0" t="n">
        <f aca="false">IF(Matrice_OD!T128&lt;=Param!$B$2,EXP(-(Matrice_OD!T128^2)/Param!$B$5),0)</f>
        <v>0.0290082451353554</v>
      </c>
      <c r="U128" s="0" t="n">
        <f aca="false">IF(Matrice_OD!U128&lt;=Param!$B$2,EXP(-(Matrice_OD!U128^2)/Param!$B$5),0)</f>
        <v>0.428467612942184</v>
      </c>
      <c r="V128" s="0" t="n">
        <f aca="false">IF(Matrice_OD!V128&lt;=Param!$B$2,EXP(-(Matrice_OD!V128^2)/Param!$B$5),0)</f>
        <v>0.204825337440388</v>
      </c>
      <c r="W128" s="0" t="n">
        <f aca="false">IF(Matrice_OD!W128&lt;=Param!$B$2,EXP(-(Matrice_OD!W128^2)/Param!$B$5),0)</f>
        <v>0.214192396203145</v>
      </c>
      <c r="X128" s="0" t="n">
        <f aca="false">IF(Matrice_OD!X128&lt;=Param!$B$2,EXP(-(Matrice_OD!X128^2)/Param!$B$5),0)</f>
        <v>0.231905533310431</v>
      </c>
      <c r="Y128" s="0" t="n">
        <f aca="false">IF(Matrice_OD!Y128&lt;=Param!$B$2,EXP(-(Matrice_OD!Y128^2)/Param!$B$5),0)</f>
        <v>0.231638248066778</v>
      </c>
      <c r="Z128" s="0" t="n">
        <f aca="false">IF(Matrice_OD!Z128&lt;=Param!$B$2,EXP(-(Matrice_OD!Z128^2)/Param!$B$5),0)</f>
        <v>0.227785408856089</v>
      </c>
      <c r="AA128" s="0" t="n">
        <f aca="false">IF(Matrice_OD!AA128&lt;=Param!$B$2,EXP(-(Matrice_OD!AA128^2)/Param!$B$5),0)</f>
        <v>0.234724271586823</v>
      </c>
      <c r="AB128" s="0" t="n">
        <f aca="false">IF(Matrice_OD!AB128&lt;=Param!$B$2,EXP(-(Matrice_OD!AB128^2)/Param!$B$5),0)</f>
        <v>0.251682166910233</v>
      </c>
      <c r="AC128" s="0" t="n">
        <f aca="false">IF(Matrice_OD!AC128&lt;=Param!$B$2,EXP(-(Matrice_OD!AC128^2)/Param!$B$5),0)</f>
        <v>0</v>
      </c>
      <c r="AD128" s="0" t="n">
        <f aca="false">IF(Matrice_OD!AD128&lt;=Param!$B$2,EXP(-(Matrice_OD!AD128^2)/Param!$B$5),0)</f>
        <v>0</v>
      </c>
      <c r="AE128" s="0" t="n">
        <f aca="false">IF(Matrice_OD!AE128&lt;=Param!$B$2,EXP(-(Matrice_OD!AE128^2)/Param!$B$5),0)</f>
        <v>0</v>
      </c>
      <c r="AF128" s="0" t="n">
        <f aca="false">IF(Matrice_OD!AF128&lt;=Param!$B$2,EXP(-(Matrice_OD!AF128^2)/Param!$B$5),0)</f>
        <v>0</v>
      </c>
      <c r="AG128" s="0" t="n">
        <f aca="false">IF(Matrice_OD!AG128&lt;=Param!$B$2,EXP(-(Matrice_OD!AG128^2)/Param!$B$5),0)</f>
        <v>0</v>
      </c>
      <c r="AH128" s="0" t="n">
        <f aca="false">IF(Matrice_OD!AH128&lt;=Param!$B$2,EXP(-(Matrice_OD!AH128^2)/Param!$B$5),0)</f>
        <v>0.0210825402564484</v>
      </c>
      <c r="AI128" s="0" t="n">
        <f aca="false">IF(Matrice_OD!AI128&lt;=Param!$B$2,EXP(-(Matrice_OD!AI128^2)/Param!$B$5),0)</f>
        <v>0.0244562075328131</v>
      </c>
      <c r="AJ128" s="0" t="n">
        <f aca="false">IF(Matrice_OD!AJ128&lt;=Param!$B$2,EXP(-(Matrice_OD!AJ128^2)/Param!$B$5),0)</f>
        <v>0.22072485214169</v>
      </c>
      <c r="AK128" s="0" t="n">
        <f aca="false">IF(Matrice_OD!AK128&lt;=Param!$B$2,EXP(-(Matrice_OD!AK128^2)/Param!$B$5),0)</f>
        <v>0</v>
      </c>
      <c r="AL128" s="0" t="n">
        <f aca="false">IF(Matrice_OD!AL128&lt;=Param!$B$2,EXP(-(Matrice_OD!AL128^2)/Param!$B$5),0)</f>
        <v>0</v>
      </c>
      <c r="AM128" s="0" t="n">
        <f aca="false">IF(Matrice_OD!AM128&lt;=Param!$B$2,EXP(-(Matrice_OD!AM128^2)/Param!$B$5),0)</f>
        <v>0</v>
      </c>
      <c r="AN128" s="0" t="n">
        <f aca="false">IF(Matrice_OD!AN128&lt;=Param!$B$2,EXP(-(Matrice_OD!AN128^2)/Param!$B$5),0)</f>
        <v>0</v>
      </c>
    </row>
    <row r="129" customFormat="false" ht="15" hidden="false" customHeight="true" outlineLevel="0" collapsed="false">
      <c r="A129" s="0" t="s">
        <v>356</v>
      </c>
      <c r="B129" s="0" t="s">
        <v>357</v>
      </c>
      <c r="C129" s="0" t="n">
        <f aca="false">IF(Matrice_OD!C129&lt;=Param!$B$2,EXP(-(Matrice_OD!C129^2)/Param!$B$5),0)</f>
        <v>0</v>
      </c>
      <c r="D129" s="0" t="n">
        <f aca="false">IF(Matrice_OD!D129&lt;=Param!$B$2,EXP(-(Matrice_OD!D129^2)/Param!$B$5),0)</f>
        <v>0</v>
      </c>
      <c r="E129" s="0" t="n">
        <f aca="false">IF(Matrice_OD!E129&lt;=Param!$B$2,EXP(-(Matrice_OD!E129^2)/Param!$B$5),0)</f>
        <v>0</v>
      </c>
      <c r="F129" s="0" t="n">
        <f aca="false">IF(Matrice_OD!F129&lt;=Param!$B$2,EXP(-(Matrice_OD!F129^2)/Param!$B$5),0)</f>
        <v>0</v>
      </c>
      <c r="G129" s="0" t="n">
        <f aca="false">IF(Matrice_OD!G129&lt;=Param!$B$2,EXP(-(Matrice_OD!G129^2)/Param!$B$5),0)</f>
        <v>0</v>
      </c>
      <c r="H129" s="0" t="n">
        <f aca="false">IF(Matrice_OD!H129&lt;=Param!$B$2,EXP(-(Matrice_OD!H129^2)/Param!$B$5),0)</f>
        <v>0</v>
      </c>
      <c r="I129" s="0" t="n">
        <f aca="false">IF(Matrice_OD!I129&lt;=Param!$B$2,EXP(-(Matrice_OD!I129^2)/Param!$B$5),0)</f>
        <v>0</v>
      </c>
      <c r="J129" s="0" t="n">
        <f aca="false">IF(Matrice_OD!J129&lt;=Param!$B$2,EXP(-(Matrice_OD!J129^2)/Param!$B$5),0)</f>
        <v>0</v>
      </c>
      <c r="K129" s="0" t="n">
        <f aca="false">IF(Matrice_OD!K129&lt;=Param!$B$2,EXP(-(Matrice_OD!K129^2)/Param!$B$5),0)</f>
        <v>0</v>
      </c>
      <c r="L129" s="0" t="n">
        <f aca="false">IF(Matrice_OD!L129&lt;=Param!$B$2,EXP(-(Matrice_OD!L129^2)/Param!$B$5),0)</f>
        <v>0</v>
      </c>
      <c r="M129" s="0" t="n">
        <f aca="false">IF(Matrice_OD!M129&lt;=Param!$B$2,EXP(-(Matrice_OD!M129^2)/Param!$B$5),0)</f>
        <v>0</v>
      </c>
      <c r="N129" s="0" t="n">
        <f aca="false">IF(Matrice_OD!N129&lt;=Param!$B$2,EXP(-(Matrice_OD!N129^2)/Param!$B$5),0)</f>
        <v>0</v>
      </c>
      <c r="O129" s="0" t="n">
        <f aca="false">IF(Matrice_OD!O129&lt;=Param!$B$2,EXP(-(Matrice_OD!O129^2)/Param!$B$5),0)</f>
        <v>0</v>
      </c>
      <c r="P129" s="0" t="n">
        <f aca="false">IF(Matrice_OD!P129&lt;=Param!$B$2,EXP(-(Matrice_OD!P129^2)/Param!$B$5),0)</f>
        <v>0</v>
      </c>
      <c r="Q129" s="0" t="n">
        <f aca="false">IF(Matrice_OD!Q129&lt;=Param!$B$2,EXP(-(Matrice_OD!Q129^2)/Param!$B$5),0)</f>
        <v>0</v>
      </c>
      <c r="R129" s="0" t="n">
        <f aca="false">IF(Matrice_OD!R129&lt;=Param!$B$2,EXP(-(Matrice_OD!R129^2)/Param!$B$5),0)</f>
        <v>0</v>
      </c>
      <c r="S129" s="0" t="n">
        <f aca="false">IF(Matrice_OD!S129&lt;=Param!$B$2,EXP(-(Matrice_OD!S129^2)/Param!$B$5),0)</f>
        <v>0</v>
      </c>
      <c r="T129" s="0" t="n">
        <f aca="false">IF(Matrice_OD!T129&lt;=Param!$B$2,EXP(-(Matrice_OD!T129^2)/Param!$B$5),0)</f>
        <v>0.02092504711101</v>
      </c>
      <c r="U129" s="0" t="n">
        <f aca="false">IF(Matrice_OD!U129&lt;=Param!$B$2,EXP(-(Matrice_OD!U129^2)/Param!$B$5),0)</f>
        <v>0.153731351226917</v>
      </c>
      <c r="V129" s="0" t="n">
        <f aca="false">IF(Matrice_OD!V129&lt;=Param!$B$2,EXP(-(Matrice_OD!V129^2)/Param!$B$5),0)</f>
        <v>0.289253085284344</v>
      </c>
      <c r="W129" s="0" t="n">
        <f aca="false">IF(Matrice_OD!W129&lt;=Param!$B$2,EXP(-(Matrice_OD!W129^2)/Param!$B$5),0)</f>
        <v>0.316713404289268</v>
      </c>
      <c r="X129" s="0" t="n">
        <f aca="false">IF(Matrice_OD!X129&lt;=Param!$B$2,EXP(-(Matrice_OD!X129^2)/Param!$B$5),0)</f>
        <v>0.339165623292208</v>
      </c>
      <c r="Y129" s="0" t="n">
        <f aca="false">IF(Matrice_OD!Y129&lt;=Param!$B$2,EXP(-(Matrice_OD!Y129^2)/Param!$B$5),0)</f>
        <v>0.338997460202484</v>
      </c>
      <c r="Z129" s="0" t="n">
        <f aca="false">IF(Matrice_OD!Z129&lt;=Param!$B$2,EXP(-(Matrice_OD!Z129^2)/Param!$B$5),0)</f>
        <v>0.334140304618534</v>
      </c>
      <c r="AA129" s="0" t="n">
        <f aca="false">IF(Matrice_OD!AA129&lt;=Param!$B$2,EXP(-(Matrice_OD!AA129^2)/Param!$B$5),0)</f>
        <v>0.342707379988702</v>
      </c>
      <c r="AB129" s="0" t="n">
        <f aca="false">IF(Matrice_OD!AB129&lt;=Param!$B$2,EXP(-(Matrice_OD!AB129^2)/Param!$B$5),0)</f>
        <v>0.363840787262771</v>
      </c>
      <c r="AC129" s="0" t="n">
        <f aca="false">IF(Matrice_OD!AC129&lt;=Param!$B$2,EXP(-(Matrice_OD!AC129^2)/Param!$B$5),0)</f>
        <v>0</v>
      </c>
      <c r="AD129" s="0" t="n">
        <f aca="false">IF(Matrice_OD!AD129&lt;=Param!$B$2,EXP(-(Matrice_OD!AD129^2)/Param!$B$5),0)</f>
        <v>0</v>
      </c>
      <c r="AE129" s="0" t="n">
        <f aca="false">IF(Matrice_OD!AE129&lt;=Param!$B$2,EXP(-(Matrice_OD!AE129^2)/Param!$B$5),0)</f>
        <v>0</v>
      </c>
      <c r="AF129" s="0" t="n">
        <f aca="false">IF(Matrice_OD!AF129&lt;=Param!$B$2,EXP(-(Matrice_OD!AF129^2)/Param!$B$5),0)</f>
        <v>0</v>
      </c>
      <c r="AG129" s="0" t="n">
        <f aca="false">IF(Matrice_OD!AG129&lt;=Param!$B$2,EXP(-(Matrice_OD!AG129^2)/Param!$B$5),0)</f>
        <v>0</v>
      </c>
      <c r="AH129" s="0" t="n">
        <f aca="false">IF(Matrice_OD!AH129&lt;=Param!$B$2,EXP(-(Matrice_OD!AH129^2)/Param!$B$5),0)</f>
        <v>0</v>
      </c>
      <c r="AI129" s="0" t="n">
        <f aca="false">IF(Matrice_OD!AI129&lt;=Param!$B$2,EXP(-(Matrice_OD!AI129^2)/Param!$B$5),0)</f>
        <v>0.0175076966183359</v>
      </c>
      <c r="AJ129" s="0" t="n">
        <f aca="false">IF(Matrice_OD!AJ129&lt;=Param!$B$2,EXP(-(Matrice_OD!AJ129^2)/Param!$B$5),0)</f>
        <v>0.325197749069664</v>
      </c>
      <c r="AK129" s="0" t="n">
        <f aca="false">IF(Matrice_OD!AK129&lt;=Param!$B$2,EXP(-(Matrice_OD!AK129^2)/Param!$B$5),0)</f>
        <v>0</v>
      </c>
      <c r="AL129" s="0" t="n">
        <f aca="false">IF(Matrice_OD!AL129&lt;=Param!$B$2,EXP(-(Matrice_OD!AL129^2)/Param!$B$5),0)</f>
        <v>0</v>
      </c>
      <c r="AM129" s="0" t="n">
        <f aca="false">IF(Matrice_OD!AM129&lt;=Param!$B$2,EXP(-(Matrice_OD!AM129^2)/Param!$B$5),0)</f>
        <v>0</v>
      </c>
      <c r="AN129" s="0" t="n">
        <f aca="false">IF(Matrice_OD!AN129&lt;=Param!$B$2,EXP(-(Matrice_OD!AN129^2)/Param!$B$5),0)</f>
        <v>0</v>
      </c>
    </row>
    <row r="130" customFormat="false" ht="15" hidden="false" customHeight="true" outlineLevel="0" collapsed="false">
      <c r="A130" s="0" t="s">
        <v>358</v>
      </c>
      <c r="B130" s="0" t="s">
        <v>359</v>
      </c>
      <c r="C130" s="0" t="n">
        <f aca="false">IF(Matrice_OD!C130&lt;=Param!$B$2,EXP(-(Matrice_OD!C130^2)/Param!$B$5),0)</f>
        <v>0</v>
      </c>
      <c r="D130" s="0" t="n">
        <f aca="false">IF(Matrice_OD!D130&lt;=Param!$B$2,EXP(-(Matrice_OD!D130^2)/Param!$B$5),0)</f>
        <v>0.0236152672184365</v>
      </c>
      <c r="E130" s="0" t="n">
        <f aca="false">IF(Matrice_OD!E130&lt;=Param!$B$2,EXP(-(Matrice_OD!E130^2)/Param!$B$5),0)</f>
        <v>0.0242324325374931</v>
      </c>
      <c r="F130" s="0" t="n">
        <f aca="false">IF(Matrice_OD!F130&lt;=Param!$B$2,EXP(-(Matrice_OD!F130^2)/Param!$B$5),0)</f>
        <v>0.0248635103514773</v>
      </c>
      <c r="G130" s="0" t="n">
        <f aca="false">IF(Matrice_OD!G130&lt;=Param!$B$2,EXP(-(Matrice_OD!G130^2)/Param!$B$5),0)</f>
        <v>0.0242101528226816</v>
      </c>
      <c r="H130" s="0" t="n">
        <f aca="false">IF(Matrice_OD!H130&lt;=Param!$B$2,EXP(-(Matrice_OD!H130^2)/Param!$B$5),0)</f>
        <v>0.0297183566334387</v>
      </c>
      <c r="I130" s="0" t="n">
        <f aca="false">IF(Matrice_OD!I130&lt;=Param!$B$2,EXP(-(Matrice_OD!I130^2)/Param!$B$5),0)</f>
        <v>0.0291909346050079</v>
      </c>
      <c r="J130" s="0" t="n">
        <f aca="false">IF(Matrice_OD!J130&lt;=Param!$B$2,EXP(-(Matrice_OD!J130^2)/Param!$B$5),0)</f>
        <v>0.0273829897718734</v>
      </c>
      <c r="K130" s="0" t="n">
        <f aca="false">IF(Matrice_OD!K130&lt;=Param!$B$2,EXP(-(Matrice_OD!K130^2)/Param!$B$5),0)</f>
        <v>0.0256488808306656</v>
      </c>
      <c r="L130" s="0" t="n">
        <f aca="false">IF(Matrice_OD!L130&lt;=Param!$B$2,EXP(-(Matrice_OD!L130^2)/Param!$B$5),0)</f>
        <v>0.0292433126790791</v>
      </c>
      <c r="M130" s="0" t="n">
        <f aca="false">IF(Matrice_OD!M130&lt;=Param!$B$2,EXP(-(Matrice_OD!M130^2)/Param!$B$5),0)</f>
        <v>0.0325658519708339</v>
      </c>
      <c r="N130" s="0" t="n">
        <f aca="false">IF(Matrice_OD!N130&lt;=Param!$B$2,EXP(-(Matrice_OD!N130^2)/Param!$B$5),0)</f>
        <v>0.0278319717747592</v>
      </c>
      <c r="O130" s="0" t="n">
        <f aca="false">IF(Matrice_OD!O130&lt;=Param!$B$2,EXP(-(Matrice_OD!O130^2)/Param!$B$5),0)</f>
        <v>0.0282363700056026</v>
      </c>
      <c r="P130" s="0" t="n">
        <f aca="false">IF(Matrice_OD!P130&lt;=Param!$B$2,EXP(-(Matrice_OD!P130^2)/Param!$B$5),0)</f>
        <v>0.0291909346050079</v>
      </c>
      <c r="Q130" s="0" t="n">
        <f aca="false">IF(Matrice_OD!Q130&lt;=Param!$B$2,EXP(-(Matrice_OD!Q130^2)/Param!$B$5),0)</f>
        <v>0.0294536325322876</v>
      </c>
      <c r="R130" s="0" t="n">
        <f aca="false">IF(Matrice_OD!R130&lt;=Param!$B$2,EXP(-(Matrice_OD!R130^2)/Param!$B$5),0)</f>
        <v>0.0289562288277908</v>
      </c>
      <c r="S130" s="0" t="n">
        <f aca="false">IF(Matrice_OD!S130&lt;=Param!$B$2,EXP(-(Matrice_OD!S130^2)/Param!$B$5),0)</f>
        <v>0.0274573841892333</v>
      </c>
      <c r="T130" s="0" t="n">
        <f aca="false">IF(Matrice_OD!T130&lt;=Param!$B$2,EXP(-(Matrice_OD!T130^2)/Param!$B$5),0)</f>
        <v>0.0425794429374499</v>
      </c>
      <c r="U130" s="0" t="n">
        <f aca="false">IF(Matrice_OD!U130&lt;=Param!$B$2,EXP(-(Matrice_OD!U130^2)/Param!$B$5),0)</f>
        <v>0.514080447695002</v>
      </c>
      <c r="V130" s="0" t="n">
        <f aca="false">IF(Matrice_OD!V130&lt;=Param!$B$2,EXP(-(Matrice_OD!V130^2)/Param!$B$5),0)</f>
        <v>0.308674684091961</v>
      </c>
      <c r="W130" s="0" t="n">
        <f aca="false">IF(Matrice_OD!W130&lt;=Param!$B$2,EXP(-(Matrice_OD!W130^2)/Param!$B$5),0)</f>
        <v>0.337150629823098</v>
      </c>
      <c r="X130" s="0" t="n">
        <f aca="false">IF(Matrice_OD!X130&lt;=Param!$B$2,EXP(-(Matrice_OD!X130^2)/Param!$B$5),0)</f>
        <v>0.360533627126509</v>
      </c>
      <c r="Y130" s="0" t="n">
        <f aca="false">IF(Matrice_OD!Y130&lt;=Param!$B$2,EXP(-(Matrice_OD!Y130^2)/Param!$B$5),0)</f>
        <v>0.360186398373372</v>
      </c>
      <c r="Z130" s="0" t="n">
        <f aca="false">IF(Matrice_OD!Z130&lt;=Param!$B$2,EXP(-(Matrice_OD!Z130^2)/Param!$B$5),0)</f>
        <v>0.355170845093644</v>
      </c>
      <c r="AA130" s="0" t="n">
        <f aca="false">IF(Matrice_OD!AA130&lt;=Param!$B$2,EXP(-(Matrice_OD!AA130^2)/Param!$B$5),0)</f>
        <v>0.364189799661721</v>
      </c>
      <c r="AB130" s="0" t="n">
        <f aca="false">IF(Matrice_OD!AB130&lt;=Param!$B$2,EXP(-(Matrice_OD!AB130^2)/Param!$B$5),0)</f>
        <v>0.385793002071694</v>
      </c>
      <c r="AC130" s="0" t="n">
        <f aca="false">IF(Matrice_OD!AC130&lt;=Param!$B$2,EXP(-(Matrice_OD!AC130^2)/Param!$B$5),0)</f>
        <v>0</v>
      </c>
      <c r="AD130" s="0" t="n">
        <f aca="false">IF(Matrice_OD!AD130&lt;=Param!$B$2,EXP(-(Matrice_OD!AD130^2)/Param!$B$5),0)</f>
        <v>0</v>
      </c>
      <c r="AE130" s="0" t="n">
        <f aca="false">IF(Matrice_OD!AE130&lt;=Param!$B$2,EXP(-(Matrice_OD!AE130^2)/Param!$B$5),0)</f>
        <v>0</v>
      </c>
      <c r="AF130" s="0" t="n">
        <f aca="false">IF(Matrice_OD!AF130&lt;=Param!$B$2,EXP(-(Matrice_OD!AF130^2)/Param!$B$5),0)</f>
        <v>0</v>
      </c>
      <c r="AG130" s="0" t="n">
        <f aca="false">IF(Matrice_OD!AG130&lt;=Param!$B$2,EXP(-(Matrice_OD!AG130^2)/Param!$B$5),0)</f>
        <v>0</v>
      </c>
      <c r="AH130" s="0" t="n">
        <f aca="false">IF(Matrice_OD!AH130&lt;=Param!$B$2,EXP(-(Matrice_OD!AH130^2)/Param!$B$5),0)</f>
        <v>0.0314892950547203</v>
      </c>
      <c r="AI130" s="0" t="n">
        <f aca="false">IF(Matrice_OD!AI130&lt;=Param!$B$2,EXP(-(Matrice_OD!AI130^2)/Param!$B$5),0)</f>
        <v>0.0362370276945552</v>
      </c>
      <c r="AJ130" s="0" t="n">
        <f aca="false">IF(Matrice_OD!AJ130&lt;=Param!$B$2,EXP(-(Matrice_OD!AJ130^2)/Param!$B$5),0)</f>
        <v>0.345928737590345</v>
      </c>
      <c r="AK130" s="0" t="n">
        <f aca="false">IF(Matrice_OD!AK130&lt;=Param!$B$2,EXP(-(Matrice_OD!AK130^2)/Param!$B$5),0)</f>
        <v>0</v>
      </c>
      <c r="AL130" s="0" t="n">
        <f aca="false">IF(Matrice_OD!AL130&lt;=Param!$B$2,EXP(-(Matrice_OD!AL130^2)/Param!$B$5),0)</f>
        <v>0</v>
      </c>
      <c r="AM130" s="0" t="n">
        <f aca="false">IF(Matrice_OD!AM130&lt;=Param!$B$2,EXP(-(Matrice_OD!AM130^2)/Param!$B$5),0)</f>
        <v>0</v>
      </c>
      <c r="AN130" s="0" t="n">
        <f aca="false">IF(Matrice_OD!AN130&lt;=Param!$B$2,EXP(-(Matrice_OD!AN130^2)/Param!$B$5),0)</f>
        <v>0</v>
      </c>
    </row>
    <row r="131" customFormat="false" ht="15" hidden="false" customHeight="true" outlineLevel="0" collapsed="false">
      <c r="A131" s="0" t="s">
        <v>360</v>
      </c>
      <c r="B131" s="0" t="s">
        <v>361</v>
      </c>
      <c r="C131" s="0" t="n">
        <f aca="false">IF(Matrice_OD!C131&lt;=Param!$B$2,EXP(-(Matrice_OD!C131^2)/Param!$B$5),0)</f>
        <v>0.0524807460249773</v>
      </c>
      <c r="D131" s="0" t="n">
        <f aca="false">IF(Matrice_OD!D131&lt;=Param!$B$2,EXP(-(Matrice_OD!D131^2)/Param!$B$5),0)</f>
        <v>0.0658634864361281</v>
      </c>
      <c r="E131" s="0" t="n">
        <f aca="false">IF(Matrice_OD!E131&lt;=Param!$B$2,EXP(-(Matrice_OD!E131^2)/Param!$B$5),0)</f>
        <v>0.0673798093437367</v>
      </c>
      <c r="F131" s="0" t="n">
        <f aca="false">IF(Matrice_OD!F131&lt;=Param!$B$2,EXP(-(Matrice_OD!F131^2)/Param!$B$5),0)</f>
        <v>0.0688170066015539</v>
      </c>
      <c r="G131" s="0" t="n">
        <f aca="false">IF(Matrice_OD!G131&lt;=Param!$B$2,EXP(-(Matrice_OD!G131^2)/Param!$B$5),0)</f>
        <v>0.0672743302314216</v>
      </c>
      <c r="H131" s="0" t="n">
        <f aca="false">IF(Matrice_OD!H131&lt;=Param!$B$2,EXP(-(Matrice_OD!H131^2)/Param!$B$5),0)</f>
        <v>0.0801333153432513</v>
      </c>
      <c r="I131" s="0" t="n">
        <f aca="false">IF(Matrice_OD!I131&lt;=Param!$B$2,EXP(-(Matrice_OD!I131^2)/Param!$B$5),0)</f>
        <v>0.0788664776009877</v>
      </c>
      <c r="J131" s="0" t="n">
        <f aca="false">IF(Matrice_OD!J131&lt;=Param!$B$2,EXP(-(Matrice_OD!J131^2)/Param!$B$5),0)</f>
        <v>0.074759479945524</v>
      </c>
      <c r="K131" s="0" t="n">
        <f aca="false">IF(Matrice_OD!K131&lt;=Param!$B$2,EXP(-(Matrice_OD!K131^2)/Param!$B$5),0)</f>
        <v>0.0707170359686204</v>
      </c>
      <c r="L131" s="0" t="n">
        <f aca="false">IF(Matrice_OD!L131&lt;=Param!$B$2,EXP(-(Matrice_OD!L131^2)/Param!$B$5),0)</f>
        <v>0.0789864315717904</v>
      </c>
      <c r="M131" s="0" t="n">
        <f aca="false">IF(Matrice_OD!M131&lt;=Param!$B$2,EXP(-(Matrice_OD!M131^2)/Param!$B$5),0)</f>
        <v>0.0865848632375855</v>
      </c>
      <c r="N131" s="0" t="n">
        <f aca="false">IF(Matrice_OD!N131&lt;=Param!$B$2,EXP(-(Matrice_OD!N131^2)/Param!$B$5),0)</f>
        <v>0.0757406731277333</v>
      </c>
      <c r="O131" s="0" t="n">
        <f aca="false">IF(Matrice_OD!O131&lt;=Param!$B$2,EXP(-(Matrice_OD!O131^2)/Param!$B$5),0)</f>
        <v>0.0767322225585778</v>
      </c>
      <c r="P131" s="0" t="n">
        <f aca="false">IF(Matrice_OD!P131&lt;=Param!$B$2,EXP(-(Matrice_OD!P131^2)/Param!$B$5),0)</f>
        <v>0.0788664776009877</v>
      </c>
      <c r="Q131" s="0" t="n">
        <f aca="false">IF(Matrice_OD!Q131&lt;=Param!$B$2,EXP(-(Matrice_OD!Q131^2)/Param!$B$5),0)</f>
        <v>0.0795280386045453</v>
      </c>
      <c r="R131" s="0" t="n">
        <f aca="false">IF(Matrice_OD!R131&lt;=Param!$B$2,EXP(-(Matrice_OD!R131^2)/Param!$B$5),0)</f>
        <v>0.0783284942188064</v>
      </c>
      <c r="S131" s="0" t="n">
        <f aca="false">IF(Matrice_OD!S131&lt;=Param!$B$2,EXP(-(Matrice_OD!S131^2)/Param!$B$5),0)</f>
        <v>0.0748743791977568</v>
      </c>
      <c r="T131" s="0" t="n">
        <f aca="false">IF(Matrice_OD!T131&lt;=Param!$B$2,EXP(-(Matrice_OD!T131^2)/Param!$B$5),0)</f>
        <v>0.336312961185399</v>
      </c>
      <c r="U131" s="0" t="n">
        <f aca="false">IF(Matrice_OD!U131&lt;=Param!$B$2,EXP(-(Matrice_OD!U131^2)/Param!$B$5),0)</f>
        <v>0.849627224007785</v>
      </c>
      <c r="V131" s="0" t="n">
        <f aca="false">IF(Matrice_OD!V131&lt;=Param!$B$2,EXP(-(Matrice_OD!V131^2)/Param!$B$5),0)</f>
        <v>0.303118018373198</v>
      </c>
      <c r="W131" s="0" t="n">
        <f aca="false">IF(Matrice_OD!W131&lt;=Param!$B$2,EXP(-(Matrice_OD!W131^2)/Param!$B$5),0)</f>
        <v>0.308834301822993</v>
      </c>
      <c r="X131" s="0" t="n">
        <f aca="false">IF(Matrice_OD!X131&lt;=Param!$B$2,EXP(-(Matrice_OD!X131^2)/Param!$B$5),0)</f>
        <v>0.324869110819906</v>
      </c>
      <c r="Y131" s="0" t="n">
        <f aca="false">IF(Matrice_OD!Y131&lt;=Param!$B$2,EXP(-(Matrice_OD!Y131^2)/Param!$B$5),0)</f>
        <v>0.31768594406377</v>
      </c>
      <c r="Z131" s="0" t="n">
        <f aca="false">IF(Matrice_OD!Z131&lt;=Param!$B$2,EXP(-(Matrice_OD!Z131^2)/Param!$B$5),0)</f>
        <v>0.307399450209722</v>
      </c>
      <c r="AA131" s="0" t="n">
        <f aca="false">IF(Matrice_OD!AA131&lt;=Param!$B$2,EXP(-(Matrice_OD!AA131^2)/Param!$B$5),0)</f>
        <v>0.334975037526435</v>
      </c>
      <c r="AB131" s="0" t="n">
        <f aca="false">IF(Matrice_OD!AB131&lt;=Param!$B$2,EXP(-(Matrice_OD!AB131^2)/Param!$B$5),0)</f>
        <v>0.32110306013568</v>
      </c>
      <c r="AC131" s="0" t="n">
        <f aca="false">IF(Matrice_OD!AC131&lt;=Param!$B$2,EXP(-(Matrice_OD!AC131^2)/Param!$B$5),0)</f>
        <v>0</v>
      </c>
      <c r="AD131" s="0" t="n">
        <f aca="false">IF(Matrice_OD!AD131&lt;=Param!$B$2,EXP(-(Matrice_OD!AD131^2)/Param!$B$5),0)</f>
        <v>0</v>
      </c>
      <c r="AE131" s="0" t="n">
        <f aca="false">IF(Matrice_OD!AE131&lt;=Param!$B$2,EXP(-(Matrice_OD!AE131^2)/Param!$B$5),0)</f>
        <v>0</v>
      </c>
      <c r="AF131" s="0" t="n">
        <f aca="false">IF(Matrice_OD!AF131&lt;=Param!$B$2,EXP(-(Matrice_OD!AF131^2)/Param!$B$5),0)</f>
        <v>0</v>
      </c>
      <c r="AG131" s="0" t="n">
        <f aca="false">IF(Matrice_OD!AG131&lt;=Param!$B$2,EXP(-(Matrice_OD!AG131^2)/Param!$B$5),0)</f>
        <v>0</v>
      </c>
      <c r="AH131" s="0" t="n">
        <f aca="false">IF(Matrice_OD!AH131&lt;=Param!$B$2,EXP(-(Matrice_OD!AH131^2)/Param!$B$5),0)</f>
        <v>0.0840950330676821</v>
      </c>
      <c r="AI131" s="0" t="n">
        <f aca="false">IF(Matrice_OD!AI131&lt;=Param!$B$2,EXP(-(Matrice_OD!AI131^2)/Param!$B$5),0)</f>
        <v>0.30565096957252</v>
      </c>
      <c r="AJ131" s="0" t="n">
        <f aca="false">IF(Matrice_OD!AJ131&lt;=Param!$B$2,EXP(-(Matrice_OD!AJ131^2)/Param!$B$5),0)</f>
        <v>0.321592894403962</v>
      </c>
      <c r="AK131" s="0" t="n">
        <f aca="false">IF(Matrice_OD!AK131&lt;=Param!$B$2,EXP(-(Matrice_OD!AK131^2)/Param!$B$5),0)</f>
        <v>0</v>
      </c>
      <c r="AL131" s="0" t="n">
        <f aca="false">IF(Matrice_OD!AL131&lt;=Param!$B$2,EXP(-(Matrice_OD!AL131^2)/Param!$B$5),0)</f>
        <v>0</v>
      </c>
      <c r="AM131" s="0" t="n">
        <f aca="false">IF(Matrice_OD!AM131&lt;=Param!$B$2,EXP(-(Matrice_OD!AM131^2)/Param!$B$5),0)</f>
        <v>0.0487304026625235</v>
      </c>
      <c r="AN131" s="0" t="n">
        <f aca="false">IF(Matrice_OD!AN131&lt;=Param!$B$2,EXP(-(Matrice_OD!AN131^2)/Param!$B$5),0)</f>
        <v>0</v>
      </c>
    </row>
    <row r="132" customFormat="false" ht="15" hidden="false" customHeight="true" outlineLevel="0" collapsed="false">
      <c r="A132" s="0" t="s">
        <v>362</v>
      </c>
      <c r="B132" s="0" t="s">
        <v>363</v>
      </c>
      <c r="C132" s="0" t="n">
        <f aca="false">IF(Matrice_OD!C132&lt;=Param!$B$2,EXP(-(Matrice_OD!C132^2)/Param!$B$5),0)</f>
        <v>0.0224425395911397</v>
      </c>
      <c r="D132" s="0" t="n">
        <f aca="false">IF(Matrice_OD!D132&lt;=Param!$B$2,EXP(-(Matrice_OD!D132^2)/Param!$B$5),0)</f>
        <v>0.127750923820235</v>
      </c>
      <c r="E132" s="0" t="n">
        <f aca="false">IF(Matrice_OD!E132&lt;=Param!$B$2,EXP(-(Matrice_OD!E132^2)/Param!$B$5),0)</f>
        <v>0.130304312780409</v>
      </c>
      <c r="F132" s="0" t="n">
        <f aca="false">IF(Matrice_OD!F132&lt;=Param!$B$2,EXP(-(Matrice_OD!F132^2)/Param!$B$5),0)</f>
        <v>0.132716052871683</v>
      </c>
      <c r="G132" s="0" t="n">
        <f aca="false">IF(Matrice_OD!G132&lt;=Param!$B$2,EXP(-(Matrice_OD!G132^2)/Param!$B$5),0)</f>
        <v>0.130215628397878</v>
      </c>
      <c r="H132" s="0" t="n">
        <f aca="false">IF(Matrice_OD!H132&lt;=Param!$B$2,EXP(-(Matrice_OD!H132^2)/Param!$B$5),0)</f>
        <v>0.151436656455152</v>
      </c>
      <c r="I132" s="0" t="n">
        <f aca="false">IF(Matrice_OD!I132&lt;=Param!$B$2,EXP(-(Matrice_OD!I132^2)/Param!$B$5),0)</f>
        <v>0.149363580569978</v>
      </c>
      <c r="J132" s="0" t="n">
        <f aca="false">IF(Matrice_OD!J132&lt;=Param!$B$2,EXP(-(Matrice_OD!J132^2)/Param!$B$5),0)</f>
        <v>0.142604460881423</v>
      </c>
      <c r="K132" s="0" t="n">
        <f aca="false">IF(Matrice_OD!K132&lt;=Param!$B$2,EXP(-(Matrice_OD!K132^2)/Param!$B$5),0)</f>
        <v>0.135892173347336</v>
      </c>
      <c r="L132" s="0" t="n">
        <f aca="false">IF(Matrice_OD!L132&lt;=Param!$B$2,EXP(-(Matrice_OD!L132^2)/Param!$B$5),0)</f>
        <v>0.149658447108476</v>
      </c>
      <c r="M132" s="0" t="n">
        <f aca="false">IF(Matrice_OD!M132&lt;=Param!$B$2,EXP(-(Matrice_OD!M132^2)/Param!$B$5),0)</f>
        <v>0.161911245031634</v>
      </c>
      <c r="N132" s="0" t="n">
        <f aca="false">IF(Matrice_OD!N132&lt;=Param!$B$2,EXP(-(Matrice_OD!N132^2)/Param!$B$5),0)</f>
        <v>0.144224686941468</v>
      </c>
      <c r="O132" s="0" t="n">
        <f aca="false">IF(Matrice_OD!O132&lt;=Param!$B$2,EXP(-(Matrice_OD!O132^2)/Param!$B$5),0)</f>
        <v>0.145858528268215</v>
      </c>
      <c r="P132" s="0" t="n">
        <f aca="false">IF(Matrice_OD!P132&lt;=Param!$B$2,EXP(-(Matrice_OD!P132^2)/Param!$B$5),0)</f>
        <v>0.149461821802909</v>
      </c>
      <c r="Q132" s="0" t="n">
        <f aca="false">IF(Matrice_OD!Q132&lt;=Param!$B$2,EXP(-(Matrice_OD!Q132^2)/Param!$B$5),0)</f>
        <v>0.150446854169335</v>
      </c>
      <c r="R132" s="0" t="n">
        <f aca="false">IF(Matrice_OD!R132&lt;=Param!$B$2,EXP(-(Matrice_OD!R132^2)/Param!$B$5),0)</f>
        <v>0.148481550453142</v>
      </c>
      <c r="S132" s="0" t="n">
        <f aca="false">IF(Matrice_OD!S132&lt;=Param!$B$2,EXP(-(Matrice_OD!S132^2)/Param!$B$5),0)</f>
        <v>0.142794370562777</v>
      </c>
      <c r="T132" s="0" t="n">
        <f aca="false">IF(Matrice_OD!T132&lt;=Param!$B$2,EXP(-(Matrice_OD!T132^2)/Param!$B$5),0)</f>
        <v>0.196578391789753</v>
      </c>
      <c r="U132" s="0" t="n">
        <f aca="false">IF(Matrice_OD!U132&lt;=Param!$B$2,EXP(-(Matrice_OD!U132^2)/Param!$B$5),0)</f>
        <v>0.905686257053105</v>
      </c>
      <c r="V132" s="0" t="n">
        <f aca="false">IF(Matrice_OD!V132&lt;=Param!$B$2,EXP(-(Matrice_OD!V132^2)/Param!$B$5),0)</f>
        <v>0.464592291794983</v>
      </c>
      <c r="W132" s="0" t="n">
        <f aca="false">IF(Matrice_OD!W132&lt;=Param!$B$2,EXP(-(Matrice_OD!W132^2)/Param!$B$5),0)</f>
        <v>0.471593705711256</v>
      </c>
      <c r="X132" s="0" t="n">
        <f aca="false">IF(Matrice_OD!X132&lt;=Param!$B$2,EXP(-(Matrice_OD!X132^2)/Param!$B$5),0)</f>
        <v>0.497354497304408</v>
      </c>
      <c r="Y132" s="0" t="n">
        <f aca="false">IF(Matrice_OD!Y132&lt;=Param!$B$2,EXP(-(Matrice_OD!Y132^2)/Param!$B$5),0)</f>
        <v>0.497156289783637</v>
      </c>
      <c r="Z132" s="0" t="n">
        <f aca="false">IF(Matrice_OD!Z132&lt;=Param!$B$2,EXP(-(Matrice_OD!Z132^2)/Param!$B$5),0)</f>
        <v>0.491418197443745</v>
      </c>
      <c r="AA132" s="0" t="n">
        <f aca="false">IF(Matrice_OD!AA132&lt;=Param!$B$2,EXP(-(Matrice_OD!AA132^2)/Param!$B$5),0)</f>
        <v>0.503112132155197</v>
      </c>
      <c r="AB132" s="0" t="n">
        <f aca="false">IF(Matrice_OD!AB132&lt;=Param!$B$2,EXP(-(Matrice_OD!AB132^2)/Param!$B$5),0)</f>
        <v>0.526112346668276</v>
      </c>
      <c r="AC132" s="0" t="n">
        <f aca="false">IF(Matrice_OD!AC132&lt;=Param!$B$2,EXP(-(Matrice_OD!AC132^2)/Param!$B$5),0)</f>
        <v>0</v>
      </c>
      <c r="AD132" s="0" t="n">
        <f aca="false">IF(Matrice_OD!AD132&lt;=Param!$B$2,EXP(-(Matrice_OD!AD132^2)/Param!$B$5),0)</f>
        <v>0</v>
      </c>
      <c r="AE132" s="0" t="n">
        <f aca="false">IF(Matrice_OD!AE132&lt;=Param!$B$2,EXP(-(Matrice_OD!AE132^2)/Param!$B$5),0)</f>
        <v>0</v>
      </c>
      <c r="AF132" s="0" t="n">
        <f aca="false">IF(Matrice_OD!AF132&lt;=Param!$B$2,EXP(-(Matrice_OD!AF132^2)/Param!$B$5),0)</f>
        <v>0</v>
      </c>
      <c r="AG132" s="0" t="n">
        <f aca="false">IF(Matrice_OD!AG132&lt;=Param!$B$2,EXP(-(Matrice_OD!AG132^2)/Param!$B$5),0)</f>
        <v>0</v>
      </c>
      <c r="AH132" s="0" t="n">
        <f aca="false">IF(Matrice_OD!AH132&lt;=Param!$B$2,EXP(-(Matrice_OD!AH132^2)/Param!$B$5),0)</f>
        <v>0.157884916576688</v>
      </c>
      <c r="AI132" s="0" t="n">
        <f aca="false">IF(Matrice_OD!AI132&lt;=Param!$B$2,EXP(-(Matrice_OD!AI132^2)/Param!$B$5),0)</f>
        <v>0.174985972130005</v>
      </c>
      <c r="AJ132" s="0" t="n">
        <f aca="false">IF(Matrice_OD!AJ132&lt;=Param!$B$2,EXP(-(Matrice_OD!AJ132^2)/Param!$B$5),0)</f>
        <v>0.48707830956661</v>
      </c>
      <c r="AK132" s="0" t="n">
        <f aca="false">IF(Matrice_OD!AK132&lt;=Param!$B$2,EXP(-(Matrice_OD!AK132^2)/Param!$B$5),0)</f>
        <v>0</v>
      </c>
      <c r="AL132" s="0" t="n">
        <f aca="false">IF(Matrice_OD!AL132&lt;=Param!$B$2,EXP(-(Matrice_OD!AL132^2)/Param!$B$5),0)</f>
        <v>0</v>
      </c>
      <c r="AM132" s="0" t="n">
        <f aca="false">IF(Matrice_OD!AM132&lt;=Param!$B$2,EXP(-(Matrice_OD!AM132^2)/Param!$B$5),0)</f>
        <v>0.0206713052998704</v>
      </c>
      <c r="AN132" s="0" t="n">
        <f aca="false">IF(Matrice_OD!AN132&lt;=Param!$B$2,EXP(-(Matrice_OD!AN132^2)/Param!$B$5),0)</f>
        <v>0</v>
      </c>
    </row>
    <row r="133" customFormat="false" ht="15" hidden="false" customHeight="true" outlineLevel="0" collapsed="false">
      <c r="A133" s="0" t="s">
        <v>364</v>
      </c>
      <c r="B133" s="0" t="s">
        <v>365</v>
      </c>
      <c r="C133" s="0" t="n">
        <f aca="false">IF(Matrice_OD!C133&lt;=Param!$B$2,EXP(-(Matrice_OD!C133^2)/Param!$B$5),0)</f>
        <v>0.022090442719584</v>
      </c>
      <c r="D133" s="0" t="n">
        <f aca="false">IF(Matrice_OD!D133&lt;=Param!$B$2,EXP(-(Matrice_OD!D133^2)/Param!$B$5),0)</f>
        <v>0.115711301312971</v>
      </c>
      <c r="E133" s="0" t="n">
        <f aca="false">IF(Matrice_OD!E133&lt;=Param!$B$2,EXP(-(Matrice_OD!E133^2)/Param!$B$5),0)</f>
        <v>0.118079718367396</v>
      </c>
      <c r="F133" s="0" t="n">
        <f aca="false">IF(Matrice_OD!F133&lt;=Param!$B$2,EXP(-(Matrice_OD!F133^2)/Param!$B$5),0)</f>
        <v>0.120318010466238</v>
      </c>
      <c r="G133" s="0" t="n">
        <f aca="false">IF(Matrice_OD!G133&lt;=Param!$B$2,EXP(-(Matrice_OD!G133^2)/Param!$B$5),0)</f>
        <v>0.11791519615109</v>
      </c>
      <c r="H133" s="0" t="n">
        <f aca="false">IF(Matrice_OD!H133&lt;=Param!$B$2,EXP(-(Matrice_OD!H133^2)/Param!$B$5),0)</f>
        <v>0.137640039988234</v>
      </c>
      <c r="I133" s="0" t="n">
        <f aca="false">IF(Matrice_OD!I133&lt;=Param!$B$2,EXP(-(Matrice_OD!I133^2)/Param!$B$5),0)</f>
        <v>0.13580064327457</v>
      </c>
      <c r="J133" s="0" t="n">
        <f aca="false">IF(Matrice_OD!J133&lt;=Param!$B$2,EXP(-(Matrice_OD!J133^2)/Param!$B$5),0)</f>
        <v>0.129419517922881</v>
      </c>
      <c r="K133" s="0" t="n">
        <f aca="false">IF(Matrice_OD!K133&lt;=Param!$B$2,EXP(-(Matrice_OD!K133^2)/Param!$B$5),0)</f>
        <v>0.123267557340333</v>
      </c>
      <c r="L133" s="0" t="n">
        <f aca="false">IF(Matrice_OD!L133&lt;=Param!$B$2,EXP(-(Matrice_OD!L133^2)/Param!$B$5),0)</f>
        <v>0.135983749649239</v>
      </c>
      <c r="M133" s="0" t="n">
        <f aca="false">IF(Matrice_OD!M133&lt;=Param!$B$2,EXP(-(Matrice_OD!M133^2)/Param!$B$5),0)</f>
        <v>0.147408740190597</v>
      </c>
      <c r="N133" s="0" t="n">
        <f aca="false">IF(Matrice_OD!N133&lt;=Param!$B$2,EXP(-(Matrice_OD!N133^2)/Param!$B$5),0)</f>
        <v>0.131015429359997</v>
      </c>
      <c r="O133" s="0" t="n">
        <f aca="false">IF(Matrice_OD!O133&lt;=Param!$B$2,EXP(-(Matrice_OD!O133^2)/Param!$B$5),0)</f>
        <v>0.132446434548624</v>
      </c>
      <c r="P133" s="0" t="n">
        <f aca="false">IF(Matrice_OD!P133&lt;=Param!$B$2,EXP(-(Matrice_OD!P133^2)/Param!$B$5),0)</f>
        <v>0.13580064327457</v>
      </c>
      <c r="Q133" s="0" t="n">
        <f aca="false">IF(Matrice_OD!Q133&lt;=Param!$B$2,EXP(-(Matrice_OD!Q133^2)/Param!$B$5),0)</f>
        <v>0.136810018377472</v>
      </c>
      <c r="R133" s="0" t="n">
        <f aca="false">IF(Matrice_OD!R133&lt;=Param!$B$2,EXP(-(Matrice_OD!R133^2)/Param!$B$5),0)</f>
        <v>0.134978951223607</v>
      </c>
      <c r="S133" s="0" t="n">
        <f aca="false">IF(Matrice_OD!S133&lt;=Param!$B$2,EXP(-(Matrice_OD!S133^2)/Param!$B$5),0)</f>
        <v>0.129684478516295</v>
      </c>
      <c r="T133" s="0" t="n">
        <f aca="false">IF(Matrice_OD!T133&lt;=Param!$B$2,EXP(-(Matrice_OD!T133^2)/Param!$B$5),0)</f>
        <v>0.194553085769591</v>
      </c>
      <c r="U133" s="0" t="n">
        <f aca="false">IF(Matrice_OD!U133&lt;=Param!$B$2,EXP(-(Matrice_OD!U133^2)/Param!$B$5),0)</f>
        <v>0.898506829935543</v>
      </c>
      <c r="V133" s="0" t="n">
        <f aca="false">IF(Matrice_OD!V133&lt;=Param!$B$2,EXP(-(Matrice_OD!V133^2)/Param!$B$5),0)</f>
        <v>0.288332177043851</v>
      </c>
      <c r="W133" s="0" t="n">
        <f aca="false">IF(Matrice_OD!W133&lt;=Param!$B$2,EXP(-(Matrice_OD!W133^2)/Param!$B$5),0)</f>
        <v>0.293728824941686</v>
      </c>
      <c r="X133" s="0" t="n">
        <f aca="false">IF(Matrice_OD!X133&lt;=Param!$B$2,EXP(-(Matrice_OD!X133^2)/Param!$B$5),0)</f>
        <v>0.309313439394802</v>
      </c>
      <c r="Y133" s="0" t="n">
        <f aca="false">IF(Matrice_OD!Y133&lt;=Param!$B$2,EXP(-(Matrice_OD!Y133^2)/Param!$B$5),0)</f>
        <v>0.302328979261987</v>
      </c>
      <c r="Z133" s="0" t="n">
        <f aca="false">IF(Matrice_OD!Z133&lt;=Param!$B$2,EXP(-(Matrice_OD!Z133^2)/Param!$B$5),0)</f>
        <v>0.292335432233193</v>
      </c>
      <c r="AA133" s="0" t="n">
        <f aca="false">IF(Matrice_OD!AA133&lt;=Param!$B$2,EXP(-(Matrice_OD!AA133^2)/Param!$B$5),0)</f>
        <v>0.319147906534233</v>
      </c>
      <c r="AB133" s="0" t="n">
        <f aca="false">IF(Matrice_OD!AB133&lt;=Param!$B$2,EXP(-(Matrice_OD!AB133^2)/Param!$B$5),0)</f>
        <v>0.312518569087453</v>
      </c>
      <c r="AC133" s="0" t="n">
        <f aca="false">IF(Matrice_OD!AC133&lt;=Param!$B$2,EXP(-(Matrice_OD!AC133^2)/Param!$B$5),0)</f>
        <v>0</v>
      </c>
      <c r="AD133" s="0" t="n">
        <f aca="false">IF(Matrice_OD!AD133&lt;=Param!$B$2,EXP(-(Matrice_OD!AD133^2)/Param!$B$5),0)</f>
        <v>0</v>
      </c>
      <c r="AE133" s="0" t="n">
        <f aca="false">IF(Matrice_OD!AE133&lt;=Param!$B$2,EXP(-(Matrice_OD!AE133^2)/Param!$B$5),0)</f>
        <v>0</v>
      </c>
      <c r="AF133" s="0" t="n">
        <f aca="false">IF(Matrice_OD!AF133&lt;=Param!$B$2,EXP(-(Matrice_OD!AF133^2)/Param!$B$5),0)</f>
        <v>0</v>
      </c>
      <c r="AG133" s="0" t="n">
        <f aca="false">IF(Matrice_OD!AG133&lt;=Param!$B$2,EXP(-(Matrice_OD!AG133^2)/Param!$B$5),0)</f>
        <v>0</v>
      </c>
      <c r="AH133" s="0" t="n">
        <f aca="false">IF(Matrice_OD!AH133&lt;=Param!$B$2,EXP(-(Matrice_OD!AH133^2)/Param!$B$5),0)</f>
        <v>0.143746738607717</v>
      </c>
      <c r="AI133" s="0" t="n">
        <f aca="false">IF(Matrice_OD!AI133&lt;=Param!$B$2,EXP(-(Matrice_OD!AI133^2)/Param!$B$5),0)</f>
        <v>0.173120203162566</v>
      </c>
      <c r="AJ133" s="0" t="n">
        <f aca="false">IF(Matrice_OD!AJ133&lt;=Param!$B$2,EXP(-(Matrice_OD!AJ133^2)/Param!$B$5),0)</f>
        <v>0.306127256936847</v>
      </c>
      <c r="AK133" s="0" t="n">
        <f aca="false">IF(Matrice_OD!AK133&lt;=Param!$B$2,EXP(-(Matrice_OD!AK133^2)/Param!$B$5),0)</f>
        <v>0</v>
      </c>
      <c r="AL133" s="0" t="n">
        <f aca="false">IF(Matrice_OD!AL133&lt;=Param!$B$2,EXP(-(Matrice_OD!AL133^2)/Param!$B$5),0)</f>
        <v>0</v>
      </c>
      <c r="AM133" s="0" t="n">
        <f aca="false">IF(Matrice_OD!AM133&lt;=Param!$B$2,EXP(-(Matrice_OD!AM133^2)/Param!$B$5),0)</f>
        <v>0.0202861671696629</v>
      </c>
      <c r="AN133" s="0" t="n">
        <f aca="false">IF(Matrice_OD!AN133&lt;=Param!$B$2,EXP(-(Matrice_OD!AN133^2)/Param!$B$5),0)</f>
        <v>0</v>
      </c>
    </row>
    <row r="134" customFormat="false" ht="15" hidden="false" customHeight="true" outlineLevel="0" collapsed="false">
      <c r="A134" s="0" t="s">
        <v>366</v>
      </c>
      <c r="B134" s="0" t="s">
        <v>367</v>
      </c>
      <c r="C134" s="0" t="n">
        <f aca="false">IF(Matrice_OD!C134&lt;=Param!$B$2,EXP(-(Matrice_OD!C134^2)/Param!$B$5),0)</f>
        <v>0</v>
      </c>
      <c r="D134" s="0" t="n">
        <f aca="false">IF(Matrice_OD!D134&lt;=Param!$B$2,EXP(-(Matrice_OD!D134^2)/Param!$B$5),0)</f>
        <v>0.0111161695048747</v>
      </c>
      <c r="E134" s="0" t="n">
        <f aca="false">IF(Matrice_OD!E134&lt;=Param!$B$2,EXP(-(Matrice_OD!E134^2)/Param!$B$5),0)</f>
        <v>0.0114465430421266</v>
      </c>
      <c r="F134" s="0" t="n">
        <f aca="false">IF(Matrice_OD!F134&lt;=Param!$B$2,EXP(-(Matrice_OD!F134^2)/Param!$B$5),0)</f>
        <v>0.0117619414271782</v>
      </c>
      <c r="G134" s="0" t="n">
        <f aca="false">IF(Matrice_OD!G134&lt;=Param!$B$2,EXP(-(Matrice_OD!G134^2)/Param!$B$5),0)</f>
        <v>0.0114350072539781</v>
      </c>
      <c r="H134" s="0" t="n">
        <f aca="false">IF(Matrice_OD!H134&lt;=Param!$B$2,EXP(-(Matrice_OD!H134^2)/Param!$B$5),0)</f>
        <v>0.0143201170523662</v>
      </c>
      <c r="I134" s="0" t="n">
        <f aca="false">IF(Matrice_OD!I134&lt;=Param!$B$2,EXP(-(Matrice_OD!I134^2)/Param!$B$5),0)</f>
        <v>0.0140272844851868</v>
      </c>
      <c r="J134" s="0" t="n">
        <f aca="false">IF(Matrice_OD!J134&lt;=Param!$B$2,EXP(-(Matrice_OD!J134^2)/Param!$B$5),0)</f>
        <v>0.0130889992989162</v>
      </c>
      <c r="K134" s="0" t="n">
        <f aca="false">IF(Matrice_OD!K134&lt;=Param!$B$2,EXP(-(Matrice_OD!K134^2)/Param!$B$5),0)</f>
        <v>0.0121822575758413</v>
      </c>
      <c r="L134" s="0" t="n">
        <f aca="false">IF(Matrice_OD!L134&lt;=Param!$B$2,EXP(-(Matrice_OD!L134^2)/Param!$B$5),0)</f>
        <v>0.0140687913930606</v>
      </c>
      <c r="M134" s="0" t="n">
        <f aca="false">IF(Matrice_OD!M134&lt;=Param!$B$2,EXP(-(Matrice_OD!M134^2)/Param!$B$5),0)</f>
        <v>0.0158358528224632</v>
      </c>
      <c r="N134" s="0" t="n">
        <f aca="false">IF(Matrice_OD!N134&lt;=Param!$B$2,EXP(-(Matrice_OD!N134^2)/Param!$B$5),0)</f>
        <v>0.0133116140079485</v>
      </c>
      <c r="O134" s="0" t="n">
        <f aca="false">IF(Matrice_OD!O134&lt;=Param!$B$2,EXP(-(Matrice_OD!O134^2)/Param!$B$5),0)</f>
        <v>0.0135375700237664</v>
      </c>
      <c r="P134" s="0" t="n">
        <f aca="false">IF(Matrice_OD!P134&lt;=Param!$B$2,EXP(-(Matrice_OD!P134^2)/Param!$B$5),0)</f>
        <v>0.0140411080935132</v>
      </c>
      <c r="Q134" s="0" t="n">
        <f aca="false">IF(Matrice_OD!Q134&lt;=Param!$B$2,EXP(-(Matrice_OD!Q134^2)/Param!$B$5),0)</f>
        <v>0.014180006974097</v>
      </c>
      <c r="R134" s="0" t="n">
        <f aca="false">IF(Matrice_OD!R134&lt;=Param!$B$2,EXP(-(Matrice_OD!R134^2)/Param!$B$5),0)</f>
        <v>0.0139034116897373</v>
      </c>
      <c r="S134" s="0" t="n">
        <f aca="false">IF(Matrice_OD!S134&lt;=Param!$B$2,EXP(-(Matrice_OD!S134^2)/Param!$B$5),0)</f>
        <v>0.0131150171910914</v>
      </c>
      <c r="T134" s="0" t="n">
        <f aca="false">IF(Matrice_OD!T134&lt;=Param!$B$2,EXP(-(Matrice_OD!T134^2)/Param!$B$5),0)</f>
        <v>0.0307703698280248</v>
      </c>
      <c r="U134" s="0" t="n">
        <f aca="false">IF(Matrice_OD!U134&lt;=Param!$B$2,EXP(-(Matrice_OD!U134^2)/Param!$B$5),0)</f>
        <v>0.44095517565448</v>
      </c>
      <c r="V134" s="0" t="n">
        <f aca="false">IF(Matrice_OD!V134&lt;=Param!$B$2,EXP(-(Matrice_OD!V134^2)/Param!$B$5),0)</f>
        <v>0.121323150371005</v>
      </c>
      <c r="W134" s="0" t="n">
        <f aca="false">IF(Matrice_OD!W134&lt;=Param!$B$2,EXP(-(Matrice_OD!W134^2)/Param!$B$5),0)</f>
        <v>0.124377013210907</v>
      </c>
      <c r="X134" s="0" t="n">
        <f aca="false">IF(Matrice_OD!X134&lt;=Param!$B$2,EXP(-(Matrice_OD!X134^2)/Param!$B$5),0)</f>
        <v>0.133076186092803</v>
      </c>
      <c r="Y134" s="0" t="n">
        <f aca="false">IF(Matrice_OD!Y134&lt;=Param!$B$2,EXP(-(Matrice_OD!Y134^2)/Param!$B$5),0)</f>
        <v>0.12906687357042</v>
      </c>
      <c r="Z134" s="0" t="n">
        <f aca="false">IF(Matrice_OD!Z134&lt;=Param!$B$2,EXP(-(Matrice_OD!Z134^2)/Param!$B$5),0)</f>
        <v>0.12352291468624</v>
      </c>
      <c r="AA134" s="0" t="n">
        <f aca="false">IF(Matrice_OD!AA134&lt;=Param!$B$2,EXP(-(Matrice_OD!AA134^2)/Param!$B$5),0)</f>
        <v>0.138566696789582</v>
      </c>
      <c r="AB134" s="0" t="n">
        <f aca="false">IF(Matrice_OD!AB134&lt;=Param!$B$2,EXP(-(Matrice_OD!AB134^2)/Param!$B$5),0)</f>
        <v>0.130926380094382</v>
      </c>
      <c r="AC134" s="0" t="n">
        <f aca="false">IF(Matrice_OD!AC134&lt;=Param!$B$2,EXP(-(Matrice_OD!AC134^2)/Param!$B$5),0)</f>
        <v>0</v>
      </c>
      <c r="AD134" s="0" t="n">
        <f aca="false">IF(Matrice_OD!AD134&lt;=Param!$B$2,EXP(-(Matrice_OD!AD134^2)/Param!$B$5),0)</f>
        <v>0</v>
      </c>
      <c r="AE134" s="0" t="n">
        <f aca="false">IF(Matrice_OD!AE134&lt;=Param!$B$2,EXP(-(Matrice_OD!AE134^2)/Param!$B$5),0)</f>
        <v>0</v>
      </c>
      <c r="AF134" s="0" t="n">
        <f aca="false">IF(Matrice_OD!AF134&lt;=Param!$B$2,EXP(-(Matrice_OD!AF134^2)/Param!$B$5),0)</f>
        <v>0</v>
      </c>
      <c r="AG134" s="0" t="n">
        <f aca="false">IF(Matrice_OD!AG134&lt;=Param!$B$2,EXP(-(Matrice_OD!AG134^2)/Param!$B$5),0)</f>
        <v>0</v>
      </c>
      <c r="AH134" s="0" t="n">
        <f aca="false">IF(Matrice_OD!AH134&lt;=Param!$B$2,EXP(-(Matrice_OD!AH134^2)/Param!$B$5),0)</f>
        <v>0.0152460879149063</v>
      </c>
      <c r="AI134" s="0" t="n">
        <f aca="false">IF(Matrice_OD!AI134&lt;=Param!$B$2,EXP(-(Matrice_OD!AI134^2)/Param!$B$5),0)</f>
        <v>0.0259784425653228</v>
      </c>
      <c r="AJ134" s="0" t="n">
        <f aca="false">IF(Matrice_OD!AJ134&lt;=Param!$B$2,EXP(-(Matrice_OD!AJ134^2)/Param!$B$5),0)</f>
        <v>0.131282851154102</v>
      </c>
      <c r="AK134" s="0" t="n">
        <f aca="false">IF(Matrice_OD!AK134&lt;=Param!$B$2,EXP(-(Matrice_OD!AK134^2)/Param!$B$5),0)</f>
        <v>0</v>
      </c>
      <c r="AL134" s="0" t="n">
        <f aca="false">IF(Matrice_OD!AL134&lt;=Param!$B$2,EXP(-(Matrice_OD!AL134^2)/Param!$B$5),0)</f>
        <v>0</v>
      </c>
      <c r="AM134" s="0" t="n">
        <f aca="false">IF(Matrice_OD!AM134&lt;=Param!$B$2,EXP(-(Matrice_OD!AM134^2)/Param!$B$5),0)</f>
        <v>0</v>
      </c>
      <c r="AN134" s="0" t="n">
        <f aca="false">IF(Matrice_OD!AN134&lt;=Param!$B$2,EXP(-(Matrice_OD!AN134^2)/Param!$B$5),0)</f>
        <v>0</v>
      </c>
    </row>
    <row r="135" customFormat="false" ht="15" hidden="false" customHeight="true" outlineLevel="0" collapsed="false">
      <c r="A135" s="0" t="s">
        <v>368</v>
      </c>
      <c r="B135" s="0" t="s">
        <v>369</v>
      </c>
      <c r="C135" s="0" t="n">
        <f aca="false">IF(Matrice_OD!C135&lt;=Param!$B$2,EXP(-(Matrice_OD!C135^2)/Param!$B$5),0)</f>
        <v>0</v>
      </c>
      <c r="D135" s="0" t="n">
        <f aca="false">IF(Matrice_OD!D135&lt;=Param!$B$2,EXP(-(Matrice_OD!D135^2)/Param!$B$5),0)</f>
        <v>0</v>
      </c>
      <c r="E135" s="0" t="n">
        <f aca="false">IF(Matrice_OD!E135&lt;=Param!$B$2,EXP(-(Matrice_OD!E135^2)/Param!$B$5),0)</f>
        <v>0</v>
      </c>
      <c r="F135" s="0" t="n">
        <f aca="false">IF(Matrice_OD!F135&lt;=Param!$B$2,EXP(-(Matrice_OD!F135^2)/Param!$B$5),0)</f>
        <v>0</v>
      </c>
      <c r="G135" s="0" t="n">
        <f aca="false">IF(Matrice_OD!G135&lt;=Param!$B$2,EXP(-(Matrice_OD!G135^2)/Param!$B$5),0)</f>
        <v>0</v>
      </c>
      <c r="H135" s="0" t="n">
        <f aca="false">IF(Matrice_OD!H135&lt;=Param!$B$2,EXP(-(Matrice_OD!H135^2)/Param!$B$5),0)</f>
        <v>0.0103217669560703</v>
      </c>
      <c r="I135" s="0" t="n">
        <f aca="false">IF(Matrice_OD!I135&lt;=Param!$B$2,EXP(-(Matrice_OD!I135^2)/Param!$B$5),0)</f>
        <v>0.0101131372487278</v>
      </c>
      <c r="J135" s="0" t="n">
        <f aca="false">IF(Matrice_OD!J135&lt;=Param!$B$2,EXP(-(Matrice_OD!J135^2)/Param!$B$5),0)</f>
        <v>0</v>
      </c>
      <c r="K135" s="0" t="n">
        <f aca="false">IF(Matrice_OD!K135&lt;=Param!$B$2,EXP(-(Matrice_OD!K135^2)/Param!$B$5),0)</f>
        <v>0</v>
      </c>
      <c r="L135" s="0" t="n">
        <f aca="false">IF(Matrice_OD!L135&lt;=Param!$B$2,EXP(-(Matrice_OD!L135^2)/Param!$B$5),0)</f>
        <v>0.0101338297766189</v>
      </c>
      <c r="M135" s="0" t="n">
        <f aca="false">IF(Matrice_OD!M135&lt;=Param!$B$2,EXP(-(Matrice_OD!M135^2)/Param!$B$5),0)</f>
        <v>0.011458089164857</v>
      </c>
      <c r="N135" s="0" t="n">
        <f aca="false">IF(Matrice_OD!N135&lt;=Param!$B$2,EXP(-(Matrice_OD!N135^2)/Param!$B$5),0)</f>
        <v>0</v>
      </c>
      <c r="O135" s="0" t="n">
        <f aca="false">IF(Matrice_OD!O135&lt;=Param!$B$2,EXP(-(Matrice_OD!O135^2)/Param!$B$5),0)</f>
        <v>0</v>
      </c>
      <c r="P135" s="0" t="n">
        <f aca="false">IF(Matrice_OD!P135&lt;=Param!$B$2,EXP(-(Matrice_OD!P135^2)/Param!$B$5),0)</f>
        <v>0.0101131372487278</v>
      </c>
      <c r="Q135" s="0" t="n">
        <f aca="false">IF(Matrice_OD!Q135&lt;=Param!$B$2,EXP(-(Matrice_OD!Q135^2)/Param!$B$5),0)</f>
        <v>0.0102169776758058</v>
      </c>
      <c r="R135" s="0" t="n">
        <f aca="false">IF(Matrice_OD!R135&lt;=Param!$B$2,EXP(-(Matrice_OD!R135^2)/Param!$B$5),0)</f>
        <v>0.0100102383806321</v>
      </c>
      <c r="S135" s="0" t="n">
        <f aca="false">IF(Matrice_OD!S135&lt;=Param!$B$2,EXP(-(Matrice_OD!S135^2)/Param!$B$5),0)</f>
        <v>0</v>
      </c>
      <c r="T135" s="0" t="n">
        <f aca="false">IF(Matrice_OD!T135&lt;=Param!$B$2,EXP(-(Matrice_OD!T135^2)/Param!$B$5),0)</f>
        <v>0.0175918337094476</v>
      </c>
      <c r="U135" s="0" t="n">
        <f aca="false">IF(Matrice_OD!U135&lt;=Param!$B$2,EXP(-(Matrice_OD!U135^2)/Param!$B$5),0)</f>
        <v>0.326678901403809</v>
      </c>
      <c r="V135" s="0" t="n">
        <f aca="false">IF(Matrice_OD!V135&lt;=Param!$B$2,EXP(-(Matrice_OD!V135^2)/Param!$B$5),0)</f>
        <v>0.03314497937344</v>
      </c>
      <c r="W135" s="0" t="n">
        <f aca="false">IF(Matrice_OD!W135&lt;=Param!$B$2,EXP(-(Matrice_OD!W135^2)/Param!$B$5),0)</f>
        <v>0.0376446346371996</v>
      </c>
      <c r="X135" s="0" t="n">
        <f aca="false">IF(Matrice_OD!X135&lt;=Param!$B$2,EXP(-(Matrice_OD!X135^2)/Param!$B$5),0)</f>
        <v>0.0422916656525332</v>
      </c>
      <c r="Y135" s="0" t="n">
        <f aca="false">IF(Matrice_OD!Y135&lt;=Param!$B$2,EXP(-(Matrice_OD!Y135^2)/Param!$B$5),0)</f>
        <v>0.0422199777404955</v>
      </c>
      <c r="Z135" s="0" t="n">
        <f aca="false">IF(Matrice_OD!Z135&lt;=Param!$B$2,EXP(-(Matrice_OD!Z135^2)/Param!$B$5),0)</f>
        <v>0.0411919494327072</v>
      </c>
      <c r="AA135" s="0" t="n">
        <f aca="false">IF(Matrice_OD!AA135&lt;=Param!$B$2,EXP(-(Matrice_OD!AA135^2)/Param!$B$5),0)</f>
        <v>0.0430505952281497</v>
      </c>
      <c r="AB135" s="0" t="n">
        <f aca="false">IF(Matrice_OD!AB135&lt;=Param!$B$2,EXP(-(Matrice_OD!AB135^2)/Param!$B$5),0)</f>
        <v>0.0477292453650744</v>
      </c>
      <c r="AC135" s="0" t="n">
        <f aca="false">IF(Matrice_OD!AC135&lt;=Param!$B$2,EXP(-(Matrice_OD!AC135^2)/Param!$B$5),0)</f>
        <v>0</v>
      </c>
      <c r="AD135" s="0" t="n">
        <f aca="false">IF(Matrice_OD!AD135&lt;=Param!$B$2,EXP(-(Matrice_OD!AD135^2)/Param!$B$5),0)</f>
        <v>0</v>
      </c>
      <c r="AE135" s="0" t="n">
        <f aca="false">IF(Matrice_OD!AE135&lt;=Param!$B$2,EXP(-(Matrice_OD!AE135^2)/Param!$B$5),0)</f>
        <v>0</v>
      </c>
      <c r="AF135" s="0" t="n">
        <f aca="false">IF(Matrice_OD!AF135&lt;=Param!$B$2,EXP(-(Matrice_OD!AF135^2)/Param!$B$5),0)</f>
        <v>0</v>
      </c>
      <c r="AG135" s="0" t="n">
        <f aca="false">IF(Matrice_OD!AG135&lt;=Param!$B$2,EXP(-(Matrice_OD!AG135^2)/Param!$B$5),0)</f>
        <v>0</v>
      </c>
      <c r="AH135" s="0" t="n">
        <f aca="false">IF(Matrice_OD!AH135&lt;=Param!$B$2,EXP(-(Matrice_OD!AH135^2)/Param!$B$5),0)</f>
        <v>0.011026536289355</v>
      </c>
      <c r="AI135" s="0" t="n">
        <f aca="false">IF(Matrice_OD!AI135&lt;=Param!$B$2,EXP(-(Matrice_OD!AI135^2)/Param!$B$5),0)</f>
        <v>0.0146613754736886</v>
      </c>
      <c r="AJ135" s="0" t="n">
        <f aca="false">IF(Matrice_OD!AJ135&lt;=Param!$B$2,EXP(-(Matrice_OD!AJ135^2)/Param!$B$5),0)</f>
        <v>0.0393339002734639</v>
      </c>
      <c r="AK135" s="0" t="n">
        <f aca="false">IF(Matrice_OD!AK135&lt;=Param!$B$2,EXP(-(Matrice_OD!AK135^2)/Param!$B$5),0)</f>
        <v>0</v>
      </c>
      <c r="AL135" s="0" t="n">
        <f aca="false">IF(Matrice_OD!AL135&lt;=Param!$B$2,EXP(-(Matrice_OD!AL135^2)/Param!$B$5),0)</f>
        <v>0</v>
      </c>
      <c r="AM135" s="0" t="n">
        <f aca="false">IF(Matrice_OD!AM135&lt;=Param!$B$2,EXP(-(Matrice_OD!AM135^2)/Param!$B$5),0)</f>
        <v>0</v>
      </c>
      <c r="AN135" s="0" t="n">
        <f aca="false">IF(Matrice_OD!AN135&lt;=Param!$B$2,EXP(-(Matrice_OD!AN135^2)/Param!$B$5),0)</f>
        <v>0</v>
      </c>
    </row>
    <row r="136" customFormat="false" ht="15" hidden="false" customHeight="true" outlineLevel="0" collapsed="false">
      <c r="A136" s="0" t="s">
        <v>370</v>
      </c>
      <c r="B136" s="0" t="s">
        <v>371</v>
      </c>
      <c r="C136" s="0" t="n">
        <f aca="false">IF(Matrice_OD!C136&lt;=Param!$B$2,EXP(-(Matrice_OD!C136^2)/Param!$B$5),0)</f>
        <v>0</v>
      </c>
      <c r="D136" s="0" t="n">
        <f aca="false">IF(Matrice_OD!D136&lt;=Param!$B$2,EXP(-(Matrice_OD!D136^2)/Param!$B$5),0)</f>
        <v>0</v>
      </c>
      <c r="E136" s="0" t="n">
        <f aca="false">IF(Matrice_OD!E136&lt;=Param!$B$2,EXP(-(Matrice_OD!E136^2)/Param!$B$5),0)</f>
        <v>0</v>
      </c>
      <c r="F136" s="0" t="n">
        <f aca="false">IF(Matrice_OD!F136&lt;=Param!$B$2,EXP(-(Matrice_OD!F136^2)/Param!$B$5),0)</f>
        <v>0</v>
      </c>
      <c r="G136" s="0" t="n">
        <f aca="false">IF(Matrice_OD!G136&lt;=Param!$B$2,EXP(-(Matrice_OD!G136^2)/Param!$B$5),0)</f>
        <v>0</v>
      </c>
      <c r="H136" s="0" t="n">
        <f aca="false">IF(Matrice_OD!H136&lt;=Param!$B$2,EXP(-(Matrice_OD!H136^2)/Param!$B$5),0)</f>
        <v>0</v>
      </c>
      <c r="I136" s="0" t="n">
        <f aca="false">IF(Matrice_OD!I136&lt;=Param!$B$2,EXP(-(Matrice_OD!I136^2)/Param!$B$5),0)</f>
        <v>0</v>
      </c>
      <c r="J136" s="0" t="n">
        <f aca="false">IF(Matrice_OD!J136&lt;=Param!$B$2,EXP(-(Matrice_OD!J136^2)/Param!$B$5),0)</f>
        <v>0</v>
      </c>
      <c r="K136" s="0" t="n">
        <f aca="false">IF(Matrice_OD!K136&lt;=Param!$B$2,EXP(-(Matrice_OD!K136^2)/Param!$B$5),0)</f>
        <v>0</v>
      </c>
      <c r="L136" s="0" t="n">
        <f aca="false">IF(Matrice_OD!L136&lt;=Param!$B$2,EXP(-(Matrice_OD!L136^2)/Param!$B$5),0)</f>
        <v>0</v>
      </c>
      <c r="M136" s="0" t="n">
        <f aca="false">IF(Matrice_OD!M136&lt;=Param!$B$2,EXP(-(Matrice_OD!M136^2)/Param!$B$5),0)</f>
        <v>0</v>
      </c>
      <c r="N136" s="0" t="n">
        <f aca="false">IF(Matrice_OD!N136&lt;=Param!$B$2,EXP(-(Matrice_OD!N136^2)/Param!$B$5),0)</f>
        <v>0</v>
      </c>
      <c r="O136" s="0" t="n">
        <f aca="false">IF(Matrice_OD!O136&lt;=Param!$B$2,EXP(-(Matrice_OD!O136^2)/Param!$B$5),0)</f>
        <v>0</v>
      </c>
      <c r="P136" s="0" t="n">
        <f aca="false">IF(Matrice_OD!P136&lt;=Param!$B$2,EXP(-(Matrice_OD!P136^2)/Param!$B$5),0)</f>
        <v>0</v>
      </c>
      <c r="Q136" s="0" t="n">
        <f aca="false">IF(Matrice_OD!Q136&lt;=Param!$B$2,EXP(-(Matrice_OD!Q136^2)/Param!$B$5),0)</f>
        <v>0</v>
      </c>
      <c r="R136" s="0" t="n">
        <f aca="false">IF(Matrice_OD!R136&lt;=Param!$B$2,EXP(-(Matrice_OD!R136^2)/Param!$B$5),0)</f>
        <v>0</v>
      </c>
      <c r="S136" s="0" t="n">
        <f aca="false">IF(Matrice_OD!S136&lt;=Param!$B$2,EXP(-(Matrice_OD!S136^2)/Param!$B$5),0)</f>
        <v>0</v>
      </c>
      <c r="T136" s="0" t="n">
        <f aca="false">IF(Matrice_OD!T136&lt;=Param!$B$2,EXP(-(Matrice_OD!T136^2)/Param!$B$5),0)</f>
        <v>0</v>
      </c>
      <c r="U136" s="0" t="n">
        <f aca="false">IF(Matrice_OD!U136&lt;=Param!$B$2,EXP(-(Matrice_OD!U136^2)/Param!$B$5),0)</f>
        <v>0.230038796287037</v>
      </c>
      <c r="V136" s="0" t="n">
        <f aca="false">IF(Matrice_OD!V136&lt;=Param!$B$2,EXP(-(Matrice_OD!V136^2)/Param!$B$5),0)</f>
        <v>0.0215008781288546</v>
      </c>
      <c r="W136" s="0" t="n">
        <f aca="false">IF(Matrice_OD!W136&lt;=Param!$B$2,EXP(-(Matrice_OD!W136^2)/Param!$B$5),0)</f>
        <v>0.0242101528226816</v>
      </c>
      <c r="X136" s="0" t="n">
        <f aca="false">IF(Matrice_OD!X136&lt;=Param!$B$2,EXP(-(Matrice_OD!X136^2)/Param!$B$5),0)</f>
        <v>0.0274077686040189</v>
      </c>
      <c r="Y136" s="0" t="n">
        <f aca="false">IF(Matrice_OD!Y136&lt;=Param!$B$2,EXP(-(Matrice_OD!Y136^2)/Param!$B$5),0)</f>
        <v>0.0273582302309422</v>
      </c>
      <c r="Z136" s="0" t="n">
        <f aca="false">IF(Matrice_OD!Z136&lt;=Param!$B$2,EXP(-(Matrice_OD!Z136^2)/Param!$B$5),0)</f>
        <v>0.0266485422441066</v>
      </c>
      <c r="AA136" s="0" t="n">
        <f aca="false">IF(Matrice_OD!AA136&lt;=Param!$B$2,EXP(-(Matrice_OD!AA136^2)/Param!$B$5),0)</f>
        <v>0.0279326013172725</v>
      </c>
      <c r="AB136" s="0" t="n">
        <f aca="false">IF(Matrice_OD!AB136&lt;=Param!$B$2,EXP(-(Matrice_OD!AB136^2)/Param!$B$5),0)</f>
        <v>0.0311833993680745</v>
      </c>
      <c r="AC136" s="0" t="n">
        <f aca="false">IF(Matrice_OD!AC136&lt;=Param!$B$2,EXP(-(Matrice_OD!AC136^2)/Param!$B$5),0)</f>
        <v>0</v>
      </c>
      <c r="AD136" s="0" t="n">
        <f aca="false">IF(Matrice_OD!AD136&lt;=Param!$B$2,EXP(-(Matrice_OD!AD136^2)/Param!$B$5),0)</f>
        <v>0</v>
      </c>
      <c r="AE136" s="0" t="n">
        <f aca="false">IF(Matrice_OD!AE136&lt;=Param!$B$2,EXP(-(Matrice_OD!AE136^2)/Param!$B$5),0)</f>
        <v>0</v>
      </c>
      <c r="AF136" s="0" t="n">
        <f aca="false">IF(Matrice_OD!AF136&lt;=Param!$B$2,EXP(-(Matrice_OD!AF136^2)/Param!$B$5),0)</f>
        <v>0</v>
      </c>
      <c r="AG136" s="0" t="n">
        <f aca="false">IF(Matrice_OD!AG136&lt;=Param!$B$2,EXP(-(Matrice_OD!AG136^2)/Param!$B$5),0)</f>
        <v>0</v>
      </c>
      <c r="AH136" s="0" t="n">
        <f aca="false">IF(Matrice_OD!AH136&lt;=Param!$B$2,EXP(-(Matrice_OD!AH136^2)/Param!$B$5),0)</f>
        <v>0</v>
      </c>
      <c r="AI136" s="0" t="n">
        <f aca="false">IF(Matrice_OD!AI136&lt;=Param!$B$2,EXP(-(Matrice_OD!AI136^2)/Param!$B$5),0)</f>
        <v>0</v>
      </c>
      <c r="AJ136" s="0" t="n">
        <f aca="false">IF(Matrice_OD!AJ136&lt;=Param!$B$2,EXP(-(Matrice_OD!AJ136^2)/Param!$B$5),0)</f>
        <v>0.0253692789296682</v>
      </c>
      <c r="AK136" s="0" t="n">
        <f aca="false">IF(Matrice_OD!AK136&lt;=Param!$B$2,EXP(-(Matrice_OD!AK136^2)/Param!$B$5),0)</f>
        <v>0</v>
      </c>
      <c r="AL136" s="0" t="n">
        <f aca="false">IF(Matrice_OD!AL136&lt;=Param!$B$2,EXP(-(Matrice_OD!AL136^2)/Param!$B$5),0)</f>
        <v>0</v>
      </c>
      <c r="AM136" s="0" t="n">
        <f aca="false">IF(Matrice_OD!AM136&lt;=Param!$B$2,EXP(-(Matrice_OD!AM136^2)/Param!$B$5),0)</f>
        <v>0</v>
      </c>
      <c r="AN136" s="0" t="n">
        <f aca="false">IF(Matrice_OD!AN136&lt;=Param!$B$2,EXP(-(Matrice_OD!AN136^2)/Param!$B$5),0)</f>
        <v>0</v>
      </c>
    </row>
    <row r="137" customFormat="false" ht="19.5" hidden="false" customHeight="true" outlineLevel="0" collapsed="false">
      <c r="A137" s="34" t="s">
        <v>434</v>
      </c>
      <c r="B137" s="34"/>
      <c r="C137" s="34"/>
      <c r="D137" s="34"/>
      <c r="E137" s="34"/>
      <c r="F137" s="34"/>
    </row>
    <row r="138" customFormat="false" ht="30" hidden="false" customHeight="true" outlineLevel="0" collapsed="false">
      <c r="A138" s="35" t="s">
        <v>435</v>
      </c>
      <c r="B138" s="35"/>
      <c r="C138" s="35"/>
      <c r="D138" s="35"/>
      <c r="E138" s="35"/>
      <c r="F138" s="35"/>
    </row>
    <row r="139" customFormat="false" ht="18" hidden="false" customHeight="true" outlineLevel="0" collapsed="false">
      <c r="A139" s="36" t="s">
        <v>436</v>
      </c>
      <c r="B139" s="36"/>
      <c r="C139" s="36"/>
      <c r="D139" s="36"/>
      <c r="E139" s="36"/>
      <c r="F139" s="36"/>
    </row>
    <row r="140" customFormat="false" ht="18" hidden="false" customHeight="true" outlineLevel="0" collapsed="false">
      <c r="A140" s="36" t="s">
        <v>437</v>
      </c>
      <c r="B140" s="36"/>
      <c r="C140" s="36"/>
      <c r="D140" s="36"/>
      <c r="E140" s="36"/>
      <c r="F140" s="36"/>
    </row>
    <row r="141" customFormat="false" ht="18" hidden="false" customHeight="true" outlineLevel="0" collapsed="false">
      <c r="A141" s="36" t="s">
        <v>438</v>
      </c>
      <c r="B141" s="36"/>
      <c r="C141" s="36"/>
      <c r="D141" s="36"/>
      <c r="E141" s="36"/>
      <c r="F141" s="36"/>
    </row>
    <row r="142" customFormat="false" ht="18" hidden="false" customHeight="true" outlineLevel="0" collapsed="false">
      <c r="A142" s="36" t="s">
        <v>439</v>
      </c>
      <c r="B142" s="36"/>
      <c r="C142" s="36"/>
      <c r="D142" s="36"/>
      <c r="E142" s="36"/>
      <c r="F142" s="36"/>
    </row>
    <row r="143" customFormat="false" ht="18" hidden="false" customHeight="true" outlineLevel="0" collapsed="false">
      <c r="A143" s="36" t="s">
        <v>440</v>
      </c>
      <c r="B143" s="36"/>
      <c r="C143" s="36"/>
      <c r="D143" s="36"/>
      <c r="E143" s="36"/>
      <c r="F143" s="36"/>
    </row>
    <row r="144" customFormat="false" ht="18" hidden="false" customHeight="true" outlineLevel="0" collapsed="false">
      <c r="A144" s="36" t="s">
        <v>441</v>
      </c>
      <c r="B144" s="36"/>
      <c r="C144" s="36"/>
      <c r="D144" s="36"/>
      <c r="E144" s="36"/>
      <c r="F144" s="36"/>
    </row>
    <row r="145" customFormat="false" ht="18" hidden="false" customHeight="true" outlineLevel="0" collapsed="false">
      <c r="A145" s="36" t="s">
        <v>442</v>
      </c>
      <c r="B145" s="36"/>
      <c r="C145" s="36"/>
      <c r="D145" s="36"/>
      <c r="E145" s="36"/>
      <c r="F145" s="36"/>
    </row>
  </sheetData>
  <mergeCells count="9">
    <mergeCell ref="A137:F137"/>
    <mergeCell ref="A138:F138"/>
    <mergeCell ref="A139:F139"/>
    <mergeCell ref="A140:F140"/>
    <mergeCell ref="A141:F141"/>
    <mergeCell ref="A142:F142"/>
    <mergeCell ref="A143:F143"/>
    <mergeCell ref="A144:F144"/>
    <mergeCell ref="A145:F1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sheetData>
    <row r="1" customFormat="false" ht="79.5" hidden="false" customHeight="true" outlineLevel="0" collapsed="false">
      <c r="A1" s="31" t="s">
        <v>99</v>
      </c>
      <c r="B1" s="31" t="s">
        <v>100</v>
      </c>
      <c r="C1" s="31" t="s">
        <v>378</v>
      </c>
      <c r="D1" s="31" t="s">
        <v>380</v>
      </c>
      <c r="E1" s="31" t="s">
        <v>381</v>
      </c>
      <c r="F1" s="31" t="s">
        <v>382</v>
      </c>
      <c r="G1" s="31" t="s">
        <v>383</v>
      </c>
      <c r="H1" s="31" t="s">
        <v>384</v>
      </c>
      <c r="I1" s="31" t="s">
        <v>385</v>
      </c>
      <c r="J1" s="31" t="s">
        <v>386</v>
      </c>
      <c r="K1" s="31" t="s">
        <v>387</v>
      </c>
      <c r="L1" s="31" t="s">
        <v>388</v>
      </c>
      <c r="M1" s="31" t="s">
        <v>389</v>
      </c>
      <c r="N1" s="31" t="s">
        <v>390</v>
      </c>
      <c r="O1" s="31" t="s">
        <v>391</v>
      </c>
      <c r="P1" s="31" t="s">
        <v>392</v>
      </c>
      <c r="Q1" s="31" t="s">
        <v>393</v>
      </c>
      <c r="R1" s="31" t="s">
        <v>394</v>
      </c>
      <c r="S1" s="31" t="s">
        <v>395</v>
      </c>
      <c r="T1" s="31" t="s">
        <v>396</v>
      </c>
      <c r="U1" s="31" t="s">
        <v>397</v>
      </c>
      <c r="V1" s="31" t="s">
        <v>398</v>
      </c>
      <c r="W1" s="31" t="s">
        <v>399</v>
      </c>
      <c r="X1" s="31" t="s">
        <v>400</v>
      </c>
      <c r="Y1" s="31" t="s">
        <v>401</v>
      </c>
      <c r="Z1" s="31" t="s">
        <v>402</v>
      </c>
      <c r="AA1" s="31" t="s">
        <v>403</v>
      </c>
      <c r="AB1" s="31" t="s">
        <v>404</v>
      </c>
      <c r="AC1" s="31" t="s">
        <v>405</v>
      </c>
      <c r="AD1" s="31" t="s">
        <v>406</v>
      </c>
      <c r="AE1" s="31" t="s">
        <v>407</v>
      </c>
      <c r="AF1" s="31" t="s">
        <v>408</v>
      </c>
      <c r="AG1" s="31" t="s">
        <v>409</v>
      </c>
      <c r="AH1" s="31" t="s">
        <v>411</v>
      </c>
      <c r="AI1" s="31" t="s">
        <v>412</v>
      </c>
      <c r="AJ1" s="31" t="s">
        <v>413</v>
      </c>
      <c r="AK1" s="31" t="s">
        <v>414</v>
      </c>
      <c r="AL1" s="31" t="s">
        <v>415</v>
      </c>
      <c r="AM1" s="43" t="s">
        <v>416</v>
      </c>
      <c r="AN1" s="43" t="s">
        <v>417</v>
      </c>
      <c r="AO1" s="43" t="s">
        <v>443</v>
      </c>
    </row>
    <row r="2" customFormat="false" ht="15" hidden="false" customHeight="true" outlineLevel="0" collapsed="false">
      <c r="A2" s="0" t="s">
        <v>102</v>
      </c>
      <c r="B2" s="0" t="s">
        <v>103</v>
      </c>
      <c r="C2" s="0" t="n">
        <f aca="false">Offre!$E$2*(Offre!$C$2^Param!$B$3)*1_Friction!C2</f>
        <v>6.90073902210773</v>
      </c>
      <c r="D2" s="0" t="n">
        <f aca="false">Offre!$E$3*(Offre!$C$3^Param!$B$3)*1_Friction!D2</f>
        <v>8.86788979298846</v>
      </c>
      <c r="E2" s="0" t="n">
        <f aca="false">Offre!$E$4*(Offre!$C$4^Param!$B$3)*1_Friction!E2</f>
        <v>98.5945413243938</v>
      </c>
      <c r="F2" s="0" t="n">
        <f aca="false">Offre!$E$5*(Offre!$C$5^Param!$B$3)*1_Friction!F2</f>
        <v>17.8649168399687</v>
      </c>
      <c r="G2" s="0" t="n">
        <f aca="false">Offre!$E$6*(Offre!$C$6^Param!$B$3)*1_Friction!G2</f>
        <v>51.0114143618421</v>
      </c>
      <c r="H2" s="0" t="n">
        <f aca="false">Offre!$E$7*(Offre!$C$7^Param!$B$3)*1_Friction!H2</f>
        <v>11.6141080403911</v>
      </c>
      <c r="I2" s="0" t="n">
        <f aca="false">Offre!$E$8*(Offre!$C$8^Param!$B$3)*1_Friction!I2</f>
        <v>26.9117253516846</v>
      </c>
      <c r="J2" s="0" t="n">
        <f aca="false">Offre!$E$9*(Offre!$C$9^Param!$B$3)*1_Friction!J2</f>
        <v>21.4815482025133</v>
      </c>
      <c r="K2" s="0" t="n">
        <f aca="false">Offre!$E$10*(Offre!$C$10^Param!$B$3)*1_Friction!K2</f>
        <v>13.4806100535848</v>
      </c>
      <c r="L2" s="0" t="n">
        <f aca="false">Offre!$E$11*(Offre!$C$11^Param!$B$3)*1_Friction!L2</f>
        <v>13.4762459642377</v>
      </c>
      <c r="M2" s="0" t="n">
        <f aca="false">Offre!$E$12*(Offre!$C$12^Param!$B$3)*1_Friction!M2</f>
        <v>71.3349681610964</v>
      </c>
      <c r="N2" s="0" t="n">
        <f aca="false">Offre!$E$13*(Offre!$C$13^Param!$B$3)*1_Friction!N2</f>
        <v>9.80945710369154</v>
      </c>
      <c r="O2" s="0" t="n">
        <f aca="false">Offre!$E$14*(Offre!$C$14^Param!$B$3)*1_Friction!O2</f>
        <v>31.442670022229</v>
      </c>
      <c r="P2" s="0" t="n">
        <f aca="false">Offre!$E$15*(Offre!$C$15^Param!$B$3)*1_Friction!P2</f>
        <v>15.2540532449003</v>
      </c>
      <c r="Q2" s="0" t="n">
        <f aca="false">Offre!$E$16*(Offre!$C$16^Param!$B$3)*1_Friction!Q2</f>
        <v>134.665151894447</v>
      </c>
      <c r="R2" s="0" t="n">
        <f aca="false">Offre!$E$17*(Offre!$C$17^Param!$B$3)*1_Friction!R2</f>
        <v>17.931481980471</v>
      </c>
      <c r="S2" s="0" t="n">
        <f aca="false">Offre!$E$18*(Offre!$C$18^Param!$B$3)*1_Friction!S2</f>
        <v>13.4517314426328</v>
      </c>
      <c r="T2" s="0" t="n">
        <f aca="false">Offre!$E$19*(Offre!$C$19^Param!$B$3)*1_Friction!T2</f>
        <v>5.71680763026798</v>
      </c>
      <c r="U2" s="0" t="n">
        <f aca="false">Offre!$E$20*(Offre!$C$20^Param!$B$3)*1_Friction!U2</f>
        <v>5.03885295168576</v>
      </c>
      <c r="V2" s="0" t="n">
        <f aca="false">Offre!$E$21*(Offre!$C$21^Param!$B$3)*1_Friction!V2</f>
        <v>4.37824553470283</v>
      </c>
      <c r="W2" s="0" t="n">
        <f aca="false">Offre!$E$22*(Offre!$C$22^Param!$B$3)*1_Friction!W2</f>
        <v>0.737673157118901</v>
      </c>
      <c r="X2" s="0" t="n">
        <f aca="false">Offre!$E$23*(Offre!$C$23^Param!$B$3)*1_Friction!X2</f>
        <v>1.13030292267938</v>
      </c>
      <c r="Y2" s="0" t="n">
        <f aca="false">Offre!$E$24*(Offre!$C$24^Param!$B$3)*1_Friction!Y2</f>
        <v>0.752255923530036</v>
      </c>
      <c r="Z2" s="0" t="n">
        <f aca="false">Offre!$E$25*(Offre!$C$25^Param!$B$3)*1_Friction!Z2</f>
        <v>1.83477487927493</v>
      </c>
      <c r="AA2" s="0" t="n">
        <f aca="false">Offre!$E$26*(Offre!$C$26^Param!$B$3)*1_Friction!AA2</f>
        <v>3.83539776356035</v>
      </c>
      <c r="AB2" s="0" t="n">
        <f aca="false">Offre!$E$27*(Offre!$C$27^Param!$B$3)*1_Friction!AB2</f>
        <v>1.91382058154162</v>
      </c>
      <c r="AC2" s="0" t="n">
        <f aca="false">Offre!$E$28*(Offre!$C$28^Param!$B$3)*1_Friction!AC2</f>
        <v>0</v>
      </c>
      <c r="AD2" s="0" t="n">
        <f aca="false">Offre!$E$29*(Offre!$C$29^Param!$B$3)*1_Friction!AD2</f>
        <v>0</v>
      </c>
      <c r="AE2" s="0" t="n">
        <f aca="false">Offre!$E$30*(Offre!$C$30^Param!$B$3)*1_Friction!AE2</f>
        <v>0</v>
      </c>
      <c r="AF2" s="0" t="n">
        <f aca="false">Offre!$E$31*(Offre!$C$31^Param!$B$3)*1_Friction!AF2</f>
        <v>0</v>
      </c>
      <c r="AG2" s="0" t="n">
        <f aca="false">Offre!$E$32*(Offre!$C$32^Param!$B$3)*1_Friction!AG2</f>
        <v>0</v>
      </c>
      <c r="AH2" s="0" t="n">
        <f aca="false">Offre!$E$33*(Offre!$C$33^Param!$B$3)*1_Friction!AH2</f>
        <v>44.2286431161423</v>
      </c>
      <c r="AI2" s="0" t="n">
        <f aca="false">Offre!$E$34*(Offre!$C$34^Param!$B$3)*1_Friction!AI2</f>
        <v>2.5108013604416</v>
      </c>
      <c r="AJ2" s="0" t="n">
        <f aca="false">Offre!$E$35*(Offre!$C$35^Param!$B$3)*1_Friction!AJ2</f>
        <v>1.59616136671361</v>
      </c>
      <c r="AK2" s="0" t="n">
        <f aca="false">Offre!$E$36*(Offre!$C$36^Param!$B$3)*1_Friction!AK2</f>
        <v>0</v>
      </c>
      <c r="AL2" s="0" t="n">
        <f aca="false">Offre!$E$37*(Offre!$C$37^Param!$B$3)*1_Friction!AL2</f>
        <v>0</v>
      </c>
      <c r="AM2" s="0" t="n">
        <f aca="false">Offre!$E$38*(Offre!$C$38^Param!$B$3)*1_Friction!AM2</f>
        <v>16.1148385040105</v>
      </c>
      <c r="AN2" s="0" t="n">
        <f aca="false">Offre!$E$39*(Offre!$C$39^Param!$B$3)*1_Friction!AN2</f>
        <v>0</v>
      </c>
      <c r="AO2" s="0" t="n">
        <f aca="false">SUM(C2:AN2)</f>
        <v>653.88182849485</v>
      </c>
    </row>
    <row r="3" customFormat="false" ht="15" hidden="false" customHeight="true" outlineLevel="0" collapsed="false">
      <c r="A3" s="0" t="s">
        <v>104</v>
      </c>
      <c r="B3" s="0" t="s">
        <v>105</v>
      </c>
      <c r="C3" s="0" t="n">
        <f aca="false">Offre!$E$2*(Offre!$C$2^Param!$B$3)*1_Friction!C3</f>
        <v>0.86161746214293</v>
      </c>
      <c r="D3" s="0" t="n">
        <f aca="false">Offre!$E$3*(Offre!$C$3^Param!$B$3)*1_Friction!D3</f>
        <v>3.60747228522448</v>
      </c>
      <c r="E3" s="0" t="n">
        <f aca="false">Offre!$E$4*(Offre!$C$4^Param!$B$3)*1_Friction!E3</f>
        <v>40.5740100715343</v>
      </c>
      <c r="F3" s="0" t="n">
        <f aca="false">Offre!$E$5*(Offre!$C$5^Param!$B$3)*1_Friction!F3</f>
        <v>7.40022542799733</v>
      </c>
      <c r="G3" s="0" t="n">
        <f aca="false">Offre!$E$6*(Offre!$C$6^Param!$B$3)*1_Friction!G3</f>
        <v>20.8258718786938</v>
      </c>
      <c r="H3" s="0" t="n">
        <f aca="false">Offre!$E$7*(Offre!$C$7^Param!$B$3)*1_Friction!H3</f>
        <v>5.24628210016798</v>
      </c>
      <c r="I3" s="0" t="n">
        <f aca="false">Offre!$E$8*(Offre!$C$8^Param!$B$3)*1_Friction!I3</f>
        <v>12.0035591190716</v>
      </c>
      <c r="J3" s="0" t="n">
        <f aca="false">Offre!$E$9*(Offre!$C$9^Param!$B$3)*1_Friction!J3</f>
        <v>9.31185586316685</v>
      </c>
      <c r="K3" s="0" t="n">
        <f aca="false">Offre!$E$10*(Offre!$C$10^Param!$B$3)*1_Friction!K3</f>
        <v>5.63780486565895</v>
      </c>
      <c r="L3" s="0" t="n">
        <f aca="false">Offre!$E$11*(Offre!$C$11^Param!$B$3)*1_Friction!L3</f>
        <v>6.0069342677404</v>
      </c>
      <c r="M3" s="0" t="n">
        <f aca="false">Offre!$E$12*(Offre!$C$12^Param!$B$3)*1_Friction!M3</f>
        <v>33.7163781586602</v>
      </c>
      <c r="N3" s="0" t="n">
        <f aca="false">Offre!$E$13*(Offre!$C$13^Param!$B$3)*1_Friction!N3</f>
        <v>4.29971958270529</v>
      </c>
      <c r="O3" s="0" t="n">
        <f aca="false">Offre!$E$14*(Offre!$C$14^Param!$B$3)*1_Friction!O3</f>
        <v>13.7823623881307</v>
      </c>
      <c r="P3" s="0" t="n">
        <f aca="false">Offre!$E$15*(Offre!$C$15^Param!$B$3)*1_Friction!P3</f>
        <v>6.8020168341406</v>
      </c>
      <c r="Q3" s="0" t="n">
        <f aca="false">Offre!$E$16*(Offre!$C$16^Param!$B$3)*1_Friction!Q3</f>
        <v>60.2756999513883</v>
      </c>
      <c r="R3" s="0" t="n">
        <f aca="false">Offre!$E$17*(Offre!$C$17^Param!$B$3)*1_Friction!R3</f>
        <v>7.96804202939144</v>
      </c>
      <c r="S3" s="0" t="n">
        <f aca="false">Offre!$E$18*(Offre!$C$18^Param!$B$3)*1_Friction!S3</f>
        <v>5.82500247429509</v>
      </c>
      <c r="T3" s="0" t="n">
        <f aca="false">Offre!$E$19*(Offre!$C$19^Param!$B$3)*1_Friction!T3</f>
        <v>4.85738350109509</v>
      </c>
      <c r="U3" s="0" t="n">
        <f aca="false">Offre!$E$20*(Offre!$C$20^Param!$B$3)*1_Friction!U3</f>
        <v>7.79158181282759</v>
      </c>
      <c r="V3" s="0" t="n">
        <f aca="false">Offre!$E$21*(Offre!$C$21^Param!$B$3)*1_Friction!V3</f>
        <v>6.36295177818133</v>
      </c>
      <c r="W3" s="0" t="n">
        <f aca="false">Offre!$E$22*(Offre!$C$22^Param!$B$3)*1_Friction!W3</f>
        <v>1.41987069307686</v>
      </c>
      <c r="X3" s="0" t="n">
        <f aca="false">Offre!$E$23*(Offre!$C$23^Param!$B$3)*1_Friction!X3</f>
        <v>2.14888681879091</v>
      </c>
      <c r="Y3" s="0" t="n">
        <f aca="false">Offre!$E$24*(Offre!$C$24^Param!$B$3)*1_Friction!Y3</f>
        <v>1.43150469488182</v>
      </c>
      <c r="Z3" s="0" t="n">
        <f aca="false">Offre!$E$25*(Offre!$C$25^Param!$B$3)*1_Friction!Z3</f>
        <v>3.50070588690241</v>
      </c>
      <c r="AA3" s="0" t="n">
        <f aca="false">Offre!$E$26*(Offre!$C$26^Param!$B$3)*1_Friction!AA3</f>
        <v>7.27780658242973</v>
      </c>
      <c r="AB3" s="0" t="n">
        <f aca="false">Offre!$E$27*(Offre!$C$27^Param!$B$3)*1_Friction!AB3</f>
        <v>3.59118794319391</v>
      </c>
      <c r="AC3" s="0" t="n">
        <f aca="false">Offre!$E$28*(Offre!$C$28^Param!$B$3)*1_Friction!AC3</f>
        <v>0</v>
      </c>
      <c r="AD3" s="0" t="n">
        <f aca="false">Offre!$E$29*(Offre!$C$29^Param!$B$3)*1_Friction!AD3</f>
        <v>0</v>
      </c>
      <c r="AE3" s="0" t="n">
        <f aca="false">Offre!$E$30*(Offre!$C$30^Param!$B$3)*1_Friction!AE3</f>
        <v>0</v>
      </c>
      <c r="AF3" s="0" t="n">
        <f aca="false">Offre!$E$31*(Offre!$C$31^Param!$B$3)*1_Friction!AF3</f>
        <v>0</v>
      </c>
      <c r="AG3" s="0" t="n">
        <f aca="false">Offre!$E$32*(Offre!$C$32^Param!$B$3)*1_Friction!AG3</f>
        <v>0</v>
      </c>
      <c r="AH3" s="0" t="n">
        <f aca="false">Offre!$E$33*(Offre!$C$33^Param!$B$3)*1_Friction!AH3</f>
        <v>20.5105716174989</v>
      </c>
      <c r="AI3" s="0" t="n">
        <f aca="false">Offre!$E$34*(Offre!$C$34^Param!$B$3)*1_Friction!AI3</f>
        <v>2.12574876551902</v>
      </c>
      <c r="AJ3" s="0" t="n">
        <f aca="false">Offre!$E$35*(Offre!$C$35^Param!$B$3)*1_Friction!AJ3</f>
        <v>3.06043364555585</v>
      </c>
      <c r="AK3" s="0" t="n">
        <f aca="false">Offre!$E$36*(Offre!$C$36^Param!$B$3)*1_Friction!AK3</f>
        <v>0</v>
      </c>
      <c r="AL3" s="0" t="n">
        <f aca="false">Offre!$E$37*(Offre!$C$37^Param!$B$3)*1_Friction!AL3</f>
        <v>0</v>
      </c>
      <c r="AM3" s="0" t="n">
        <f aca="false">Offre!$E$38*(Offre!$C$38^Param!$B$3)*1_Friction!AM3</f>
        <v>2.00018608671903</v>
      </c>
      <c r="AN3" s="0" t="n">
        <f aca="false">Offre!$E$39*(Offre!$C$39^Param!$B$3)*1_Friction!AN3</f>
        <v>0</v>
      </c>
      <c r="AO3" s="0" t="n">
        <f aca="false">SUM(C3:AN3)</f>
        <v>310.223674586783</v>
      </c>
    </row>
    <row r="4" customFormat="false" ht="15" hidden="false" customHeight="true" outlineLevel="0" collapsed="false">
      <c r="A4" s="0" t="s">
        <v>106</v>
      </c>
      <c r="B4" s="0" t="s">
        <v>107</v>
      </c>
      <c r="C4" s="0" t="n">
        <f aca="false">Offre!$E$2*(Offre!$C$2^Param!$B$3)*1_Friction!C4</f>
        <v>0</v>
      </c>
      <c r="D4" s="0" t="n">
        <f aca="false">Offre!$E$3*(Offre!$C$3^Param!$B$3)*1_Friction!D4</f>
        <v>0.873581886666796</v>
      </c>
      <c r="E4" s="0" t="n">
        <f aca="false">Offre!$E$4*(Offre!$C$4^Param!$B$3)*1_Friction!E4</f>
        <v>9.89608775046467</v>
      </c>
      <c r="F4" s="0" t="n">
        <f aca="false">Offre!$E$5*(Offre!$C$5^Param!$B$3)*1_Friction!F4</f>
        <v>1.81957003721846</v>
      </c>
      <c r="G4" s="0" t="n">
        <f aca="false">Offre!$E$6*(Offre!$C$6^Param!$B$3)*1_Friction!G4</f>
        <v>5.07809096499507</v>
      </c>
      <c r="H4" s="0" t="n">
        <f aca="false">Offre!$E$7*(Offre!$C$7^Param!$B$3)*1_Friction!H4</f>
        <v>1.36047155746219</v>
      </c>
      <c r="I4" s="0" t="n">
        <f aca="false">Offre!$E$8*(Offre!$C$8^Param!$B$3)*1_Friction!I4</f>
        <v>3.09586092844118</v>
      </c>
      <c r="J4" s="0" t="n">
        <f aca="false">Offre!$E$9*(Offre!$C$9^Param!$B$3)*1_Friction!J4</f>
        <v>2.35562883733063</v>
      </c>
      <c r="K4" s="0" t="n">
        <f aca="false">Offre!$E$10*(Offre!$C$10^Param!$B$3)*1_Friction!K4</f>
        <v>1.39849702317047</v>
      </c>
      <c r="L4" s="0" t="n">
        <f aca="false">Offre!$E$11*(Offre!$C$11^Param!$B$3)*1_Friction!L4</f>
        <v>1.55010432850385</v>
      </c>
      <c r="M4" s="0" t="n">
        <f aca="false">Offre!$E$12*(Offre!$C$12^Param!$B$3)*1_Friction!M4</f>
        <v>8.99219683997554</v>
      </c>
      <c r="N4" s="0" t="n">
        <f aca="false">Offre!$E$13*(Offre!$C$13^Param!$B$3)*1_Friction!N4</f>
        <v>1.09352732350531</v>
      </c>
      <c r="O4" s="0" t="n">
        <f aca="false">Offre!$E$14*(Offre!$C$14^Param!$B$3)*1_Friction!O4</f>
        <v>3.51898321857806</v>
      </c>
      <c r="P4" s="0" t="n">
        <f aca="false">Offre!$E$15*(Offre!$C$15^Param!$B$3)*1_Friction!P4</f>
        <v>1.75432119278333</v>
      </c>
      <c r="Q4" s="0" t="n">
        <f aca="false">Offre!$E$16*(Offre!$C$16^Param!$B$3)*1_Friction!Q4</f>
        <v>15.5882326756194</v>
      </c>
      <c r="R4" s="0" t="n">
        <f aca="false">Offre!$E$17*(Offre!$C$17^Param!$B$3)*1_Friction!R4</f>
        <v>2.05090277637831</v>
      </c>
      <c r="S4" s="0" t="n">
        <f aca="false">Offre!$E$18*(Offre!$C$18^Param!$B$3)*1_Friction!S4</f>
        <v>1.4754060034358</v>
      </c>
      <c r="T4" s="0" t="n">
        <f aca="false">Offre!$E$19*(Offre!$C$19^Param!$B$3)*1_Friction!T4</f>
        <v>0.764425965349473</v>
      </c>
      <c r="U4" s="0" t="n">
        <f aca="false">Offre!$E$20*(Offre!$C$20^Param!$B$3)*1_Friction!U4</f>
        <v>1.21603376849051</v>
      </c>
      <c r="V4" s="0" t="n">
        <f aca="false">Offre!$E$21*(Offre!$C$21^Param!$B$3)*1_Friction!V4</f>
        <v>0</v>
      </c>
      <c r="W4" s="0" t="n">
        <f aca="false">Offre!$E$22*(Offre!$C$22^Param!$B$3)*1_Friction!W4</f>
        <v>0</v>
      </c>
      <c r="X4" s="0" t="n">
        <f aca="false">Offre!$E$23*(Offre!$C$23^Param!$B$3)*1_Friction!X4</f>
        <v>0</v>
      </c>
      <c r="Y4" s="0" t="n">
        <f aca="false">Offre!$E$24*(Offre!$C$24^Param!$B$3)*1_Friction!Y4</f>
        <v>0</v>
      </c>
      <c r="Z4" s="0" t="n">
        <f aca="false">Offre!$E$25*(Offre!$C$25^Param!$B$3)*1_Friction!Z4</f>
        <v>0</v>
      </c>
      <c r="AA4" s="0" t="n">
        <f aca="false">Offre!$E$26*(Offre!$C$26^Param!$B$3)*1_Friction!AA4</f>
        <v>0</v>
      </c>
      <c r="AB4" s="0" t="n">
        <f aca="false">Offre!$E$27*(Offre!$C$27^Param!$B$3)*1_Friction!AB4</f>
        <v>0</v>
      </c>
      <c r="AC4" s="0" t="n">
        <f aca="false">Offre!$E$28*(Offre!$C$28^Param!$B$3)*1_Friction!AC4</f>
        <v>0.499509310048956</v>
      </c>
      <c r="AD4" s="0" t="n">
        <f aca="false">Offre!$E$29*(Offre!$C$29^Param!$B$3)*1_Friction!AD4</f>
        <v>2.42634349146114</v>
      </c>
      <c r="AE4" s="0" t="n">
        <f aca="false">Offre!$E$30*(Offre!$C$30^Param!$B$3)*1_Friction!AE4</f>
        <v>1.37688073487647</v>
      </c>
      <c r="AF4" s="0" t="n">
        <f aca="false">Offre!$E$31*(Offre!$C$31^Param!$B$3)*1_Friction!AF4</f>
        <v>0.9122795784762</v>
      </c>
      <c r="AG4" s="0" t="n">
        <f aca="false">Offre!$E$32*(Offre!$C$32^Param!$B$3)*1_Friction!AG4</f>
        <v>0</v>
      </c>
      <c r="AH4" s="0" t="n">
        <f aca="false">Offre!$E$33*(Offre!$C$33^Param!$B$3)*1_Friction!AH4</f>
        <v>5.41385295063905</v>
      </c>
      <c r="AI4" s="0" t="n">
        <f aca="false">Offre!$E$34*(Offre!$C$34^Param!$B$3)*1_Friction!AI4</f>
        <v>0.324564449011177</v>
      </c>
      <c r="AJ4" s="0" t="n">
        <f aca="false">Offre!$E$35*(Offre!$C$35^Param!$B$3)*1_Friction!AJ4</f>
        <v>0</v>
      </c>
      <c r="AK4" s="0" t="n">
        <f aca="false">Offre!$E$36*(Offre!$C$36^Param!$B$3)*1_Friction!AK4</f>
        <v>2.35147065380445</v>
      </c>
      <c r="AL4" s="0" t="n">
        <f aca="false">Offre!$E$37*(Offre!$C$37^Param!$B$3)*1_Friction!AL4</f>
        <v>4.58646210339562</v>
      </c>
      <c r="AM4" s="0" t="n">
        <f aca="false">Offre!$E$38*(Offre!$C$38^Param!$B$3)*1_Friction!AM4</f>
        <v>0</v>
      </c>
      <c r="AN4" s="0" t="n">
        <f aca="false">Offre!$E$39*(Offre!$C$39^Param!$B$3)*1_Friction!AN4</f>
        <v>0</v>
      </c>
      <c r="AO4" s="0" t="n">
        <f aca="false">SUM(C4:AN4)</f>
        <v>81.7732863500821</v>
      </c>
    </row>
    <row r="5" customFormat="false" ht="15" hidden="false" customHeight="true" outlineLevel="0" collapsed="false">
      <c r="A5" s="0" t="s">
        <v>108</v>
      </c>
      <c r="B5" s="0" t="s">
        <v>109</v>
      </c>
      <c r="C5" s="0" t="n">
        <f aca="false">Offre!$E$2*(Offre!$C$2^Param!$B$3)*1_Friction!C5</f>
        <v>0.148633444167412</v>
      </c>
      <c r="D5" s="0" t="n">
        <f aca="false">Offre!$E$3*(Offre!$C$3^Param!$B$3)*1_Friction!D5</f>
        <v>1.25884651242359</v>
      </c>
      <c r="E5" s="0" t="n">
        <f aca="false">Offre!$E$4*(Offre!$C$4^Param!$B$3)*1_Friction!E5</f>
        <v>14.2461856420542</v>
      </c>
      <c r="F5" s="0" t="n">
        <f aca="false">Offre!$E$5*(Offre!$C$5^Param!$B$3)*1_Friction!F5</f>
        <v>2.61331412729388</v>
      </c>
      <c r="G5" s="0" t="n">
        <f aca="false">Offre!$E$6*(Offre!$C$6^Param!$B$3)*1_Friction!G5</f>
        <v>7.31074127286467</v>
      </c>
      <c r="H5" s="0" t="n">
        <f aca="false">Offre!$E$7*(Offre!$C$7^Param!$B$3)*1_Friction!H5</f>
        <v>1.93242348190918</v>
      </c>
      <c r="I5" s="0" t="n">
        <f aca="false">Offre!$E$8*(Offre!$C$8^Param!$B$3)*1_Friction!I5</f>
        <v>4.39979939103936</v>
      </c>
      <c r="J5" s="0" t="n">
        <f aca="false">Offre!$E$9*(Offre!$C$9^Param!$B$3)*1_Friction!J5</f>
        <v>3.36414314778494</v>
      </c>
      <c r="K5" s="0" t="n">
        <f aca="false">Offre!$E$10*(Offre!$C$10^Param!$B$3)*1_Friction!K5</f>
        <v>2.00582140857626</v>
      </c>
      <c r="L5" s="0" t="n">
        <f aca="false">Offre!$E$11*(Offre!$C$11^Param!$B$3)*1_Friction!L5</f>
        <v>2.20414187887433</v>
      </c>
      <c r="M5" s="0" t="n">
        <f aca="false">Offre!$E$12*(Offre!$C$12^Param!$B$3)*1_Friction!M5</f>
        <v>12.6944345450011</v>
      </c>
      <c r="N5" s="0" t="n">
        <f aca="false">Offre!$E$13*(Offre!$C$13^Param!$B$3)*1_Friction!N5</f>
        <v>1.55901362472992</v>
      </c>
      <c r="O5" s="0" t="n">
        <f aca="false">Offre!$E$14*(Offre!$C$14^Param!$B$3)*1_Friction!O5</f>
        <v>5.01539333219015</v>
      </c>
      <c r="P5" s="0" t="n">
        <f aca="false">Offre!$E$15*(Offre!$C$15^Param!$B$3)*1_Friction!P5</f>
        <v>2.49482151217814</v>
      </c>
      <c r="Q5" s="0" t="n">
        <f aca="false">Offre!$E$16*(Offre!$C$16^Param!$B$3)*1_Friction!Q5</f>
        <v>22.1548331946082</v>
      </c>
      <c r="R5" s="0" t="n">
        <f aca="false">Offre!$E$17*(Offre!$C$17^Param!$B$3)*1_Friction!R5</f>
        <v>2.91627818763828</v>
      </c>
      <c r="S5" s="0" t="n">
        <f aca="false">Offre!$E$18*(Offre!$C$18^Param!$B$3)*1_Friction!S5</f>
        <v>2.10532537665081</v>
      </c>
      <c r="T5" s="0" t="n">
        <f aca="false">Offre!$E$19*(Offre!$C$19^Param!$B$3)*1_Friction!T5</f>
        <v>1.068294483867</v>
      </c>
      <c r="U5" s="0" t="n">
        <f aca="false">Offre!$E$20*(Offre!$C$20^Param!$B$3)*1_Friction!U5</f>
        <v>1.70154334947818</v>
      </c>
      <c r="V5" s="0" t="n">
        <f aca="false">Offre!$E$21*(Offre!$C$21^Param!$B$3)*1_Friction!V5</f>
        <v>0</v>
      </c>
      <c r="W5" s="0" t="n">
        <f aca="false">Offre!$E$22*(Offre!$C$22^Param!$B$3)*1_Friction!W5</f>
        <v>0</v>
      </c>
      <c r="X5" s="0" t="n">
        <f aca="false">Offre!$E$23*(Offre!$C$23^Param!$B$3)*1_Friction!X5</f>
        <v>0</v>
      </c>
      <c r="Y5" s="0" t="n">
        <f aca="false">Offre!$E$24*(Offre!$C$24^Param!$B$3)*1_Friction!Y5</f>
        <v>0</v>
      </c>
      <c r="Z5" s="0" t="n">
        <f aca="false">Offre!$E$25*(Offre!$C$25^Param!$B$3)*1_Friction!Z5</f>
        <v>0</v>
      </c>
      <c r="AA5" s="0" t="n">
        <f aca="false">Offre!$E$26*(Offre!$C$26^Param!$B$3)*1_Friction!AA5</f>
        <v>0</v>
      </c>
      <c r="AB5" s="0" t="n">
        <f aca="false">Offre!$E$27*(Offre!$C$27^Param!$B$3)*1_Friction!AB5</f>
        <v>0.439392413408263</v>
      </c>
      <c r="AC5" s="0" t="n">
        <f aca="false">Offre!$E$28*(Offre!$C$28^Param!$B$3)*1_Friction!AC5</f>
        <v>0.0994739333380534</v>
      </c>
      <c r="AD5" s="0" t="n">
        <f aca="false">Offre!$E$29*(Offre!$C$29^Param!$B$3)*1_Friction!AD5</f>
        <v>0.478368723121531</v>
      </c>
      <c r="AE5" s="0" t="n">
        <f aca="false">Offre!$E$30*(Offre!$C$30^Param!$B$3)*1_Friction!AE5</f>
        <v>0.266318620932961</v>
      </c>
      <c r="AF5" s="0" t="n">
        <f aca="false">Offre!$E$31*(Offre!$C$31^Param!$B$3)*1_Friction!AF5</f>
        <v>0.176084694236254</v>
      </c>
      <c r="AG5" s="0" t="n">
        <f aca="false">Offre!$E$32*(Offre!$C$32^Param!$B$3)*1_Friction!AG5</f>
        <v>0</v>
      </c>
      <c r="AH5" s="0" t="n">
        <f aca="false">Offre!$E$33*(Offre!$C$33^Param!$B$3)*1_Friction!AH5</f>
        <v>7.6553064188574</v>
      </c>
      <c r="AI5" s="0" t="n">
        <f aca="false">Offre!$E$34*(Offre!$C$34^Param!$B$3)*1_Friction!AI5</f>
        <v>0.455966745701596</v>
      </c>
      <c r="AJ5" s="0" t="n">
        <f aca="false">Offre!$E$35*(Offre!$C$35^Param!$B$3)*1_Friction!AJ5</f>
        <v>0</v>
      </c>
      <c r="AK5" s="0" t="n">
        <f aca="false">Offre!$E$36*(Offre!$C$36^Param!$B$3)*1_Friction!AK5</f>
        <v>0.408939716472244</v>
      </c>
      <c r="AL5" s="0" t="n">
        <f aca="false">Offre!$E$37*(Offre!$C$37^Param!$B$3)*1_Friction!AL5</f>
        <v>0.887728736443204</v>
      </c>
      <c r="AM5" s="0" t="n">
        <f aca="false">Offre!$E$38*(Offre!$C$38^Param!$B$3)*1_Friction!AM5</f>
        <v>0</v>
      </c>
      <c r="AN5" s="0" t="n">
        <f aca="false">Offre!$E$39*(Offre!$C$39^Param!$B$3)*1_Friction!AN5</f>
        <v>0</v>
      </c>
      <c r="AO5" s="0" t="n">
        <f aca="false">SUM(C5:AN5)</f>
        <v>102.061567915841</v>
      </c>
    </row>
    <row r="6" customFormat="false" ht="15" hidden="false" customHeight="true" outlineLevel="0" collapsed="false">
      <c r="A6" s="0" t="s">
        <v>110</v>
      </c>
      <c r="B6" s="0" t="s">
        <v>111</v>
      </c>
      <c r="C6" s="0" t="n">
        <f aca="false">Offre!$E$2*(Offre!$C$2^Param!$B$3)*1_Friction!C6</f>
        <v>9.31790587832972</v>
      </c>
      <c r="D6" s="0" t="n">
        <f aca="false">Offre!$E$3*(Offre!$C$3^Param!$B$3)*1_Friction!D6</f>
        <v>6.86227767282549</v>
      </c>
      <c r="E6" s="0" t="n">
        <f aca="false">Offre!$E$4*(Offre!$C$4^Param!$B$3)*1_Friction!E6</f>
        <v>73.4865833766955</v>
      </c>
      <c r="F6" s="0" t="n">
        <f aca="false">Offre!$E$5*(Offre!$C$5^Param!$B$3)*1_Friction!F6</f>
        <v>13.3350835068952</v>
      </c>
      <c r="G6" s="0" t="n">
        <f aca="false">Offre!$E$6*(Offre!$C$6^Param!$B$3)*1_Friction!G6</f>
        <v>37.0948662531968</v>
      </c>
      <c r="H6" s="0" t="n">
        <f aca="false">Offre!$E$7*(Offre!$C$7^Param!$B$3)*1_Friction!H6</f>
        <v>9.10753086813095</v>
      </c>
      <c r="I6" s="0" t="n">
        <f aca="false">Offre!$E$8*(Offre!$C$8^Param!$B$3)*1_Friction!I6</f>
        <v>20.0600385904888</v>
      </c>
      <c r="J6" s="0" t="n">
        <f aca="false">Offre!$E$9*(Offre!$C$9^Param!$B$3)*1_Friction!J6</f>
        <v>15.825931514336</v>
      </c>
      <c r="K6" s="0" t="n">
        <f aca="false">Offre!$E$10*(Offre!$C$10^Param!$B$3)*1_Friction!K6</f>
        <v>9.84114812076678</v>
      </c>
      <c r="L6" s="0" t="n">
        <f aca="false">Offre!$E$11*(Offre!$C$11^Param!$B$3)*1_Friction!L6</f>
        <v>10.0378387069478</v>
      </c>
      <c r="M6" s="0" t="n">
        <f aca="false">Offre!$E$12*(Offre!$C$12^Param!$B$3)*1_Friction!M6</f>
        <v>55.0344110945738</v>
      </c>
      <c r="N6" s="0" t="n">
        <f aca="false">Offre!$E$13*(Offre!$C$13^Param!$B$3)*1_Friction!N6</f>
        <v>7.34004129466377</v>
      </c>
      <c r="O6" s="0" t="n">
        <f aca="false">Offre!$E$14*(Offre!$C$14^Param!$B$3)*1_Friction!O6</f>
        <v>23.1836896145269</v>
      </c>
      <c r="P6" s="0" t="n">
        <f aca="false">Offre!$E$15*(Offre!$C$15^Param!$B$3)*1_Friction!P6</f>
        <v>11.2338709562537</v>
      </c>
      <c r="Q6" s="0" t="n">
        <f aca="false">Offre!$E$16*(Offre!$C$16^Param!$B$3)*1_Friction!Q6</f>
        <v>98.2266759498424</v>
      </c>
      <c r="R6" s="0" t="n">
        <f aca="false">Offre!$E$17*(Offre!$C$17^Param!$B$3)*1_Friction!R6</f>
        <v>13.0510585996938</v>
      </c>
      <c r="S6" s="0" t="n">
        <f aca="false">Offre!$E$18*(Offre!$C$18^Param!$B$3)*1_Friction!S6</f>
        <v>9.71403236859054</v>
      </c>
      <c r="T6" s="0" t="n">
        <f aca="false">Offre!$E$19*(Offre!$C$19^Param!$B$3)*1_Friction!T6</f>
        <v>5.46784376801376</v>
      </c>
      <c r="U6" s="0" t="n">
        <f aca="false">Offre!$E$20*(Offre!$C$20^Param!$B$3)*1_Friction!U6</f>
        <v>1.53032738949748</v>
      </c>
      <c r="V6" s="0" t="n">
        <f aca="false">Offre!$E$21*(Offre!$C$21^Param!$B$3)*1_Friction!V6</f>
        <v>4.0346970264393</v>
      </c>
      <c r="W6" s="0" t="n">
        <f aca="false">Offre!$E$22*(Offre!$C$22^Param!$B$3)*1_Friction!W6</f>
        <v>0.651089211086796</v>
      </c>
      <c r="X6" s="0" t="n">
        <f aca="false">Offre!$E$23*(Offre!$C$23^Param!$B$3)*1_Friction!X6</f>
        <v>0.879278003212514</v>
      </c>
      <c r="Y6" s="0" t="n">
        <f aca="false">Offre!$E$24*(Offre!$C$24^Param!$B$3)*1_Friction!Y6</f>
        <v>0.585151512944932</v>
      </c>
      <c r="Z6" s="0" t="n">
        <f aca="false">Offre!$E$25*(Offre!$C$25^Param!$B$3)*1_Friction!Z6</f>
        <v>1.42583802586057</v>
      </c>
      <c r="AA6" s="0" t="n">
        <f aca="false">Offre!$E$26*(Offre!$C$26^Param!$B$3)*1_Friction!AA6</f>
        <v>2.50487745972833</v>
      </c>
      <c r="AB6" s="0" t="n">
        <f aca="false">Offre!$E$27*(Offre!$C$27^Param!$B$3)*1_Friction!AB6</f>
        <v>1.05500622753916</v>
      </c>
      <c r="AC6" s="0" t="n">
        <f aca="false">Offre!$E$28*(Offre!$C$28^Param!$B$3)*1_Friction!AC6</f>
        <v>0</v>
      </c>
      <c r="AD6" s="0" t="n">
        <f aca="false">Offre!$E$29*(Offre!$C$29^Param!$B$3)*1_Friction!AD6</f>
        <v>0</v>
      </c>
      <c r="AE6" s="0" t="n">
        <f aca="false">Offre!$E$30*(Offre!$C$30^Param!$B$3)*1_Friction!AE6</f>
        <v>0</v>
      </c>
      <c r="AF6" s="0" t="n">
        <f aca="false">Offre!$E$31*(Offre!$C$31^Param!$B$3)*1_Friction!AF6</f>
        <v>0</v>
      </c>
      <c r="AG6" s="0" t="n">
        <f aca="false">Offre!$E$32*(Offre!$C$32^Param!$B$3)*1_Friction!AG6</f>
        <v>0.138767147478444</v>
      </c>
      <c r="AH6" s="0" t="n">
        <f aca="false">Offre!$E$33*(Offre!$C$33^Param!$B$3)*1_Friction!AH6</f>
        <v>31.3334352132831</v>
      </c>
      <c r="AI6" s="0" t="n">
        <f aca="false">Offre!$E$34*(Offre!$C$34^Param!$B$3)*1_Friction!AI6</f>
        <v>2.55216225384674</v>
      </c>
      <c r="AJ6" s="0" t="n">
        <f aca="false">Offre!$E$35*(Offre!$C$35^Param!$B$3)*1_Friction!AJ6</f>
        <v>1.23820019783093</v>
      </c>
      <c r="AK6" s="0" t="n">
        <f aca="false">Offre!$E$36*(Offre!$C$36^Param!$B$3)*1_Friction!AK6</f>
        <v>0</v>
      </c>
      <c r="AL6" s="0" t="n">
        <f aca="false">Offre!$E$37*(Offre!$C$37^Param!$B$3)*1_Friction!AL6</f>
        <v>0</v>
      </c>
      <c r="AM6" s="0" t="n">
        <f aca="false">Offre!$E$38*(Offre!$C$38^Param!$B$3)*1_Friction!AM6</f>
        <v>22.611900651962</v>
      </c>
      <c r="AN6" s="0" t="n">
        <f aca="false">Offre!$E$39*(Offre!$C$39^Param!$B$3)*1_Friction!AN6</f>
        <v>0</v>
      </c>
      <c r="AO6" s="0" t="n">
        <f aca="false">SUM(C6:AN6)</f>
        <v>498.761558455482</v>
      </c>
    </row>
    <row r="7" customFormat="false" ht="15" hidden="false" customHeight="true" outlineLevel="0" collapsed="false">
      <c r="A7" s="0" t="s">
        <v>112</v>
      </c>
      <c r="B7" s="0" t="s">
        <v>113</v>
      </c>
      <c r="C7" s="0" t="n">
        <f aca="false">Offre!$E$2*(Offre!$C$2^Param!$B$3)*1_Friction!C7</f>
        <v>10.7153641965158</v>
      </c>
      <c r="D7" s="0" t="n">
        <f aca="false">Offre!$E$3*(Offre!$C$3^Param!$B$3)*1_Friction!D7</f>
        <v>7.98335828770921</v>
      </c>
      <c r="E7" s="0" t="n">
        <f aca="false">Offre!$E$4*(Offre!$C$4^Param!$B$3)*1_Friction!E7</f>
        <v>86.2426182161044</v>
      </c>
      <c r="F7" s="0" t="n">
        <f aca="false">Offre!$E$5*(Offre!$C$5^Param!$B$3)*1_Friction!F7</f>
        <v>15.5078817366749</v>
      </c>
      <c r="G7" s="0" t="n">
        <f aca="false">Offre!$E$6*(Offre!$C$6^Param!$B$3)*1_Friction!G7</f>
        <v>43.7613387684714</v>
      </c>
      <c r="H7" s="0" t="n">
        <f aca="false">Offre!$E$7*(Offre!$C$7^Param!$B$3)*1_Friction!H7</f>
        <v>9.85570876694097</v>
      </c>
      <c r="I7" s="0" t="n">
        <f aca="false">Offre!$E$8*(Offre!$C$8^Param!$B$3)*1_Friction!I7</f>
        <v>22.685402029197</v>
      </c>
      <c r="J7" s="0" t="n">
        <f aca="false">Offre!$E$9*(Offre!$C$9^Param!$B$3)*1_Friction!J7</f>
        <v>18.0357300534934</v>
      </c>
      <c r="K7" s="0" t="n">
        <f aca="false">Offre!$E$10*(Offre!$C$10^Param!$B$3)*1_Friction!K7</f>
        <v>11.2288109098861</v>
      </c>
      <c r="L7" s="0" t="n">
        <f aca="false">Offre!$E$11*(Offre!$C$11^Param!$B$3)*1_Friction!L7</f>
        <v>11.2103991775389</v>
      </c>
      <c r="M7" s="0" t="n">
        <f aca="false">Offre!$E$12*(Offre!$C$12^Param!$B$3)*1_Friction!M7</f>
        <v>59.7519015681074</v>
      </c>
      <c r="N7" s="0" t="n">
        <f aca="false">Offre!$E$13*(Offre!$C$13^Param!$B$3)*1_Friction!N7</f>
        <v>8.16657834688398</v>
      </c>
      <c r="O7" s="0" t="n">
        <f aca="false">Offre!$E$14*(Offre!$C$14^Param!$B$3)*1_Friction!O7</f>
        <v>25.9519154716769</v>
      </c>
      <c r="P7" s="0" t="n">
        <f aca="false">Offre!$E$15*(Offre!$C$15^Param!$B$3)*1_Friction!P7</f>
        <v>12.578713368089</v>
      </c>
      <c r="Q7" s="0" t="n">
        <f aca="false">Offre!$E$16*(Offre!$C$16^Param!$B$3)*1_Friction!Q7</f>
        <v>110.211541586488</v>
      </c>
      <c r="R7" s="0" t="n">
        <f aca="false">Offre!$E$17*(Offre!$C$17^Param!$B$3)*1_Friction!R7</f>
        <v>14.6537557884788</v>
      </c>
      <c r="S7" s="0" t="n">
        <f aca="false">Offre!$E$18*(Offre!$C$18^Param!$B$3)*1_Friction!S7</f>
        <v>10.9234777647264</v>
      </c>
      <c r="T7" s="0" t="n">
        <f aca="false">Offre!$E$19*(Offre!$C$19^Param!$B$3)*1_Friction!T7</f>
        <v>4.75653816697412</v>
      </c>
      <c r="U7" s="0" t="n">
        <f aca="false">Offre!$E$20*(Offre!$C$20^Param!$B$3)*1_Friction!U7</f>
        <v>1.85390662924105</v>
      </c>
      <c r="V7" s="0" t="n">
        <f aca="false">Offre!$E$21*(Offre!$C$21^Param!$B$3)*1_Friction!V7</f>
        <v>3.13770930769318</v>
      </c>
      <c r="W7" s="0" t="n">
        <f aca="false">Offre!$E$22*(Offre!$C$22^Param!$B$3)*1_Friction!W7</f>
        <v>0.502771066214728</v>
      </c>
      <c r="X7" s="0" t="n">
        <f aca="false">Offre!$E$23*(Offre!$C$23^Param!$B$3)*1_Friction!X7</f>
        <v>0.678733901498989</v>
      </c>
      <c r="Y7" s="0" t="n">
        <f aca="false">Offre!$E$24*(Offre!$C$24^Param!$B$3)*1_Friction!Y7</f>
        <v>0.45166165457838</v>
      </c>
      <c r="Z7" s="0" t="n">
        <f aca="false">Offre!$E$25*(Offre!$C$25^Param!$B$3)*1_Friction!Z7</f>
        <v>1.09951874363321</v>
      </c>
      <c r="AA7" s="0" t="n">
        <f aca="false">Offre!$E$26*(Offre!$C$26^Param!$B$3)*1_Friction!AA7</f>
        <v>1.92245732023989</v>
      </c>
      <c r="AB7" s="0" t="n">
        <f aca="false">Offre!$E$27*(Offre!$C$27^Param!$B$3)*1_Friction!AB7</f>
        <v>0.808531186904782</v>
      </c>
      <c r="AC7" s="0" t="n">
        <f aca="false">Offre!$E$28*(Offre!$C$28^Param!$B$3)*1_Friction!AC7</f>
        <v>0</v>
      </c>
      <c r="AD7" s="0" t="n">
        <f aca="false">Offre!$E$29*(Offre!$C$29^Param!$B$3)*1_Friction!AD7</f>
        <v>0</v>
      </c>
      <c r="AE7" s="0" t="n">
        <f aca="false">Offre!$E$30*(Offre!$C$30^Param!$B$3)*1_Friction!AE7</f>
        <v>0</v>
      </c>
      <c r="AF7" s="0" t="n">
        <f aca="false">Offre!$E$31*(Offre!$C$31^Param!$B$3)*1_Friction!AF7</f>
        <v>0</v>
      </c>
      <c r="AG7" s="0" t="n">
        <f aca="false">Offre!$E$32*(Offre!$C$32^Param!$B$3)*1_Friction!AG7</f>
        <v>0.433546612022892</v>
      </c>
      <c r="AH7" s="0" t="n">
        <f aca="false">Offre!$E$33*(Offre!$C$33^Param!$B$3)*1_Friction!AH7</f>
        <v>35.3836699327308</v>
      </c>
      <c r="AI7" s="0" t="n">
        <f aca="false">Offre!$E$34*(Offre!$C$34^Param!$B$3)*1_Friction!AI7</f>
        <v>2.07963524979054</v>
      </c>
      <c r="AJ7" s="0" t="n">
        <f aca="false">Offre!$E$35*(Offre!$C$35^Param!$B$3)*1_Friction!AJ7</f>
        <v>0.953136966374612</v>
      </c>
      <c r="AK7" s="0" t="n">
        <f aca="false">Offre!$E$36*(Offre!$C$36^Param!$B$3)*1_Friction!AK7</f>
        <v>0</v>
      </c>
      <c r="AL7" s="0" t="n">
        <f aca="false">Offre!$E$37*(Offre!$C$37^Param!$B$3)*1_Friction!AL7</f>
        <v>0</v>
      </c>
      <c r="AM7" s="0" t="n">
        <f aca="false">Offre!$E$38*(Offre!$C$38^Param!$B$3)*1_Friction!AM7</f>
        <v>25.6625631823241</v>
      </c>
      <c r="AN7" s="0" t="n">
        <f aca="false">Offre!$E$39*(Offre!$C$39^Param!$B$3)*1_Friction!AN7</f>
        <v>0</v>
      </c>
      <c r="AO7" s="0" t="n">
        <f aca="false">SUM(C7:AN7)</f>
        <v>559.188875957204</v>
      </c>
    </row>
    <row r="8" customFormat="false" ht="15" hidden="false" customHeight="true" outlineLevel="0" collapsed="false">
      <c r="A8" s="0" t="s">
        <v>114</v>
      </c>
      <c r="B8" s="0" t="s">
        <v>115</v>
      </c>
      <c r="C8" s="0" t="n">
        <f aca="false">Offre!$E$2*(Offre!$C$2^Param!$B$3)*1_Friction!C8</f>
        <v>7.87543392459339</v>
      </c>
      <c r="D8" s="0" t="n">
        <f aca="false">Offre!$E$3*(Offre!$C$3^Param!$B$3)*1_Friction!D8</f>
        <v>8.13644155950412</v>
      </c>
      <c r="E8" s="0" t="n">
        <f aca="false">Offre!$E$4*(Offre!$C$4^Param!$B$3)*1_Friction!E8</f>
        <v>88.0836425814857</v>
      </c>
      <c r="F8" s="0" t="n">
        <f aca="false">Offre!$E$5*(Offre!$C$5^Param!$B$3)*1_Friction!F8</f>
        <v>15.8413065760417</v>
      </c>
      <c r="G8" s="0" t="n">
        <f aca="false">Offre!$E$6*(Offre!$C$6^Param!$B$3)*1_Friction!G8</f>
        <v>44.7345622871105</v>
      </c>
      <c r="H8" s="0" t="n">
        <f aca="false">Offre!$E$7*(Offre!$C$7^Param!$B$3)*1_Friction!H8</f>
        <v>10.0838328811563</v>
      </c>
      <c r="I8" s="0" t="n">
        <f aca="false">Offre!$E$8*(Offre!$C$8^Param!$B$3)*1_Friction!I8</f>
        <v>23.2146048152716</v>
      </c>
      <c r="J8" s="0" t="n">
        <f aca="false">Offre!$E$9*(Offre!$C$9^Param!$B$3)*1_Friction!J8</f>
        <v>18.4642743722511</v>
      </c>
      <c r="K8" s="0" t="n">
        <f aca="false">Offre!$E$10*(Offre!$C$10^Param!$B$3)*1_Friction!K8</f>
        <v>11.4985976992862</v>
      </c>
      <c r="L8" s="0" t="n">
        <f aca="false">Offre!$E$11*(Offre!$C$11^Param!$B$3)*1_Friction!L8</f>
        <v>11.4809967936159</v>
      </c>
      <c r="M8" s="0" t="n">
        <f aca="false">Offre!$E$12*(Offre!$C$12^Param!$B$3)*1_Friction!M8</f>
        <v>61.1967033284498</v>
      </c>
      <c r="N8" s="0" t="n">
        <f aca="false">Offre!$E$13*(Offre!$C$13^Param!$B$3)*1_Friction!N8</f>
        <v>8.36735665539388</v>
      </c>
      <c r="O8" s="0" t="n">
        <f aca="false">Offre!$E$14*(Offre!$C$14^Param!$B$3)*1_Friction!O8</f>
        <v>26.5869098165949</v>
      </c>
      <c r="P8" s="0" t="n">
        <f aca="false">Offre!$E$15*(Offre!$C$15^Param!$B$3)*1_Friction!P8</f>
        <v>12.8907796232521</v>
      </c>
      <c r="Q8" s="0" t="n">
        <f aca="false">Offre!$E$16*(Offre!$C$16^Param!$B$3)*1_Friction!Q8</f>
        <v>112.973923811895</v>
      </c>
      <c r="R8" s="0" t="n">
        <f aca="false">Offre!$E$17*(Offre!$C$17^Param!$B$3)*1_Friction!R8</f>
        <v>15.0267307618663</v>
      </c>
      <c r="S8" s="0" t="n">
        <f aca="false">Offre!$E$18*(Offre!$C$18^Param!$B$3)*1_Friction!S8</f>
        <v>11.2034815440201</v>
      </c>
      <c r="T8" s="0" t="n">
        <f aca="false">Offre!$E$19*(Offre!$C$19^Param!$B$3)*1_Friction!T8</f>
        <v>4.36944915069035</v>
      </c>
      <c r="U8" s="0" t="n">
        <f aca="false">Offre!$E$20*(Offre!$C$20^Param!$B$3)*1_Friction!U8</f>
        <v>2.02911020555726</v>
      </c>
      <c r="V8" s="0" t="n">
        <f aca="false">Offre!$E$21*(Offre!$C$21^Param!$B$3)*1_Friction!V8</f>
        <v>2.70278328563665</v>
      </c>
      <c r="W8" s="0" t="n">
        <f aca="false">Offre!$E$22*(Offre!$C$22^Param!$B$3)*1_Friction!W8</f>
        <v>0.431318542052502</v>
      </c>
      <c r="X8" s="0" t="n">
        <f aca="false">Offre!$E$23*(Offre!$C$23^Param!$B$3)*1_Friction!X8</f>
        <v>0.58215310871729</v>
      </c>
      <c r="Y8" s="0" t="n">
        <f aca="false">Offre!$E$24*(Offre!$C$24^Param!$B$3)*1_Friction!Y8</f>
        <v>0.387739689502415</v>
      </c>
      <c r="Z8" s="0" t="n">
        <f aca="false">Offre!$E$25*(Offre!$C$25^Param!$B$3)*1_Friction!Z8</f>
        <v>0.943394582539434</v>
      </c>
      <c r="AA8" s="0" t="n">
        <f aca="false">Offre!$E$26*(Offre!$C$26^Param!$B$3)*1_Friction!AA8</f>
        <v>1.64343155153486</v>
      </c>
      <c r="AB8" s="0" t="n">
        <f aca="false">Offre!$E$27*(Offre!$C$27^Param!$B$3)*1_Friction!AB8</f>
        <v>0.690242136447476</v>
      </c>
      <c r="AC8" s="0" t="n">
        <f aca="false">Offre!$E$28*(Offre!$C$28^Param!$B$3)*1_Friction!AC8</f>
        <v>0</v>
      </c>
      <c r="AD8" s="0" t="n">
        <f aca="false">Offre!$E$29*(Offre!$C$29^Param!$B$3)*1_Friction!AD8</f>
        <v>0</v>
      </c>
      <c r="AE8" s="0" t="n">
        <f aca="false">Offre!$E$30*(Offre!$C$30^Param!$B$3)*1_Friction!AE8</f>
        <v>0</v>
      </c>
      <c r="AF8" s="0" t="n">
        <f aca="false">Offre!$E$31*(Offre!$C$31^Param!$B$3)*1_Friction!AF8</f>
        <v>0</v>
      </c>
      <c r="AG8" s="0" t="n">
        <f aca="false">Offre!$E$32*(Offre!$C$32^Param!$B$3)*1_Friction!AG8</f>
        <v>0.187445953005315</v>
      </c>
      <c r="AH8" s="0" t="n">
        <f aca="false">Offre!$E$33*(Offre!$C$33^Param!$B$3)*1_Friction!AH8</f>
        <v>36.3367916637859</v>
      </c>
      <c r="AI8" s="0" t="n">
        <f aca="false">Offre!$E$34*(Offre!$C$34^Param!$B$3)*1_Friction!AI8</f>
        <v>1.90704307823229</v>
      </c>
      <c r="AJ8" s="0" t="n">
        <f aca="false">Offre!$E$35*(Offre!$C$35^Param!$B$3)*1_Friction!AJ8</f>
        <v>0.816969896869688</v>
      </c>
      <c r="AK8" s="0" t="n">
        <f aca="false">Offre!$E$36*(Offre!$C$36^Param!$B$3)*1_Friction!AK8</f>
        <v>0</v>
      </c>
      <c r="AL8" s="0" t="n">
        <f aca="false">Offre!$E$37*(Offre!$C$37^Param!$B$3)*1_Friction!AL8</f>
        <v>0</v>
      </c>
      <c r="AM8" s="0" t="n">
        <f aca="false">Offre!$E$38*(Offre!$C$38^Param!$B$3)*1_Friction!AM8</f>
        <v>18.5140955501565</v>
      </c>
      <c r="AN8" s="0" t="n">
        <f aca="false">Offre!$E$39*(Offre!$C$39^Param!$B$3)*1_Friction!AN8</f>
        <v>0</v>
      </c>
      <c r="AO8" s="0" t="n">
        <f aca="false">SUM(C8:AN8)</f>
        <v>559.201547426517</v>
      </c>
    </row>
    <row r="9" customFormat="false" ht="15" hidden="false" customHeight="true" outlineLevel="0" collapsed="false">
      <c r="A9" s="0" t="s">
        <v>116</v>
      </c>
      <c r="B9" s="0" t="s">
        <v>117</v>
      </c>
      <c r="C9" s="0" t="n">
        <f aca="false">Offre!$E$2*(Offre!$C$2^Param!$B$3)*1_Friction!C9</f>
        <v>3.25733197861457</v>
      </c>
      <c r="D9" s="0" t="n">
        <f aca="false">Offre!$E$3*(Offre!$C$3^Param!$B$3)*1_Friction!D9</f>
        <v>7.12676575922657</v>
      </c>
      <c r="E9" s="0" t="n">
        <f aca="false">Offre!$E$4*(Offre!$C$4^Param!$B$3)*1_Friction!E9</f>
        <v>79.6335598177441</v>
      </c>
      <c r="F9" s="0" t="n">
        <f aca="false">Offre!$E$5*(Offre!$C$5^Param!$B$3)*1_Friction!F9</f>
        <v>14.4360312576388</v>
      </c>
      <c r="G9" s="0" t="n">
        <f aca="false">Offre!$E$6*(Offre!$C$6^Param!$B$3)*1_Friction!G9</f>
        <v>40.8836220808301</v>
      </c>
      <c r="H9" s="0" t="n">
        <f aca="false">Offre!$E$7*(Offre!$C$7^Param!$B$3)*1_Friction!H9</f>
        <v>9.78713080290663</v>
      </c>
      <c r="I9" s="0" t="n">
        <f aca="false">Offre!$E$8*(Offre!$C$8^Param!$B$3)*1_Friction!I9</f>
        <v>22.489757702216</v>
      </c>
      <c r="J9" s="0" t="n">
        <f aca="false">Offre!$E$9*(Offre!$C$9^Param!$B$3)*1_Friction!J9</f>
        <v>17.7319195059089</v>
      </c>
      <c r="K9" s="0" t="n">
        <f aca="false">Offre!$E$10*(Offre!$C$10^Param!$B$3)*1_Friction!K9</f>
        <v>10.9114827015781</v>
      </c>
      <c r="L9" s="0" t="n">
        <f aca="false">Offre!$E$11*(Offre!$C$11^Param!$B$3)*1_Friction!L9</f>
        <v>11.2517529570276</v>
      </c>
      <c r="M9" s="0" t="n">
        <f aca="false">Offre!$E$12*(Offre!$C$12^Param!$B$3)*1_Friction!M9</f>
        <v>61.4544324913599</v>
      </c>
      <c r="N9" s="0" t="n">
        <f aca="false">Offre!$E$13*(Offre!$C$13^Param!$B$3)*1_Friction!N9</f>
        <v>8.15631629109844</v>
      </c>
      <c r="O9" s="0" t="n">
        <f aca="false">Offre!$E$14*(Offre!$C$14^Param!$B$3)*1_Friction!O9</f>
        <v>26.0442592994928</v>
      </c>
      <c r="P9" s="0" t="n">
        <f aca="false">Offre!$E$15*(Offre!$C$15^Param!$B$3)*1_Friction!P9</f>
        <v>12.7467938361379</v>
      </c>
      <c r="Q9" s="0" t="n">
        <f aca="false">Offre!$E$16*(Offre!$C$16^Param!$B$3)*1_Friction!Q9</f>
        <v>112.700480713997</v>
      </c>
      <c r="R9" s="0" t="n">
        <f aca="false">Offre!$E$17*(Offre!$C$17^Param!$B$3)*1_Friction!R9</f>
        <v>14.965617068685</v>
      </c>
      <c r="S9" s="0" t="n">
        <f aca="false">Offre!$E$18*(Offre!$C$18^Param!$B$3)*1_Friction!S9</f>
        <v>11.0871435287526</v>
      </c>
      <c r="T9" s="0" t="n">
        <f aca="false">Offre!$E$19*(Offre!$C$19^Param!$B$3)*1_Friction!T9</f>
        <v>4.24534014102519</v>
      </c>
      <c r="U9" s="0" t="n">
        <f aca="false">Offre!$E$20*(Offre!$C$20^Param!$B$3)*1_Friction!U9</f>
        <v>7.65585865568269</v>
      </c>
      <c r="V9" s="0" t="n">
        <f aca="false">Offre!$E$21*(Offre!$C$21^Param!$B$3)*1_Friction!V9</f>
        <v>6.18814855090905</v>
      </c>
      <c r="W9" s="0" t="n">
        <f aca="false">Offre!$E$22*(Offre!$C$22^Param!$B$3)*1_Friction!W9</f>
        <v>1.38182051060767</v>
      </c>
      <c r="X9" s="0" t="n">
        <f aca="false">Offre!$E$23*(Offre!$C$23^Param!$B$3)*1_Friction!X9</f>
        <v>2.09243243366291</v>
      </c>
      <c r="Y9" s="0" t="n">
        <f aca="false">Offre!$E$24*(Offre!$C$24^Param!$B$3)*1_Friction!Y9</f>
        <v>1.39389143514244</v>
      </c>
      <c r="Z9" s="0" t="n">
        <f aca="false">Offre!$E$25*(Offre!$C$25^Param!$B$3)*1_Friction!Z9</f>
        <v>3.408330290748</v>
      </c>
      <c r="AA9" s="0" t="n">
        <f aca="false">Offre!$E$26*(Offre!$C$26^Param!$B$3)*1_Friction!AA9</f>
        <v>7.08720029852953</v>
      </c>
      <c r="AB9" s="0" t="n">
        <f aca="false">Offre!$E$27*(Offre!$C$27^Param!$B$3)*1_Friction!AB9</f>
        <v>3.49884677990258</v>
      </c>
      <c r="AC9" s="0" t="n">
        <f aca="false">Offre!$E$28*(Offre!$C$28^Param!$B$3)*1_Friction!AC9</f>
        <v>0</v>
      </c>
      <c r="AD9" s="0" t="n">
        <f aca="false">Offre!$E$29*(Offre!$C$29^Param!$B$3)*1_Friction!AD9</f>
        <v>0</v>
      </c>
      <c r="AE9" s="0" t="n">
        <f aca="false">Offre!$E$30*(Offre!$C$30^Param!$B$3)*1_Friction!AE9</f>
        <v>0</v>
      </c>
      <c r="AF9" s="0" t="n">
        <f aca="false">Offre!$E$31*(Offre!$C$31^Param!$B$3)*1_Friction!AF9</f>
        <v>0</v>
      </c>
      <c r="AG9" s="0" t="n">
        <f aca="false">Offre!$E$32*(Offre!$C$32^Param!$B$3)*1_Friction!AG9</f>
        <v>0</v>
      </c>
      <c r="AH9" s="0" t="n">
        <f aca="false">Offre!$E$33*(Offre!$C$33^Param!$B$3)*1_Friction!AH9</f>
        <v>37.6989106601453</v>
      </c>
      <c r="AI9" s="0" t="n">
        <f aca="false">Offre!$E$34*(Offre!$C$34^Param!$B$3)*1_Friction!AI9</f>
        <v>1.85279414700848</v>
      </c>
      <c r="AJ9" s="0" t="n">
        <f aca="false">Offre!$E$35*(Offre!$C$35^Param!$B$3)*1_Friction!AJ9</f>
        <v>2.97903553647187</v>
      </c>
      <c r="AK9" s="0" t="n">
        <f aca="false">Offre!$E$36*(Offre!$C$36^Param!$B$3)*1_Friction!AK9</f>
        <v>0</v>
      </c>
      <c r="AL9" s="0" t="n">
        <f aca="false">Offre!$E$37*(Offre!$C$37^Param!$B$3)*1_Friction!AL9</f>
        <v>0</v>
      </c>
      <c r="AM9" s="0" t="n">
        <f aca="false">Offre!$E$38*(Offre!$C$38^Param!$B$3)*1_Friction!AM9</f>
        <v>7.3781409091915</v>
      </c>
      <c r="AN9" s="0" t="n">
        <f aca="false">Offre!$E$39*(Offre!$C$39^Param!$B$3)*1_Friction!AN9</f>
        <v>0</v>
      </c>
      <c r="AO9" s="0" t="n">
        <f aca="false">SUM(C9:AN9)</f>
        <v>551.525148142242</v>
      </c>
    </row>
    <row r="10" customFormat="false" ht="15" hidden="false" customHeight="true" outlineLevel="0" collapsed="false">
      <c r="A10" s="0" t="s">
        <v>118</v>
      </c>
      <c r="B10" s="0" t="s">
        <v>119</v>
      </c>
      <c r="C10" s="0" t="n">
        <f aca="false">Offre!$E$2*(Offre!$C$2^Param!$B$3)*1_Friction!C10</f>
        <v>6.28958546674948</v>
      </c>
      <c r="D10" s="0" t="n">
        <f aca="false">Offre!$E$3*(Offre!$C$3^Param!$B$3)*1_Friction!D10</f>
        <v>8.26169111839404</v>
      </c>
      <c r="E10" s="0" t="n">
        <f aca="false">Offre!$E$4*(Offre!$C$4^Param!$B$3)*1_Friction!E10</f>
        <v>89.8447077987993</v>
      </c>
      <c r="F10" s="0" t="n">
        <f aca="false">Offre!$E$5*(Offre!$C$5^Param!$B$3)*1_Friction!F10</f>
        <v>16.2555942616204</v>
      </c>
      <c r="G10" s="0" t="n">
        <f aca="false">Offre!$E$6*(Offre!$C$6^Param!$B$3)*1_Friction!G10</f>
        <v>45.6694737324203</v>
      </c>
      <c r="H10" s="0" t="n">
        <f aca="false">Offre!$E$7*(Offre!$C$7^Param!$B$3)*1_Friction!H10</f>
        <v>10.8638630312449</v>
      </c>
      <c r="I10" s="0" t="n">
        <f aca="false">Offre!$E$8*(Offre!$C$8^Param!$B$3)*1_Friction!I10</f>
        <v>24.4240949821133</v>
      </c>
      <c r="J10" s="0" t="n">
        <f aca="false">Offre!$E$9*(Offre!$C$9^Param!$B$3)*1_Friction!J10</f>
        <v>19.3804276541699</v>
      </c>
      <c r="K10" s="0" t="n">
        <f aca="false">Offre!$E$10*(Offre!$C$10^Param!$B$3)*1_Friction!K10</f>
        <v>12.0764338488343</v>
      </c>
      <c r="L10" s="0" t="n">
        <f aca="false">Offre!$E$11*(Offre!$C$11^Param!$B$3)*1_Friction!L10</f>
        <v>12.2157334084407</v>
      </c>
      <c r="M10" s="0" t="n">
        <f aca="false">Offre!$E$12*(Offre!$C$12^Param!$B$3)*1_Friction!M10</f>
        <v>66.1945862181534</v>
      </c>
      <c r="N10" s="0" t="n">
        <f aca="false">Offre!$E$13*(Offre!$C$13^Param!$B$3)*1_Friction!N10</f>
        <v>8.94465693935589</v>
      </c>
      <c r="O10" s="0" t="n">
        <f aca="false">Offre!$E$14*(Offre!$C$14^Param!$B$3)*1_Friction!O10</f>
        <v>28.3382078234338</v>
      </c>
      <c r="P10" s="0" t="n">
        <f aca="false">Offre!$E$15*(Offre!$C$15^Param!$B$3)*1_Friction!P10</f>
        <v>13.7428627303143</v>
      </c>
      <c r="Q10" s="0" t="n">
        <f aca="false">Offre!$E$16*(Offre!$C$16^Param!$B$3)*1_Friction!Q10</f>
        <v>120.629505156249</v>
      </c>
      <c r="R10" s="0" t="n">
        <f aca="false">Offre!$E$17*(Offre!$C$17^Param!$B$3)*1_Friction!R10</f>
        <v>16.0503626966292</v>
      </c>
      <c r="S10" s="0" t="n">
        <f aca="false">Offre!$E$18*(Offre!$C$18^Param!$B$3)*1_Friction!S10</f>
        <v>11.9829376436811</v>
      </c>
      <c r="T10" s="0" t="n">
        <f aca="false">Offre!$E$19*(Offre!$C$19^Param!$B$3)*1_Friction!T10</f>
        <v>8.53541205826449</v>
      </c>
      <c r="U10" s="0" t="n">
        <f aca="false">Offre!$E$20*(Offre!$C$20^Param!$B$3)*1_Friction!U10</f>
        <v>3.0866573799042</v>
      </c>
      <c r="V10" s="0" t="n">
        <f aca="false">Offre!$E$21*(Offre!$C$21^Param!$B$3)*1_Friction!V10</f>
        <v>9.62235658086427</v>
      </c>
      <c r="W10" s="0" t="n">
        <f aca="false">Offre!$E$22*(Offre!$C$22^Param!$B$3)*1_Friction!W10</f>
        <v>1.59507221775538</v>
      </c>
      <c r="X10" s="0" t="n">
        <f aca="false">Offre!$E$23*(Offre!$C$23^Param!$B$3)*1_Friction!X10</f>
        <v>2.15705059591207</v>
      </c>
      <c r="Y10" s="0" t="n">
        <f aca="false">Offre!$E$24*(Offre!$C$24^Param!$B$3)*1_Friction!Y10</f>
        <v>1.43585473638606</v>
      </c>
      <c r="Z10" s="0" t="n">
        <f aca="false">Offre!$E$25*(Offre!$C$25^Param!$B$3)*1_Friction!Z10</f>
        <v>3.5113901107022</v>
      </c>
      <c r="AA10" s="0" t="n">
        <f aca="false">Offre!$E$26*(Offre!$C$26^Param!$B$3)*1_Friction!AA10</f>
        <v>6.28100232094397</v>
      </c>
      <c r="AB10" s="0" t="n">
        <f aca="false">Offre!$E$27*(Offre!$C$27^Param!$B$3)*1_Friction!AB10</f>
        <v>2.66956988717174</v>
      </c>
      <c r="AC10" s="0" t="n">
        <f aca="false">Offre!$E$28*(Offre!$C$28^Param!$B$3)*1_Friction!AC10</f>
        <v>0</v>
      </c>
      <c r="AD10" s="0" t="n">
        <f aca="false">Offre!$E$29*(Offre!$C$29^Param!$B$3)*1_Friction!AD10</f>
        <v>0</v>
      </c>
      <c r="AE10" s="0" t="n">
        <f aca="false">Offre!$E$30*(Offre!$C$30^Param!$B$3)*1_Friction!AE10</f>
        <v>0</v>
      </c>
      <c r="AF10" s="0" t="n">
        <f aca="false">Offre!$E$31*(Offre!$C$31^Param!$B$3)*1_Friction!AF10</f>
        <v>0</v>
      </c>
      <c r="AG10" s="0" t="n">
        <f aca="false">Offre!$E$32*(Offre!$C$32^Param!$B$3)*1_Friction!AG10</f>
        <v>0</v>
      </c>
      <c r="AH10" s="0" t="n">
        <f aca="false">Offre!$E$33*(Offre!$C$33^Param!$B$3)*1_Friction!AH10</f>
        <v>38.9817954382467</v>
      </c>
      <c r="AI10" s="0" t="n">
        <f aca="false">Offre!$E$34*(Offre!$C$34^Param!$B$3)*1_Friction!AI10</f>
        <v>3.78806473667125</v>
      </c>
      <c r="AJ10" s="0" t="n">
        <f aca="false">Offre!$E$35*(Offre!$C$35^Param!$B$3)*1_Friction!AJ10</f>
        <v>3.06984954710803</v>
      </c>
      <c r="AK10" s="0" t="n">
        <f aca="false">Offre!$E$36*(Offre!$C$36^Param!$B$3)*1_Friction!AK10</f>
        <v>0</v>
      </c>
      <c r="AL10" s="0" t="n">
        <f aca="false">Offre!$E$37*(Offre!$C$37^Param!$B$3)*1_Friction!AL10</f>
        <v>0</v>
      </c>
      <c r="AM10" s="0" t="n">
        <f aca="false">Offre!$E$38*(Offre!$C$38^Param!$B$3)*1_Friction!AM10</f>
        <v>14.6278841823766</v>
      </c>
      <c r="AN10" s="0" t="n">
        <f aca="false">Offre!$E$39*(Offre!$C$39^Param!$B$3)*1_Friction!AN10</f>
        <v>0</v>
      </c>
      <c r="AO10" s="0" t="n">
        <f aca="false">SUM(C10:AN10)</f>
        <v>610.526684302911</v>
      </c>
    </row>
    <row r="11" customFormat="false" ht="15" hidden="false" customHeight="true" outlineLevel="0" collapsed="false">
      <c r="A11" s="0" t="s">
        <v>120</v>
      </c>
      <c r="B11" s="0" t="s">
        <v>121</v>
      </c>
      <c r="C11" s="0" t="n">
        <f aca="false">Offre!$E$2*(Offre!$C$2^Param!$B$3)*1_Friction!C11</f>
        <v>1.5078651091933</v>
      </c>
      <c r="D11" s="0" t="n">
        <f aca="false">Offre!$E$3*(Offre!$C$3^Param!$B$3)*1_Friction!D11</f>
        <v>5.94624103206836</v>
      </c>
      <c r="E11" s="0" t="n">
        <f aca="false">Offre!$E$4*(Offre!$C$4^Param!$B$3)*1_Friction!E11</f>
        <v>66.0032754559588</v>
      </c>
      <c r="F11" s="0" t="n">
        <f aca="false">Offre!$E$5*(Offre!$C$5^Param!$B$3)*1_Friction!F11</f>
        <v>12.2562870781396</v>
      </c>
      <c r="G11" s="0" t="n">
        <f aca="false">Offre!$E$6*(Offre!$C$6^Param!$B$3)*1_Friction!G11</f>
        <v>36.9738898348405</v>
      </c>
      <c r="H11" s="0" t="n">
        <f aca="false">Offre!$E$7*(Offre!$C$7^Param!$B$3)*1_Friction!H11</f>
        <v>7.96658660079073</v>
      </c>
      <c r="I11" s="0" t="n">
        <f aca="false">Offre!$E$8*(Offre!$C$8^Param!$B$3)*1_Friction!I11</f>
        <v>19.9869478915577</v>
      </c>
      <c r="J11" s="0" t="n">
        <f aca="false">Offre!$E$9*(Offre!$C$9^Param!$B$3)*1_Friction!J11</f>
        <v>15.5679536146697</v>
      </c>
      <c r="K11" s="0" t="n">
        <f aca="false">Offre!$E$10*(Offre!$C$10^Param!$B$3)*1_Friction!K11</f>
        <v>9.72997100916856</v>
      </c>
      <c r="L11" s="0" t="n">
        <f aca="false">Offre!$E$11*(Offre!$C$11^Param!$B$3)*1_Friction!L11</f>
        <v>10.2524484819248</v>
      </c>
      <c r="M11" s="0" t="n">
        <f aca="false">Offre!$E$12*(Offre!$C$12^Param!$B$3)*1_Friction!M11</f>
        <v>47.5699282565469</v>
      </c>
      <c r="N11" s="0" t="n">
        <f aca="false">Offre!$E$13*(Offre!$C$13^Param!$B$3)*1_Friction!N11</f>
        <v>7.13531207339028</v>
      </c>
      <c r="O11" s="0" t="n">
        <f aca="false">Offre!$E$14*(Offre!$C$14^Param!$B$3)*1_Friction!O11</f>
        <v>23.318105873484</v>
      </c>
      <c r="P11" s="0" t="n">
        <f aca="false">Offre!$E$15*(Offre!$C$15^Param!$B$3)*1_Friction!P11</f>
        <v>11.6194416128481</v>
      </c>
      <c r="Q11" s="0" t="n">
        <f aca="false">Offre!$E$16*(Offre!$C$16^Param!$B$3)*1_Friction!Q11</f>
        <v>105.061810258689</v>
      </c>
      <c r="R11" s="0" t="n">
        <f aca="false">Offre!$E$17*(Offre!$C$17^Param!$B$3)*1_Friction!R11</f>
        <v>13.6699313092331</v>
      </c>
      <c r="S11" s="0" t="n">
        <f aca="false">Offre!$E$18*(Offre!$C$18^Param!$B$3)*1_Friction!S11</f>
        <v>10.2524484819248</v>
      </c>
      <c r="T11" s="0" t="n">
        <f aca="false">Offre!$E$19*(Offre!$C$19^Param!$B$3)*1_Friction!T11</f>
        <v>1.21006008774953</v>
      </c>
      <c r="U11" s="0" t="n">
        <f aca="false">Offre!$E$20*(Offre!$C$20^Param!$B$3)*1_Friction!U11</f>
        <v>0.561326903050561</v>
      </c>
      <c r="V11" s="0" t="n">
        <f aca="false">Offre!$E$21*(Offre!$C$21^Param!$B$3)*1_Friction!V11</f>
        <v>0</v>
      </c>
      <c r="W11" s="0" t="n">
        <f aca="false">Offre!$E$22*(Offre!$C$22^Param!$B$3)*1_Friction!W11</f>
        <v>0</v>
      </c>
      <c r="X11" s="0" t="n">
        <f aca="false">Offre!$E$23*(Offre!$C$23^Param!$B$3)*1_Friction!X11</f>
        <v>0</v>
      </c>
      <c r="Y11" s="0" t="n">
        <f aca="false">Offre!$E$24*(Offre!$C$24^Param!$B$3)*1_Friction!Y11</f>
        <v>0</v>
      </c>
      <c r="Z11" s="0" t="n">
        <f aca="false">Offre!$E$25*(Offre!$C$25^Param!$B$3)*1_Friction!Z11</f>
        <v>0</v>
      </c>
      <c r="AA11" s="0" t="n">
        <f aca="false">Offre!$E$26*(Offre!$C$26^Param!$B$3)*1_Friction!AA11</f>
        <v>0</v>
      </c>
      <c r="AB11" s="0" t="n">
        <f aca="false">Offre!$E$27*(Offre!$C$27^Param!$B$3)*1_Friction!AB11</f>
        <v>0</v>
      </c>
      <c r="AC11" s="0" t="n">
        <f aca="false">Offre!$E$28*(Offre!$C$28^Param!$B$3)*1_Friction!AC11</f>
        <v>0</v>
      </c>
      <c r="AD11" s="0" t="n">
        <f aca="false">Offre!$E$29*(Offre!$C$29^Param!$B$3)*1_Friction!AD11</f>
        <v>0</v>
      </c>
      <c r="AE11" s="0" t="n">
        <f aca="false">Offre!$E$30*(Offre!$C$30^Param!$B$3)*1_Friction!AE11</f>
        <v>0</v>
      </c>
      <c r="AF11" s="0" t="n">
        <f aca="false">Offre!$E$31*(Offre!$C$31^Param!$B$3)*1_Friction!AF11</f>
        <v>0</v>
      </c>
      <c r="AG11" s="0" t="n">
        <f aca="false">Offre!$E$32*(Offre!$C$32^Param!$B$3)*1_Friction!AG11</f>
        <v>0</v>
      </c>
      <c r="AH11" s="0" t="n">
        <f aca="false">Offre!$E$33*(Offre!$C$33^Param!$B$3)*1_Friction!AH11</f>
        <v>34.6314856037901</v>
      </c>
      <c r="AI11" s="0" t="n">
        <f aca="false">Offre!$E$34*(Offre!$C$34^Param!$B$3)*1_Friction!AI11</f>
        <v>0.55461087355187</v>
      </c>
      <c r="AJ11" s="0" t="n">
        <f aca="false">Offre!$E$35*(Offre!$C$35^Param!$B$3)*1_Friction!AJ11</f>
        <v>0</v>
      </c>
      <c r="AK11" s="0" t="n">
        <f aca="false">Offre!$E$36*(Offre!$C$36^Param!$B$3)*1_Friction!AK11</f>
        <v>0</v>
      </c>
      <c r="AL11" s="0" t="n">
        <f aca="false">Offre!$E$37*(Offre!$C$37^Param!$B$3)*1_Friction!AL11</f>
        <v>0</v>
      </c>
      <c r="AM11" s="0" t="n">
        <f aca="false">Offre!$E$38*(Offre!$C$38^Param!$B$3)*1_Friction!AM11</f>
        <v>4.04731212707669</v>
      </c>
      <c r="AN11" s="0" t="n">
        <f aca="false">Offre!$E$39*(Offre!$C$39^Param!$B$3)*1_Friction!AN11</f>
        <v>0</v>
      </c>
      <c r="AO11" s="0" t="n">
        <f aca="false">SUM(C11:AN11)</f>
        <v>445.823239569647</v>
      </c>
    </row>
    <row r="12" customFormat="false" ht="15" hidden="false" customHeight="true" outlineLevel="0" collapsed="false">
      <c r="A12" s="0" t="s">
        <v>122</v>
      </c>
      <c r="B12" s="0" t="s">
        <v>123</v>
      </c>
      <c r="C12" s="0" t="n">
        <f aca="false">Offre!$E$2*(Offre!$C$2^Param!$B$3)*1_Friction!C12</f>
        <v>0</v>
      </c>
      <c r="D12" s="0" t="n">
        <f aca="false">Offre!$E$3*(Offre!$C$3^Param!$B$3)*1_Friction!D12</f>
        <v>0</v>
      </c>
      <c r="E12" s="0" t="n">
        <f aca="false">Offre!$E$4*(Offre!$C$4^Param!$B$3)*1_Friction!E12</f>
        <v>0</v>
      </c>
      <c r="F12" s="0" t="n">
        <f aca="false">Offre!$E$5*(Offre!$C$5^Param!$B$3)*1_Friction!F12</f>
        <v>0</v>
      </c>
      <c r="G12" s="0" t="n">
        <f aca="false">Offre!$E$6*(Offre!$C$6^Param!$B$3)*1_Friction!G12</f>
        <v>0</v>
      </c>
      <c r="H12" s="0" t="n">
        <f aca="false">Offre!$E$7*(Offre!$C$7^Param!$B$3)*1_Friction!H12</f>
        <v>0</v>
      </c>
      <c r="I12" s="0" t="n">
        <f aca="false">Offre!$E$8*(Offre!$C$8^Param!$B$3)*1_Friction!I12</f>
        <v>0</v>
      </c>
      <c r="J12" s="0" t="n">
        <f aca="false">Offre!$E$9*(Offre!$C$9^Param!$B$3)*1_Friction!J12</f>
        <v>0</v>
      </c>
      <c r="K12" s="0" t="n">
        <f aca="false">Offre!$E$10*(Offre!$C$10^Param!$B$3)*1_Friction!K12</f>
        <v>0</v>
      </c>
      <c r="L12" s="0" t="n">
        <f aca="false">Offre!$E$11*(Offre!$C$11^Param!$B$3)*1_Friction!L12</f>
        <v>0</v>
      </c>
      <c r="M12" s="0" t="n">
        <f aca="false">Offre!$E$12*(Offre!$C$12^Param!$B$3)*1_Friction!M12</f>
        <v>0</v>
      </c>
      <c r="N12" s="0" t="n">
        <f aca="false">Offre!$E$13*(Offre!$C$13^Param!$B$3)*1_Friction!N12</f>
        <v>0</v>
      </c>
      <c r="O12" s="0" t="n">
        <f aca="false">Offre!$E$14*(Offre!$C$14^Param!$B$3)*1_Friction!O12</f>
        <v>0</v>
      </c>
      <c r="P12" s="0" t="n">
        <f aca="false">Offre!$E$15*(Offre!$C$15^Param!$B$3)*1_Friction!P12</f>
        <v>0</v>
      </c>
      <c r="Q12" s="0" t="n">
        <f aca="false">Offre!$E$16*(Offre!$C$16^Param!$B$3)*1_Friction!Q12</f>
        <v>0</v>
      </c>
      <c r="R12" s="0" t="n">
        <f aca="false">Offre!$E$17*(Offre!$C$17^Param!$B$3)*1_Friction!R12</f>
        <v>0</v>
      </c>
      <c r="S12" s="0" t="n">
        <f aca="false">Offre!$E$18*(Offre!$C$18^Param!$B$3)*1_Friction!S12</f>
        <v>0</v>
      </c>
      <c r="T12" s="0" t="n">
        <f aca="false">Offre!$E$19*(Offre!$C$19^Param!$B$3)*1_Friction!T12</f>
        <v>0</v>
      </c>
      <c r="U12" s="0" t="n">
        <f aca="false">Offre!$E$20*(Offre!$C$20^Param!$B$3)*1_Friction!U12</f>
        <v>0</v>
      </c>
      <c r="V12" s="0" t="n">
        <f aca="false">Offre!$E$21*(Offre!$C$21^Param!$B$3)*1_Friction!V12</f>
        <v>0</v>
      </c>
      <c r="W12" s="0" t="n">
        <f aca="false">Offre!$E$22*(Offre!$C$22^Param!$B$3)*1_Friction!W12</f>
        <v>0</v>
      </c>
      <c r="X12" s="0" t="n">
        <f aca="false">Offre!$E$23*(Offre!$C$23^Param!$B$3)*1_Friction!X12</f>
        <v>0</v>
      </c>
      <c r="Y12" s="0" t="n">
        <f aca="false">Offre!$E$24*(Offre!$C$24^Param!$B$3)*1_Friction!Y12</f>
        <v>0</v>
      </c>
      <c r="Z12" s="0" t="n">
        <f aca="false">Offre!$E$25*(Offre!$C$25^Param!$B$3)*1_Friction!Z12</f>
        <v>0</v>
      </c>
      <c r="AA12" s="0" t="n">
        <f aca="false">Offre!$E$26*(Offre!$C$26^Param!$B$3)*1_Friction!AA12</f>
        <v>0</v>
      </c>
      <c r="AB12" s="0" t="n">
        <f aca="false">Offre!$E$27*(Offre!$C$27^Param!$B$3)*1_Friction!AB12</f>
        <v>0</v>
      </c>
      <c r="AC12" s="0" t="n">
        <f aca="false">Offre!$E$28*(Offre!$C$28^Param!$B$3)*1_Friction!AC12</f>
        <v>0</v>
      </c>
      <c r="AD12" s="0" t="n">
        <f aca="false">Offre!$E$29*(Offre!$C$29^Param!$B$3)*1_Friction!AD12</f>
        <v>0</v>
      </c>
      <c r="AE12" s="0" t="n">
        <f aca="false">Offre!$E$30*(Offre!$C$30^Param!$B$3)*1_Friction!AE12</f>
        <v>0</v>
      </c>
      <c r="AF12" s="0" t="n">
        <f aca="false">Offre!$E$31*(Offre!$C$31^Param!$B$3)*1_Friction!AF12</f>
        <v>0</v>
      </c>
      <c r="AG12" s="0" t="n">
        <f aca="false">Offre!$E$32*(Offre!$C$32^Param!$B$3)*1_Friction!AG12</f>
        <v>0</v>
      </c>
      <c r="AH12" s="0" t="n">
        <f aca="false">Offre!$E$33*(Offre!$C$33^Param!$B$3)*1_Friction!AH12</f>
        <v>0</v>
      </c>
      <c r="AI12" s="0" t="n">
        <f aca="false">Offre!$E$34*(Offre!$C$34^Param!$B$3)*1_Friction!AI12</f>
        <v>0</v>
      </c>
      <c r="AJ12" s="0" t="n">
        <f aca="false">Offre!$E$35*(Offre!$C$35^Param!$B$3)*1_Friction!AJ12</f>
        <v>0</v>
      </c>
      <c r="AK12" s="0" t="n">
        <f aca="false">Offre!$E$36*(Offre!$C$36^Param!$B$3)*1_Friction!AK12</f>
        <v>0</v>
      </c>
      <c r="AL12" s="0" t="n">
        <f aca="false">Offre!$E$37*(Offre!$C$37^Param!$B$3)*1_Friction!AL12</f>
        <v>0</v>
      </c>
      <c r="AM12" s="0" t="n">
        <f aca="false">Offre!$E$38*(Offre!$C$38^Param!$B$3)*1_Friction!AM12</f>
        <v>0</v>
      </c>
      <c r="AN12" s="0" t="n">
        <f aca="false">Offre!$E$39*(Offre!$C$39^Param!$B$3)*1_Friction!AN12</f>
        <v>0</v>
      </c>
      <c r="AO12" s="0" t="n">
        <f aca="false">SUM(C12:AN12)</f>
        <v>0</v>
      </c>
    </row>
    <row r="13" customFormat="false" ht="15" hidden="false" customHeight="true" outlineLevel="0" collapsed="false">
      <c r="A13" s="0" t="s">
        <v>124</v>
      </c>
      <c r="B13" s="0" t="s">
        <v>125</v>
      </c>
      <c r="C13" s="0" t="n">
        <f aca="false">Offre!$E$2*(Offre!$C$2^Param!$B$3)*1_Friction!C13</f>
        <v>0.152001785562909</v>
      </c>
      <c r="D13" s="0" t="n">
        <f aca="false">Offre!$E$3*(Offre!$C$3^Param!$B$3)*1_Friction!D13</f>
        <v>1.27747129844168</v>
      </c>
      <c r="E13" s="0" t="n">
        <f aca="false">Offre!$E$4*(Offre!$C$4^Param!$B$3)*1_Friction!E13</f>
        <v>14.4559109258757</v>
      </c>
      <c r="F13" s="0" t="n">
        <f aca="false">Offre!$E$5*(Offre!$C$5^Param!$B$3)*1_Friction!F13</f>
        <v>2.65160694037253</v>
      </c>
      <c r="G13" s="0" t="n">
        <f aca="false">Offre!$E$6*(Offre!$C$6^Param!$B$3)*1_Friction!G13</f>
        <v>7.41346668797891</v>
      </c>
      <c r="H13" s="0" t="n">
        <f aca="false">Offre!$E$7*(Offre!$C$7^Param!$B$3)*1_Friction!H13</f>
        <v>1.9585193276752</v>
      </c>
      <c r="I13" s="0" t="n">
        <f aca="false">Offre!$E$8*(Offre!$C$8^Param!$B$3)*1_Friction!I13</f>
        <v>4.4622932734097</v>
      </c>
      <c r="J13" s="0" t="n">
        <f aca="false">Offre!$E$9*(Offre!$C$9^Param!$B$3)*1_Friction!J13</f>
        <v>3.41031419805646</v>
      </c>
      <c r="K13" s="0" t="n">
        <f aca="false">Offre!$E$10*(Offre!$C$10^Param!$B$3)*1_Friction!K13</f>
        <v>2.03503446375116</v>
      </c>
      <c r="L13" s="0" t="n">
        <f aca="false">Offre!$E$11*(Offre!$C$11^Param!$B$3)*1_Friction!L13</f>
        <v>2.2340030849233</v>
      </c>
      <c r="M13" s="0" t="n">
        <f aca="false">Offre!$E$12*(Offre!$C$12^Param!$B$3)*1_Friction!M13</f>
        <v>12.8626988382051</v>
      </c>
      <c r="N13" s="0" t="n">
        <f aca="false">Offre!$E$13*(Offre!$C$13^Param!$B$3)*1_Friction!N13</f>
        <v>1.58136719579684</v>
      </c>
      <c r="O13" s="0" t="n">
        <f aca="false">Offre!$E$14*(Offre!$C$14^Param!$B$3)*1_Friction!O13</f>
        <v>5.08381414201505</v>
      </c>
      <c r="P13" s="0" t="n">
        <f aca="false">Offre!$E$15*(Offre!$C$15^Param!$B$3)*1_Friction!P13</f>
        <v>2.52863285493216</v>
      </c>
      <c r="Q13" s="0" t="n">
        <f aca="false">Offre!$E$16*(Offre!$C$16^Param!$B$3)*1_Friction!Q13</f>
        <v>22.4688977814499</v>
      </c>
      <c r="R13" s="0" t="n">
        <f aca="false">Offre!$E$17*(Offre!$C$17^Param!$B$3)*1_Friction!R13</f>
        <v>2.95776701847393</v>
      </c>
      <c r="S13" s="0" t="n">
        <f aca="false">Offre!$E$18*(Offre!$C$18^Param!$B$3)*1_Friction!S13</f>
        <v>2.13559225122499</v>
      </c>
      <c r="T13" s="0" t="n">
        <f aca="false">Offre!$E$19*(Offre!$C$19^Param!$B$3)*1_Friction!T13</f>
        <v>0.9551672655346</v>
      </c>
      <c r="U13" s="0" t="n">
        <f aca="false">Offre!$E$20*(Offre!$C$20^Param!$B$3)*1_Friction!U13</f>
        <v>1.52071060101043</v>
      </c>
      <c r="V13" s="0" t="n">
        <f aca="false">Offre!$E$21*(Offre!$C$21^Param!$B$3)*1_Friction!V13</f>
        <v>0</v>
      </c>
      <c r="W13" s="0" t="n">
        <f aca="false">Offre!$E$22*(Offre!$C$22^Param!$B$3)*1_Friction!W13</f>
        <v>0</v>
      </c>
      <c r="X13" s="0" t="n">
        <f aca="false">Offre!$E$23*(Offre!$C$23^Param!$B$3)*1_Friction!X13</f>
        <v>0</v>
      </c>
      <c r="Y13" s="0" t="n">
        <f aca="false">Offre!$E$24*(Offre!$C$24^Param!$B$3)*1_Friction!Y13</f>
        <v>0</v>
      </c>
      <c r="Z13" s="0" t="n">
        <f aca="false">Offre!$E$25*(Offre!$C$25^Param!$B$3)*1_Friction!Z13</f>
        <v>0</v>
      </c>
      <c r="AA13" s="0" t="n">
        <f aca="false">Offre!$E$26*(Offre!$C$26^Param!$B$3)*1_Friction!AA13</f>
        <v>0</v>
      </c>
      <c r="AB13" s="0" t="n">
        <f aca="false">Offre!$E$27*(Offre!$C$27^Param!$B$3)*1_Friction!AB13</f>
        <v>0</v>
      </c>
      <c r="AC13" s="0" t="n">
        <f aca="false">Offre!$E$28*(Offre!$C$28^Param!$B$3)*1_Friction!AC13</f>
        <v>0.0872367571349752</v>
      </c>
      <c r="AD13" s="0" t="n">
        <f aca="false">Offre!$E$29*(Offre!$C$29^Param!$B$3)*1_Friction!AD13</f>
        <v>0.418837555500433</v>
      </c>
      <c r="AE13" s="0" t="n">
        <f aca="false">Offre!$E$30*(Offre!$C$30^Param!$B$3)*1_Friction!AE13</f>
        <v>0.233078849980172</v>
      </c>
      <c r="AF13" s="0" t="n">
        <f aca="false">Offre!$E$31*(Offre!$C$31^Param!$B$3)*1_Friction!AF13</f>
        <v>0.153940482026168</v>
      </c>
      <c r="AG13" s="0" t="n">
        <f aca="false">Offre!$E$32*(Offre!$C$32^Param!$B$3)*1_Friction!AG13</f>
        <v>0</v>
      </c>
      <c r="AH13" s="0" t="n">
        <f aca="false">Offre!$E$33*(Offre!$C$33^Param!$B$3)*1_Friction!AH13</f>
        <v>7.76239015878073</v>
      </c>
      <c r="AI13" s="0" t="n">
        <f aca="false">Offre!$E$34*(Offre!$C$34^Param!$B$3)*1_Friction!AI13</f>
        <v>0.406744499541648</v>
      </c>
      <c r="AJ13" s="0" t="n">
        <f aca="false">Offre!$E$35*(Offre!$C$35^Param!$B$3)*1_Friction!AJ13</f>
        <v>0</v>
      </c>
      <c r="AK13" s="0" t="n">
        <f aca="false">Offre!$E$36*(Offre!$C$36^Param!$B$3)*1_Friction!AK13</f>
        <v>0.354886750390157</v>
      </c>
      <c r="AL13" s="0" t="n">
        <f aca="false">Offre!$E$37*(Offre!$C$37^Param!$B$3)*1_Friction!AL13</f>
        <v>0.772586197755664</v>
      </c>
      <c r="AM13" s="0" t="n">
        <f aca="false">Offre!$E$38*(Offre!$C$38^Param!$B$3)*1_Friction!AM13</f>
        <v>0</v>
      </c>
      <c r="AN13" s="0" t="n">
        <f aca="false">Offre!$E$39*(Offre!$C$39^Param!$B$3)*1_Friction!AN13</f>
        <v>0</v>
      </c>
      <c r="AO13" s="0" t="n">
        <f aca="false">SUM(C13:AN13)</f>
        <v>102.3349711858</v>
      </c>
    </row>
    <row r="14" customFormat="false" ht="15" hidden="false" customHeight="true" outlineLevel="0" collapsed="false">
      <c r="A14" s="0" t="s">
        <v>126</v>
      </c>
      <c r="B14" s="0" t="s">
        <v>127</v>
      </c>
      <c r="C14" s="0" t="n">
        <f aca="false">Offre!$E$2*(Offre!$C$2^Param!$B$3)*1_Friction!C14</f>
        <v>0</v>
      </c>
      <c r="D14" s="0" t="n">
        <f aca="false">Offre!$E$3*(Offre!$C$3^Param!$B$3)*1_Friction!D14</f>
        <v>1.06049700834125</v>
      </c>
      <c r="E14" s="0" t="n">
        <f aca="false">Offre!$E$4*(Offre!$C$4^Param!$B$3)*1_Friction!E14</f>
        <v>12.0114302250043</v>
      </c>
      <c r="F14" s="0" t="n">
        <f aca="false">Offre!$E$5*(Offre!$C$5^Param!$B$3)*1_Friction!F14</f>
        <v>2.20507013011473</v>
      </c>
      <c r="G14" s="0" t="n">
        <f aca="false">Offre!$E$6*(Offre!$C$6^Param!$B$3)*1_Friction!G14</f>
        <v>6.16375180742831</v>
      </c>
      <c r="H14" s="0" t="n">
        <f aca="false">Offre!$E$7*(Offre!$C$7^Param!$B$3)*1_Friction!H14</f>
        <v>1.63978654491551</v>
      </c>
      <c r="I14" s="0" t="n">
        <f aca="false">Offre!$E$8*(Offre!$C$8^Param!$B$3)*1_Friction!I14</f>
        <v>3.73127786108264</v>
      </c>
      <c r="J14" s="0" t="n">
        <f aca="false">Offre!$E$9*(Offre!$C$9^Param!$B$3)*1_Friction!J14</f>
        <v>2.84728885989027</v>
      </c>
      <c r="K14" s="0" t="n">
        <f aca="false">Offre!$E$10*(Offre!$C$10^Param!$B$3)*1_Friction!K14</f>
        <v>1.69416958074973</v>
      </c>
      <c r="L14" s="0" t="n">
        <f aca="false">Offre!$E$11*(Offre!$C$11^Param!$B$3)*1_Friction!L14</f>
        <v>1.8693965958425</v>
      </c>
      <c r="M14" s="0" t="n">
        <f aca="false">Offre!$E$12*(Offre!$C$12^Param!$B$3)*1_Friction!M14</f>
        <v>10.8037633916634</v>
      </c>
      <c r="N14" s="0" t="n">
        <f aca="false">Offre!$E$13*(Offre!$C$13^Param!$B$3)*1_Friction!N14</f>
        <v>1.32013300293044</v>
      </c>
      <c r="O14" s="0" t="n">
        <f aca="false">Offre!$E$14*(Offre!$C$14^Param!$B$3)*1_Friction!O14</f>
        <v>4.24896831048854</v>
      </c>
      <c r="P14" s="0" t="n">
        <f aca="false">Offre!$E$15*(Offre!$C$15^Param!$B$3)*1_Friction!P14</f>
        <v>2.11580963897554</v>
      </c>
      <c r="Q14" s="0" t="n">
        <f aca="false">Offre!$E$16*(Offre!$C$16^Param!$B$3)*1_Friction!Q14</f>
        <v>18.7944467635133</v>
      </c>
      <c r="R14" s="0" t="n">
        <f aca="false">Offre!$E$17*(Offre!$C$17^Param!$B$3)*1_Friction!R14</f>
        <v>2.4725330760782</v>
      </c>
      <c r="S14" s="0" t="n">
        <f aca="false">Offre!$E$18*(Offre!$C$18^Param!$B$3)*1_Friction!S14</f>
        <v>1.78197282645915</v>
      </c>
      <c r="T14" s="0" t="n">
        <f aca="false">Offre!$E$19*(Offre!$C$19^Param!$B$3)*1_Friction!T14</f>
        <v>0</v>
      </c>
      <c r="U14" s="0" t="n">
        <f aca="false">Offre!$E$20*(Offre!$C$20^Param!$B$3)*1_Friction!U14</f>
        <v>0</v>
      </c>
      <c r="V14" s="0" t="n">
        <f aca="false">Offre!$E$21*(Offre!$C$21^Param!$B$3)*1_Friction!V14</f>
        <v>0</v>
      </c>
      <c r="W14" s="0" t="n">
        <f aca="false">Offre!$E$22*(Offre!$C$22^Param!$B$3)*1_Friction!W14</f>
        <v>0</v>
      </c>
      <c r="X14" s="0" t="n">
        <f aca="false">Offre!$E$23*(Offre!$C$23^Param!$B$3)*1_Friction!X14</f>
        <v>0</v>
      </c>
      <c r="Y14" s="0" t="n">
        <f aca="false">Offre!$E$24*(Offre!$C$24^Param!$B$3)*1_Friction!Y14</f>
        <v>0</v>
      </c>
      <c r="Z14" s="0" t="n">
        <f aca="false">Offre!$E$25*(Offre!$C$25^Param!$B$3)*1_Friction!Z14</f>
        <v>0</v>
      </c>
      <c r="AA14" s="0" t="n">
        <f aca="false">Offre!$E$26*(Offre!$C$26^Param!$B$3)*1_Friction!AA14</f>
        <v>0</v>
      </c>
      <c r="AB14" s="0" t="n">
        <f aca="false">Offre!$E$27*(Offre!$C$27^Param!$B$3)*1_Friction!AB14</f>
        <v>0</v>
      </c>
      <c r="AC14" s="0" t="n">
        <f aca="false">Offre!$E$28*(Offre!$C$28^Param!$B$3)*1_Friction!AC14</f>
        <v>0</v>
      </c>
      <c r="AD14" s="0" t="n">
        <f aca="false">Offre!$E$29*(Offre!$C$29^Param!$B$3)*1_Friction!AD14</f>
        <v>0</v>
      </c>
      <c r="AE14" s="0" t="n">
        <f aca="false">Offre!$E$30*(Offre!$C$30^Param!$B$3)*1_Friction!AE14</f>
        <v>0</v>
      </c>
      <c r="AF14" s="0" t="n">
        <f aca="false">Offre!$E$31*(Offre!$C$31^Param!$B$3)*1_Friction!AF14</f>
        <v>0</v>
      </c>
      <c r="AG14" s="0" t="n">
        <f aca="false">Offre!$E$32*(Offre!$C$32^Param!$B$3)*1_Friction!AG14</f>
        <v>0</v>
      </c>
      <c r="AH14" s="0" t="n">
        <f aca="false">Offre!$E$33*(Offre!$C$33^Param!$B$3)*1_Friction!AH14</f>
        <v>6.5079000630158</v>
      </c>
      <c r="AI14" s="0" t="n">
        <f aca="false">Offre!$E$34*(Offre!$C$34^Param!$B$3)*1_Friction!AI14</f>
        <v>0</v>
      </c>
      <c r="AJ14" s="0" t="n">
        <f aca="false">Offre!$E$35*(Offre!$C$35^Param!$B$3)*1_Friction!AJ14</f>
        <v>0</v>
      </c>
      <c r="AK14" s="0" t="n">
        <f aca="false">Offre!$E$36*(Offre!$C$36^Param!$B$3)*1_Friction!AK14</f>
        <v>0</v>
      </c>
      <c r="AL14" s="0" t="n">
        <f aca="false">Offre!$E$37*(Offre!$C$37^Param!$B$3)*1_Friction!AL14</f>
        <v>0</v>
      </c>
      <c r="AM14" s="0" t="n">
        <f aca="false">Offre!$E$38*(Offre!$C$38^Param!$B$3)*1_Friction!AM14</f>
        <v>0</v>
      </c>
      <c r="AN14" s="0" t="n">
        <f aca="false">Offre!$E$39*(Offre!$C$39^Param!$B$3)*1_Friction!AN14</f>
        <v>0</v>
      </c>
      <c r="AO14" s="0" t="n">
        <f aca="false">SUM(C14:AN14)</f>
        <v>81.2681956864936</v>
      </c>
    </row>
    <row r="15" customFormat="false" ht="15" hidden="false" customHeight="true" outlineLevel="0" collapsed="false">
      <c r="A15" s="0" t="s">
        <v>128</v>
      </c>
      <c r="B15" s="0" t="s">
        <v>129</v>
      </c>
      <c r="C15" s="0" t="n">
        <f aca="false">Offre!$E$2*(Offre!$C$2^Param!$B$3)*1_Friction!C15</f>
        <v>0.890272100717011</v>
      </c>
      <c r="D15" s="0" t="n">
        <f aca="false">Offre!$E$3*(Offre!$C$3^Param!$B$3)*1_Friction!D15</f>
        <v>3.77362342210013</v>
      </c>
      <c r="E15" s="0" t="n">
        <f aca="false">Offre!$E$4*(Offre!$C$4^Param!$B$3)*1_Friction!E15</f>
        <v>42.4287540262009</v>
      </c>
      <c r="F15" s="0" t="n">
        <f aca="false">Offre!$E$5*(Offre!$C$5^Param!$B$3)*1_Friction!F15</f>
        <v>7.73613361172041</v>
      </c>
      <c r="G15" s="0" t="n">
        <f aca="false">Offre!$E$6*(Offre!$C$6^Param!$B$3)*1_Friction!G15</f>
        <v>21.7685122124296</v>
      </c>
      <c r="H15" s="0" t="n">
        <f aca="false">Offre!$E$7*(Offre!$C$7^Param!$B$3)*1_Friction!H15</f>
        <v>5.47208549472711</v>
      </c>
      <c r="I15" s="0" t="n">
        <f aca="false">Offre!$E$8*(Offre!$C$8^Param!$B$3)*1_Friction!I15</f>
        <v>12.5178135978739</v>
      </c>
      <c r="J15" s="0" t="n">
        <f aca="false">Offre!$E$9*(Offre!$C$9^Param!$B$3)*1_Friction!J15</f>
        <v>9.72269947908613</v>
      </c>
      <c r="K15" s="0" t="n">
        <f aca="false">Offre!$E$10*(Offre!$C$10^Param!$B$3)*1_Friction!K15</f>
        <v>5.89136883384322</v>
      </c>
      <c r="L15" s="0" t="n">
        <f aca="false">Offre!$E$11*(Offre!$C$11^Param!$B$3)*1_Friction!L15</f>
        <v>6.26414131079028</v>
      </c>
      <c r="M15" s="0" t="n">
        <f aca="false">Offre!$E$12*(Offre!$C$12^Param!$B$3)*1_Friction!M15</f>
        <v>35.1263891821601</v>
      </c>
      <c r="N15" s="0" t="n">
        <f aca="false">Offre!$E$13*(Offre!$C$13^Param!$B$3)*1_Friction!N15</f>
        <v>4.48855756734149</v>
      </c>
      <c r="O15" s="0" t="n">
        <f aca="false">Offre!$E$14*(Offre!$C$14^Param!$B$3)*1_Friction!O15</f>
        <v>14.3848845587504</v>
      </c>
      <c r="P15" s="0" t="n">
        <f aca="false">Offre!$E$15*(Offre!$C$15^Param!$B$3)*1_Friction!P15</f>
        <v>7.09342770546189</v>
      </c>
      <c r="Q15" s="0" t="n">
        <f aca="false">Offre!$E$16*(Offre!$C$16^Param!$B$3)*1_Friction!Q15</f>
        <v>62.8771545127368</v>
      </c>
      <c r="R15" s="0" t="n">
        <f aca="false">Offre!$E$17*(Offre!$C$17^Param!$B$3)*1_Friction!R15</f>
        <v>8.31382730195465</v>
      </c>
      <c r="S15" s="0" t="n">
        <f aca="false">Offre!$E$18*(Offre!$C$18^Param!$B$3)*1_Friction!S15</f>
        <v>6.08186610763955</v>
      </c>
      <c r="T15" s="0" t="n">
        <f aca="false">Offre!$E$19*(Offre!$C$19^Param!$B$3)*1_Friction!T15</f>
        <v>1.02704980494064</v>
      </c>
      <c r="U15" s="0" t="n">
        <f aca="false">Offre!$E$20*(Offre!$C$20^Param!$B$3)*1_Friction!U15</f>
        <v>1.63052082970793</v>
      </c>
      <c r="V15" s="0" t="n">
        <f aca="false">Offre!$E$21*(Offre!$C$21^Param!$B$3)*1_Friction!V15</f>
        <v>0</v>
      </c>
      <c r="W15" s="0" t="n">
        <f aca="false">Offre!$E$22*(Offre!$C$22^Param!$B$3)*1_Friction!W15</f>
        <v>0</v>
      </c>
      <c r="X15" s="0" t="n">
        <f aca="false">Offre!$E$23*(Offre!$C$23^Param!$B$3)*1_Friction!X15</f>
        <v>0</v>
      </c>
      <c r="Y15" s="0" t="n">
        <f aca="false">Offre!$E$24*(Offre!$C$24^Param!$B$3)*1_Friction!Y15</f>
        <v>0</v>
      </c>
      <c r="Z15" s="0" t="n">
        <f aca="false">Offre!$E$25*(Offre!$C$25^Param!$B$3)*1_Friction!Z15</f>
        <v>0</v>
      </c>
      <c r="AA15" s="0" t="n">
        <f aca="false">Offre!$E$26*(Offre!$C$26^Param!$B$3)*1_Friction!AA15</f>
        <v>0</v>
      </c>
      <c r="AB15" s="0" t="n">
        <f aca="false">Offre!$E$27*(Offre!$C$27^Param!$B$3)*1_Friction!AB15</f>
        <v>0.415480554183134</v>
      </c>
      <c r="AC15" s="0" t="n">
        <f aca="false">Offre!$E$28*(Offre!$C$28^Param!$B$3)*1_Friction!AC15</f>
        <v>0</v>
      </c>
      <c r="AD15" s="0" t="n">
        <f aca="false">Offre!$E$29*(Offre!$C$29^Param!$B$3)*1_Friction!AD15</f>
        <v>0</v>
      </c>
      <c r="AE15" s="0" t="n">
        <f aca="false">Offre!$E$30*(Offre!$C$30^Param!$B$3)*1_Friction!AE15</f>
        <v>0</v>
      </c>
      <c r="AF15" s="0" t="n">
        <f aca="false">Offre!$E$31*(Offre!$C$31^Param!$B$3)*1_Friction!AF15</f>
        <v>0</v>
      </c>
      <c r="AG15" s="0" t="n">
        <f aca="false">Offre!$E$32*(Offre!$C$32^Param!$B$3)*1_Friction!AG15</f>
        <v>0</v>
      </c>
      <c r="AH15" s="0" t="n">
        <f aca="false">Offre!$E$33*(Offre!$C$33^Param!$B$3)*1_Friction!AH15</f>
        <v>21.3688255182245</v>
      </c>
      <c r="AI15" s="0" t="n">
        <f aca="false">Offre!$E$34*(Offre!$C$34^Param!$B$3)*1_Friction!AI15</f>
        <v>0.437784996703358</v>
      </c>
      <c r="AJ15" s="0" t="n">
        <f aca="false">Offre!$E$35*(Offre!$C$35^Param!$B$3)*1_Friction!AJ15</f>
        <v>0</v>
      </c>
      <c r="AK15" s="0" t="n">
        <f aca="false">Offre!$E$36*(Offre!$C$36^Param!$B$3)*1_Friction!AK15</f>
        <v>0</v>
      </c>
      <c r="AL15" s="0" t="n">
        <f aca="false">Offre!$E$37*(Offre!$C$37^Param!$B$3)*1_Friction!AL15</f>
        <v>0</v>
      </c>
      <c r="AM15" s="0" t="n">
        <f aca="false">Offre!$E$38*(Offre!$C$38^Param!$B$3)*1_Friction!AM15</f>
        <v>1.95202428690836</v>
      </c>
      <c r="AN15" s="0" t="n">
        <f aca="false">Offre!$E$39*(Offre!$C$39^Param!$B$3)*1_Friction!AN15</f>
        <v>0</v>
      </c>
      <c r="AO15" s="0" t="n">
        <f aca="false">SUM(C15:AN15)</f>
        <v>281.663197016201</v>
      </c>
    </row>
    <row r="16" customFormat="false" ht="15" hidden="false" customHeight="true" outlineLevel="0" collapsed="false">
      <c r="A16" s="0" t="s">
        <v>130</v>
      </c>
      <c r="B16" s="0" t="s">
        <v>131</v>
      </c>
      <c r="C16" s="0" t="n">
        <f aca="false">Offre!$E$2*(Offre!$C$2^Param!$B$3)*1_Friction!C16</f>
        <v>0</v>
      </c>
      <c r="D16" s="0" t="n">
        <f aca="false">Offre!$E$3*(Offre!$C$3^Param!$B$3)*1_Friction!D16</f>
        <v>0.638927195004335</v>
      </c>
      <c r="E16" s="0" t="n">
        <f aca="false">Offre!$E$4*(Offre!$C$4^Param!$B$3)*1_Friction!E16</f>
        <v>7.25307106509763</v>
      </c>
      <c r="F16" s="0" t="n">
        <f aca="false">Offre!$E$5*(Offre!$C$5^Param!$B$3)*1_Friction!F16</f>
        <v>1.33434136515172</v>
      </c>
      <c r="G16" s="0" t="n">
        <f aca="false">Offre!$E$6*(Offre!$C$6^Param!$B$3)*1_Friction!G16</f>
        <v>3.72167442005724</v>
      </c>
      <c r="H16" s="0" t="n">
        <f aca="false">Offre!$E$7*(Offre!$C$7^Param!$B$3)*1_Friction!H16</f>
        <v>1.00776430794842</v>
      </c>
      <c r="I16" s="0" t="n">
        <f aca="false">Offre!$E$8*(Offre!$C$8^Param!$B$3)*1_Friction!I16</f>
        <v>2.28936882262556</v>
      </c>
      <c r="J16" s="0" t="n">
        <f aca="false">Offre!$E$9*(Offre!$C$9^Param!$B$3)*1_Friction!J16</f>
        <v>1.73744645850457</v>
      </c>
      <c r="K16" s="0" t="n">
        <f aca="false">Offre!$E$10*(Offre!$C$10^Param!$B$3)*1_Friction!K16</f>
        <v>1.02799394972234</v>
      </c>
      <c r="L16" s="0" t="n">
        <f aca="false">Offre!$E$11*(Offre!$C$11^Param!$B$3)*1_Friction!L16</f>
        <v>1.14725919269855</v>
      </c>
      <c r="M16" s="0" t="n">
        <f aca="false">Offre!$E$12*(Offre!$C$12^Param!$B$3)*1_Friction!M16</f>
        <v>6.69339069215662</v>
      </c>
      <c r="N16" s="0" t="n">
        <f aca="false">Offre!$E$13*(Offre!$C$13^Param!$B$3)*1_Friction!N16</f>
        <v>0.806631485408782</v>
      </c>
      <c r="O16" s="0" t="n">
        <f aca="false">Offre!$E$14*(Offre!$C$14^Param!$B$3)*1_Friction!O16</f>
        <v>2.59967198320447</v>
      </c>
      <c r="P16" s="0" t="n">
        <f aca="false">Offre!$E$15*(Offre!$C$15^Param!$B$3)*1_Friction!P16</f>
        <v>1.29828111390628</v>
      </c>
      <c r="Q16" s="0" t="n">
        <f aca="false">Offre!$E$16*(Offre!$C$16^Param!$B$3)*1_Friction!Q16</f>
        <v>11.5414785165656</v>
      </c>
      <c r="R16" s="0" t="n">
        <f aca="false">Offre!$E$17*(Offre!$C$17^Param!$B$3)*1_Friction!R16</f>
        <v>1.51598360699944</v>
      </c>
      <c r="S16" s="0" t="n">
        <f aca="false">Offre!$E$18*(Offre!$C$18^Param!$B$3)*1_Friction!S16</f>
        <v>1.08754923937867</v>
      </c>
      <c r="T16" s="0" t="n">
        <f aca="false">Offre!$E$19*(Offre!$C$19^Param!$B$3)*1_Friction!T16</f>
        <v>0.538814080732534</v>
      </c>
      <c r="U16" s="0" t="n">
        <f aca="false">Offre!$E$20*(Offre!$C$20^Param!$B$3)*1_Friction!U16</f>
        <v>0.856824121937056</v>
      </c>
      <c r="V16" s="0" t="n">
        <f aca="false">Offre!$E$21*(Offre!$C$21^Param!$B$3)*1_Friction!V16</f>
        <v>0</v>
      </c>
      <c r="W16" s="0" t="n">
        <f aca="false">Offre!$E$22*(Offre!$C$22^Param!$B$3)*1_Friction!W16</f>
        <v>0</v>
      </c>
      <c r="X16" s="0" t="n">
        <f aca="false">Offre!$E$23*(Offre!$C$23^Param!$B$3)*1_Friction!X16</f>
        <v>0</v>
      </c>
      <c r="Y16" s="0" t="n">
        <f aca="false">Offre!$E$24*(Offre!$C$24^Param!$B$3)*1_Friction!Y16</f>
        <v>0</v>
      </c>
      <c r="Z16" s="0" t="n">
        <f aca="false">Offre!$E$25*(Offre!$C$25^Param!$B$3)*1_Friction!Z16</f>
        <v>0</v>
      </c>
      <c r="AA16" s="0" t="n">
        <f aca="false">Offre!$E$26*(Offre!$C$26^Param!$B$3)*1_Friction!AA16</f>
        <v>0</v>
      </c>
      <c r="AB16" s="0" t="n">
        <f aca="false">Offre!$E$27*(Offre!$C$27^Param!$B$3)*1_Friction!AB16</f>
        <v>0</v>
      </c>
      <c r="AC16" s="0" t="n">
        <f aca="false">Offre!$E$28*(Offre!$C$28^Param!$B$3)*1_Friction!AC16</f>
        <v>0.422721659400219</v>
      </c>
      <c r="AD16" s="0" t="n">
        <f aca="false">Offre!$E$29*(Offre!$C$29^Param!$B$3)*1_Friction!AD16</f>
        <v>2.05090277637831</v>
      </c>
      <c r="AE16" s="0" t="n">
        <f aca="false">Offre!$E$30*(Offre!$C$30^Param!$B$3)*1_Friction!AE16</f>
        <v>1.16118405638567</v>
      </c>
      <c r="AF16" s="0" t="n">
        <f aca="false">Offre!$E$31*(Offre!$C$31^Param!$B$3)*1_Friction!AF16</f>
        <v>0.769173387097376</v>
      </c>
      <c r="AG16" s="0" t="n">
        <f aca="false">Offre!$E$32*(Offre!$C$32^Param!$B$3)*1_Friction!AG16</f>
        <v>0</v>
      </c>
      <c r="AH16" s="0" t="n">
        <f aca="false">Offre!$E$33*(Offre!$C$33^Param!$B$3)*1_Friction!AH16</f>
        <v>4.01963805589498</v>
      </c>
      <c r="AI16" s="0" t="n">
        <f aca="false">Offre!$E$34*(Offre!$C$34^Param!$B$3)*1_Friction!AI16</f>
        <v>0.227968011411353</v>
      </c>
      <c r="AJ16" s="0" t="n">
        <f aca="false">Offre!$E$35*(Offre!$C$35^Param!$B$3)*1_Friction!AJ16</f>
        <v>0</v>
      </c>
      <c r="AK16" s="0" t="n">
        <f aca="false">Offre!$E$36*(Offre!$C$36^Param!$B$3)*1_Friction!AK16</f>
        <v>1.9581672616248</v>
      </c>
      <c r="AL16" s="0" t="n">
        <f aca="false">Offre!$E$37*(Offre!$C$37^Param!$B$3)*1_Friction!AL16</f>
        <v>3.85135553354037</v>
      </c>
      <c r="AM16" s="0" t="n">
        <f aca="false">Offre!$E$38*(Offre!$C$38^Param!$B$3)*1_Friction!AM16</f>
        <v>0</v>
      </c>
      <c r="AN16" s="0" t="n">
        <f aca="false">Offre!$E$39*(Offre!$C$39^Param!$B$3)*1_Friction!AN16</f>
        <v>0</v>
      </c>
      <c r="AO16" s="0" t="n">
        <f aca="false">SUM(C16:AN16)</f>
        <v>61.5575823588329</v>
      </c>
    </row>
    <row r="17" customFormat="false" ht="15" hidden="false" customHeight="true" outlineLevel="0" collapsed="false">
      <c r="A17" s="0" t="s">
        <v>132</v>
      </c>
      <c r="B17" s="0" t="s">
        <v>133</v>
      </c>
      <c r="C17" s="0" t="n">
        <f aca="false">Offre!$E$2*(Offre!$C$2^Param!$B$3)*1_Friction!C17</f>
        <v>0</v>
      </c>
      <c r="D17" s="0" t="n">
        <f aca="false">Offre!$E$3*(Offre!$C$3^Param!$B$3)*1_Friction!D17</f>
        <v>0</v>
      </c>
      <c r="E17" s="0" t="n">
        <f aca="false">Offre!$E$4*(Offre!$C$4^Param!$B$3)*1_Friction!E17</f>
        <v>0</v>
      </c>
      <c r="F17" s="0" t="n">
        <f aca="false">Offre!$E$5*(Offre!$C$5^Param!$B$3)*1_Friction!F17</f>
        <v>0</v>
      </c>
      <c r="G17" s="0" t="n">
        <f aca="false">Offre!$E$6*(Offre!$C$6^Param!$B$3)*1_Friction!G17</f>
        <v>0</v>
      </c>
      <c r="H17" s="0" t="n">
        <f aca="false">Offre!$E$7*(Offre!$C$7^Param!$B$3)*1_Friction!H17</f>
        <v>0</v>
      </c>
      <c r="I17" s="0" t="n">
        <f aca="false">Offre!$E$8*(Offre!$C$8^Param!$B$3)*1_Friction!I17</f>
        <v>0</v>
      </c>
      <c r="J17" s="0" t="n">
        <f aca="false">Offre!$E$9*(Offre!$C$9^Param!$B$3)*1_Friction!J17</f>
        <v>0</v>
      </c>
      <c r="K17" s="0" t="n">
        <f aca="false">Offre!$E$10*(Offre!$C$10^Param!$B$3)*1_Friction!K17</f>
        <v>0</v>
      </c>
      <c r="L17" s="0" t="n">
        <f aca="false">Offre!$E$11*(Offre!$C$11^Param!$B$3)*1_Friction!L17</f>
        <v>0</v>
      </c>
      <c r="M17" s="0" t="n">
        <f aca="false">Offre!$E$12*(Offre!$C$12^Param!$B$3)*1_Friction!M17</f>
        <v>0</v>
      </c>
      <c r="N17" s="0" t="n">
        <f aca="false">Offre!$E$13*(Offre!$C$13^Param!$B$3)*1_Friction!N17</f>
        <v>0</v>
      </c>
      <c r="O17" s="0" t="n">
        <f aca="false">Offre!$E$14*(Offre!$C$14^Param!$B$3)*1_Friction!O17</f>
        <v>0</v>
      </c>
      <c r="P17" s="0" t="n">
        <f aca="false">Offre!$E$15*(Offre!$C$15^Param!$B$3)*1_Friction!P17</f>
        <v>0</v>
      </c>
      <c r="Q17" s="0" t="n">
        <f aca="false">Offre!$E$16*(Offre!$C$16^Param!$B$3)*1_Friction!Q17</f>
        <v>0</v>
      </c>
      <c r="R17" s="0" t="n">
        <f aca="false">Offre!$E$17*(Offre!$C$17^Param!$B$3)*1_Friction!R17</f>
        <v>0</v>
      </c>
      <c r="S17" s="0" t="n">
        <f aca="false">Offre!$E$18*(Offre!$C$18^Param!$B$3)*1_Friction!S17</f>
        <v>0</v>
      </c>
      <c r="T17" s="0" t="n">
        <f aca="false">Offre!$E$19*(Offre!$C$19^Param!$B$3)*1_Friction!T17</f>
        <v>0</v>
      </c>
      <c r="U17" s="0" t="n">
        <f aca="false">Offre!$E$20*(Offre!$C$20^Param!$B$3)*1_Friction!U17</f>
        <v>0</v>
      </c>
      <c r="V17" s="0" t="n">
        <f aca="false">Offre!$E$21*(Offre!$C$21^Param!$B$3)*1_Friction!V17</f>
        <v>0</v>
      </c>
      <c r="W17" s="0" t="n">
        <f aca="false">Offre!$E$22*(Offre!$C$22^Param!$B$3)*1_Friction!W17</f>
        <v>0</v>
      </c>
      <c r="X17" s="0" t="n">
        <f aca="false">Offre!$E$23*(Offre!$C$23^Param!$B$3)*1_Friction!X17</f>
        <v>0</v>
      </c>
      <c r="Y17" s="0" t="n">
        <f aca="false">Offre!$E$24*(Offre!$C$24^Param!$B$3)*1_Friction!Y17</f>
        <v>0</v>
      </c>
      <c r="Z17" s="0" t="n">
        <f aca="false">Offre!$E$25*(Offre!$C$25^Param!$B$3)*1_Friction!Z17</f>
        <v>0</v>
      </c>
      <c r="AA17" s="0" t="n">
        <f aca="false">Offre!$E$26*(Offre!$C$26^Param!$B$3)*1_Friction!AA17</f>
        <v>0</v>
      </c>
      <c r="AB17" s="0" t="n">
        <f aca="false">Offre!$E$27*(Offre!$C$27^Param!$B$3)*1_Friction!AB17</f>
        <v>0</v>
      </c>
      <c r="AC17" s="0" t="n">
        <f aca="false">Offre!$E$28*(Offre!$C$28^Param!$B$3)*1_Friction!AC17</f>
        <v>0</v>
      </c>
      <c r="AD17" s="0" t="n">
        <f aca="false">Offre!$E$29*(Offre!$C$29^Param!$B$3)*1_Friction!AD17</f>
        <v>0</v>
      </c>
      <c r="AE17" s="0" t="n">
        <f aca="false">Offre!$E$30*(Offre!$C$30^Param!$B$3)*1_Friction!AE17</f>
        <v>0</v>
      </c>
      <c r="AF17" s="0" t="n">
        <f aca="false">Offre!$E$31*(Offre!$C$31^Param!$B$3)*1_Friction!AF17</f>
        <v>0</v>
      </c>
      <c r="AG17" s="0" t="n">
        <f aca="false">Offre!$E$32*(Offre!$C$32^Param!$B$3)*1_Friction!AG17</f>
        <v>0</v>
      </c>
      <c r="AH17" s="0" t="n">
        <f aca="false">Offre!$E$33*(Offre!$C$33^Param!$B$3)*1_Friction!AH17</f>
        <v>0</v>
      </c>
      <c r="AI17" s="0" t="n">
        <f aca="false">Offre!$E$34*(Offre!$C$34^Param!$B$3)*1_Friction!AI17</f>
        <v>0</v>
      </c>
      <c r="AJ17" s="0" t="n">
        <f aca="false">Offre!$E$35*(Offre!$C$35^Param!$B$3)*1_Friction!AJ17</f>
        <v>0</v>
      </c>
      <c r="AK17" s="0" t="n">
        <f aca="false">Offre!$E$36*(Offre!$C$36^Param!$B$3)*1_Friction!AK17</f>
        <v>0</v>
      </c>
      <c r="AL17" s="0" t="n">
        <f aca="false">Offre!$E$37*(Offre!$C$37^Param!$B$3)*1_Friction!AL17</f>
        <v>0</v>
      </c>
      <c r="AM17" s="0" t="n">
        <f aca="false">Offre!$E$38*(Offre!$C$38^Param!$B$3)*1_Friction!AM17</f>
        <v>0</v>
      </c>
      <c r="AN17" s="0" t="n">
        <f aca="false">Offre!$E$39*(Offre!$C$39^Param!$B$3)*1_Friction!AN17</f>
        <v>0</v>
      </c>
      <c r="AO17" s="0" t="n">
        <f aca="false">SUM(C17:AN17)</f>
        <v>0</v>
      </c>
    </row>
    <row r="18" customFormat="false" ht="15" hidden="false" customHeight="true" outlineLevel="0" collapsed="false">
      <c r="A18" s="0" t="s">
        <v>134</v>
      </c>
      <c r="B18" s="0" t="s">
        <v>135</v>
      </c>
      <c r="C18" s="0" t="n">
        <f aca="false">Offre!$E$2*(Offre!$C$2^Param!$B$3)*1_Friction!C18</f>
        <v>0</v>
      </c>
      <c r="D18" s="0" t="n">
        <f aca="false">Offre!$E$3*(Offre!$C$3^Param!$B$3)*1_Friction!D18</f>
        <v>0</v>
      </c>
      <c r="E18" s="0" t="n">
        <f aca="false">Offre!$E$4*(Offre!$C$4^Param!$B$3)*1_Friction!E18</f>
        <v>0</v>
      </c>
      <c r="F18" s="0" t="n">
        <f aca="false">Offre!$E$5*(Offre!$C$5^Param!$B$3)*1_Friction!F18</f>
        <v>0</v>
      </c>
      <c r="G18" s="0" t="n">
        <f aca="false">Offre!$E$6*(Offre!$C$6^Param!$B$3)*1_Friction!G18</f>
        <v>0</v>
      </c>
      <c r="H18" s="0" t="n">
        <f aca="false">Offre!$E$7*(Offre!$C$7^Param!$B$3)*1_Friction!H18</f>
        <v>0</v>
      </c>
      <c r="I18" s="0" t="n">
        <f aca="false">Offre!$E$8*(Offre!$C$8^Param!$B$3)*1_Friction!I18</f>
        <v>0</v>
      </c>
      <c r="J18" s="0" t="n">
        <f aca="false">Offre!$E$9*(Offre!$C$9^Param!$B$3)*1_Friction!J18</f>
        <v>0</v>
      </c>
      <c r="K18" s="0" t="n">
        <f aca="false">Offre!$E$10*(Offre!$C$10^Param!$B$3)*1_Friction!K18</f>
        <v>0</v>
      </c>
      <c r="L18" s="0" t="n">
        <f aca="false">Offre!$E$11*(Offre!$C$11^Param!$B$3)*1_Friction!L18</f>
        <v>0</v>
      </c>
      <c r="M18" s="0" t="n">
        <f aca="false">Offre!$E$12*(Offre!$C$12^Param!$B$3)*1_Friction!M18</f>
        <v>0</v>
      </c>
      <c r="N18" s="0" t="n">
        <f aca="false">Offre!$E$13*(Offre!$C$13^Param!$B$3)*1_Friction!N18</f>
        <v>0</v>
      </c>
      <c r="O18" s="0" t="n">
        <f aca="false">Offre!$E$14*(Offre!$C$14^Param!$B$3)*1_Friction!O18</f>
        <v>0</v>
      </c>
      <c r="P18" s="0" t="n">
        <f aca="false">Offre!$E$15*(Offre!$C$15^Param!$B$3)*1_Friction!P18</f>
        <v>0</v>
      </c>
      <c r="Q18" s="0" t="n">
        <f aca="false">Offre!$E$16*(Offre!$C$16^Param!$B$3)*1_Friction!Q18</f>
        <v>0</v>
      </c>
      <c r="R18" s="0" t="n">
        <f aca="false">Offre!$E$17*(Offre!$C$17^Param!$B$3)*1_Friction!R18</f>
        <v>0</v>
      </c>
      <c r="S18" s="0" t="n">
        <f aca="false">Offre!$E$18*(Offre!$C$18^Param!$B$3)*1_Friction!S18</f>
        <v>0</v>
      </c>
      <c r="T18" s="0" t="n">
        <f aca="false">Offre!$E$19*(Offre!$C$19^Param!$B$3)*1_Friction!T18</f>
        <v>0</v>
      </c>
      <c r="U18" s="0" t="n">
        <f aca="false">Offre!$E$20*(Offre!$C$20^Param!$B$3)*1_Friction!U18</f>
        <v>0</v>
      </c>
      <c r="V18" s="0" t="n">
        <f aca="false">Offre!$E$21*(Offre!$C$21^Param!$B$3)*1_Friction!V18</f>
        <v>0</v>
      </c>
      <c r="W18" s="0" t="n">
        <f aca="false">Offre!$E$22*(Offre!$C$22^Param!$B$3)*1_Friction!W18</f>
        <v>0</v>
      </c>
      <c r="X18" s="0" t="n">
        <f aca="false">Offre!$E$23*(Offre!$C$23^Param!$B$3)*1_Friction!X18</f>
        <v>0</v>
      </c>
      <c r="Y18" s="0" t="n">
        <f aca="false">Offre!$E$24*(Offre!$C$24^Param!$B$3)*1_Friction!Y18</f>
        <v>0</v>
      </c>
      <c r="Z18" s="0" t="n">
        <f aca="false">Offre!$E$25*(Offre!$C$25^Param!$B$3)*1_Friction!Z18</f>
        <v>0</v>
      </c>
      <c r="AA18" s="0" t="n">
        <f aca="false">Offre!$E$26*(Offre!$C$26^Param!$B$3)*1_Friction!AA18</f>
        <v>0</v>
      </c>
      <c r="AB18" s="0" t="n">
        <f aca="false">Offre!$E$27*(Offre!$C$27^Param!$B$3)*1_Friction!AB18</f>
        <v>0</v>
      </c>
      <c r="AC18" s="0" t="n">
        <f aca="false">Offre!$E$28*(Offre!$C$28^Param!$B$3)*1_Friction!AC18</f>
        <v>0</v>
      </c>
      <c r="AD18" s="0" t="n">
        <f aca="false">Offre!$E$29*(Offre!$C$29^Param!$B$3)*1_Friction!AD18</f>
        <v>0</v>
      </c>
      <c r="AE18" s="0" t="n">
        <f aca="false">Offre!$E$30*(Offre!$C$30^Param!$B$3)*1_Friction!AE18</f>
        <v>0</v>
      </c>
      <c r="AF18" s="0" t="n">
        <f aca="false">Offre!$E$31*(Offre!$C$31^Param!$B$3)*1_Friction!AF18</f>
        <v>0</v>
      </c>
      <c r="AG18" s="0" t="n">
        <f aca="false">Offre!$E$32*(Offre!$C$32^Param!$B$3)*1_Friction!AG18</f>
        <v>0</v>
      </c>
      <c r="AH18" s="0" t="n">
        <f aca="false">Offre!$E$33*(Offre!$C$33^Param!$B$3)*1_Friction!AH18</f>
        <v>0</v>
      </c>
      <c r="AI18" s="0" t="n">
        <f aca="false">Offre!$E$34*(Offre!$C$34^Param!$B$3)*1_Friction!AI18</f>
        <v>0</v>
      </c>
      <c r="AJ18" s="0" t="n">
        <f aca="false">Offre!$E$35*(Offre!$C$35^Param!$B$3)*1_Friction!AJ18</f>
        <v>0</v>
      </c>
      <c r="AK18" s="0" t="n">
        <f aca="false">Offre!$E$36*(Offre!$C$36^Param!$B$3)*1_Friction!AK18</f>
        <v>0</v>
      </c>
      <c r="AL18" s="0" t="n">
        <f aca="false">Offre!$E$37*(Offre!$C$37^Param!$B$3)*1_Friction!AL18</f>
        <v>0</v>
      </c>
      <c r="AM18" s="0" t="n">
        <f aca="false">Offre!$E$38*(Offre!$C$38^Param!$B$3)*1_Friction!AM18</f>
        <v>0</v>
      </c>
      <c r="AN18" s="0" t="n">
        <f aca="false">Offre!$E$39*(Offre!$C$39^Param!$B$3)*1_Friction!AN18</f>
        <v>0</v>
      </c>
      <c r="AO18" s="0" t="n">
        <f aca="false">SUM(C18:AN18)</f>
        <v>0</v>
      </c>
    </row>
    <row r="19" customFormat="false" ht="15" hidden="false" customHeight="true" outlineLevel="0" collapsed="false">
      <c r="A19" s="0" t="s">
        <v>136</v>
      </c>
      <c r="B19" s="0" t="s">
        <v>137</v>
      </c>
      <c r="C19" s="0" t="n">
        <f aca="false">Offre!$E$2*(Offre!$C$2^Param!$B$3)*1_Friction!C19</f>
        <v>0</v>
      </c>
      <c r="D19" s="0" t="n">
        <f aca="false">Offre!$E$3*(Offre!$C$3^Param!$B$3)*1_Friction!D19</f>
        <v>0</v>
      </c>
      <c r="E19" s="0" t="n">
        <f aca="false">Offre!$E$4*(Offre!$C$4^Param!$B$3)*1_Friction!E19</f>
        <v>0</v>
      </c>
      <c r="F19" s="0" t="n">
        <f aca="false">Offre!$E$5*(Offre!$C$5^Param!$B$3)*1_Friction!F19</f>
        <v>0</v>
      </c>
      <c r="G19" s="0" t="n">
        <f aca="false">Offre!$E$6*(Offre!$C$6^Param!$B$3)*1_Friction!G19</f>
        <v>0</v>
      </c>
      <c r="H19" s="0" t="n">
        <f aca="false">Offre!$E$7*(Offre!$C$7^Param!$B$3)*1_Friction!H19</f>
        <v>0</v>
      </c>
      <c r="I19" s="0" t="n">
        <f aca="false">Offre!$E$8*(Offre!$C$8^Param!$B$3)*1_Friction!I19</f>
        <v>0</v>
      </c>
      <c r="J19" s="0" t="n">
        <f aca="false">Offre!$E$9*(Offre!$C$9^Param!$B$3)*1_Friction!J19</f>
        <v>0</v>
      </c>
      <c r="K19" s="0" t="n">
        <f aca="false">Offre!$E$10*(Offre!$C$10^Param!$B$3)*1_Friction!K19</f>
        <v>0</v>
      </c>
      <c r="L19" s="0" t="n">
        <f aca="false">Offre!$E$11*(Offre!$C$11^Param!$B$3)*1_Friction!L19</f>
        <v>0</v>
      </c>
      <c r="M19" s="0" t="n">
        <f aca="false">Offre!$E$12*(Offre!$C$12^Param!$B$3)*1_Friction!M19</f>
        <v>0</v>
      </c>
      <c r="N19" s="0" t="n">
        <f aca="false">Offre!$E$13*(Offre!$C$13^Param!$B$3)*1_Friction!N19</f>
        <v>0</v>
      </c>
      <c r="O19" s="0" t="n">
        <f aca="false">Offre!$E$14*(Offre!$C$14^Param!$B$3)*1_Friction!O19</f>
        <v>0</v>
      </c>
      <c r="P19" s="0" t="n">
        <f aca="false">Offre!$E$15*(Offre!$C$15^Param!$B$3)*1_Friction!P19</f>
        <v>0</v>
      </c>
      <c r="Q19" s="0" t="n">
        <f aca="false">Offre!$E$16*(Offre!$C$16^Param!$B$3)*1_Friction!Q19</f>
        <v>0</v>
      </c>
      <c r="R19" s="0" t="n">
        <f aca="false">Offre!$E$17*(Offre!$C$17^Param!$B$3)*1_Friction!R19</f>
        <v>0</v>
      </c>
      <c r="S19" s="0" t="n">
        <f aca="false">Offre!$E$18*(Offre!$C$18^Param!$B$3)*1_Friction!S19</f>
        <v>0</v>
      </c>
      <c r="T19" s="0" t="n">
        <f aca="false">Offre!$E$19*(Offre!$C$19^Param!$B$3)*1_Friction!T19</f>
        <v>0</v>
      </c>
      <c r="U19" s="0" t="n">
        <f aca="false">Offre!$E$20*(Offre!$C$20^Param!$B$3)*1_Friction!U19</f>
        <v>0</v>
      </c>
      <c r="V19" s="0" t="n">
        <f aca="false">Offre!$E$21*(Offre!$C$21^Param!$B$3)*1_Friction!V19</f>
        <v>0</v>
      </c>
      <c r="W19" s="0" t="n">
        <f aca="false">Offre!$E$22*(Offre!$C$22^Param!$B$3)*1_Friction!W19</f>
        <v>0</v>
      </c>
      <c r="X19" s="0" t="n">
        <f aca="false">Offre!$E$23*(Offre!$C$23^Param!$B$3)*1_Friction!X19</f>
        <v>0</v>
      </c>
      <c r="Y19" s="0" t="n">
        <f aca="false">Offre!$E$24*(Offre!$C$24^Param!$B$3)*1_Friction!Y19</f>
        <v>0</v>
      </c>
      <c r="Z19" s="0" t="n">
        <f aca="false">Offre!$E$25*(Offre!$C$25^Param!$B$3)*1_Friction!Z19</f>
        <v>0</v>
      </c>
      <c r="AA19" s="0" t="n">
        <f aca="false">Offre!$E$26*(Offre!$C$26^Param!$B$3)*1_Friction!AA19</f>
        <v>0</v>
      </c>
      <c r="AB19" s="0" t="n">
        <f aca="false">Offre!$E$27*(Offre!$C$27^Param!$B$3)*1_Friction!AB19</f>
        <v>0</v>
      </c>
      <c r="AC19" s="0" t="n">
        <f aca="false">Offre!$E$28*(Offre!$C$28^Param!$B$3)*1_Friction!AC19</f>
        <v>0</v>
      </c>
      <c r="AD19" s="0" t="n">
        <f aca="false">Offre!$E$29*(Offre!$C$29^Param!$B$3)*1_Friction!AD19</f>
        <v>0</v>
      </c>
      <c r="AE19" s="0" t="n">
        <f aca="false">Offre!$E$30*(Offre!$C$30^Param!$B$3)*1_Friction!AE19</f>
        <v>0</v>
      </c>
      <c r="AF19" s="0" t="n">
        <f aca="false">Offre!$E$31*(Offre!$C$31^Param!$B$3)*1_Friction!AF19</f>
        <v>0</v>
      </c>
      <c r="AG19" s="0" t="n">
        <f aca="false">Offre!$E$32*(Offre!$C$32^Param!$B$3)*1_Friction!AG19</f>
        <v>0</v>
      </c>
      <c r="AH19" s="0" t="n">
        <f aca="false">Offre!$E$33*(Offre!$C$33^Param!$B$3)*1_Friction!AH19</f>
        <v>0</v>
      </c>
      <c r="AI19" s="0" t="n">
        <f aca="false">Offre!$E$34*(Offre!$C$34^Param!$B$3)*1_Friction!AI19</f>
        <v>0</v>
      </c>
      <c r="AJ19" s="0" t="n">
        <f aca="false">Offre!$E$35*(Offre!$C$35^Param!$B$3)*1_Friction!AJ19</f>
        <v>0</v>
      </c>
      <c r="AK19" s="0" t="n">
        <f aca="false">Offre!$E$36*(Offre!$C$36^Param!$B$3)*1_Friction!AK19</f>
        <v>0</v>
      </c>
      <c r="AL19" s="0" t="n">
        <f aca="false">Offre!$E$37*(Offre!$C$37^Param!$B$3)*1_Friction!AL19</f>
        <v>0</v>
      </c>
      <c r="AM19" s="0" t="n">
        <f aca="false">Offre!$E$38*(Offre!$C$38^Param!$B$3)*1_Friction!AM19</f>
        <v>0</v>
      </c>
      <c r="AN19" s="0" t="n">
        <f aca="false">Offre!$E$39*(Offre!$C$39^Param!$B$3)*1_Friction!AN19</f>
        <v>0</v>
      </c>
      <c r="AO19" s="0" t="n">
        <f aca="false">SUM(C19:AN19)</f>
        <v>0</v>
      </c>
    </row>
    <row r="20" customFormat="false" ht="15" hidden="false" customHeight="true" outlineLevel="0" collapsed="false">
      <c r="A20" s="0" t="s">
        <v>138</v>
      </c>
      <c r="B20" s="0" t="s">
        <v>139</v>
      </c>
      <c r="C20" s="0" t="n">
        <f aca="false">Offre!$E$2*(Offre!$C$2^Param!$B$3)*1_Friction!C20</f>
        <v>1.04791229654319</v>
      </c>
      <c r="D20" s="0" t="n">
        <f aca="false">Offre!$E$3*(Offre!$C$3^Param!$B$3)*1_Friction!D20</f>
        <v>4.12907039645141</v>
      </c>
      <c r="E20" s="0" t="n">
        <f aca="false">Offre!$E$4*(Offre!$C$4^Param!$B$3)*1_Friction!E20</f>
        <v>46.3933923819447</v>
      </c>
      <c r="F20" s="0" t="n">
        <f aca="false">Offre!$E$5*(Offre!$C$5^Param!$B$3)*1_Friction!F20</f>
        <v>8.45361529954279</v>
      </c>
      <c r="G20" s="0" t="n">
        <f aca="false">Offre!$E$6*(Offre!$C$6^Param!$B$3)*1_Friction!G20</f>
        <v>23.8037369810031</v>
      </c>
      <c r="H20" s="0" t="n">
        <f aca="false">Offre!$E$7*(Offre!$C$7^Param!$B$3)*1_Friction!H20</f>
        <v>5.9493198534122</v>
      </c>
      <c r="I20" s="0" t="n">
        <f aca="false">Offre!$E$8*(Offre!$C$8^Param!$B$3)*1_Friction!I20</f>
        <v>13.6216251430986</v>
      </c>
      <c r="J20" s="0" t="n">
        <f aca="false">Offre!$E$9*(Offre!$C$9^Param!$B$3)*1_Friction!J20</f>
        <v>10.5933062771437</v>
      </c>
      <c r="K20" s="0" t="n">
        <f aca="false">Offre!$E$10*(Offre!$C$10^Param!$B$3)*1_Friction!K20</f>
        <v>6.43243231832103</v>
      </c>
      <c r="L20" s="0" t="n">
        <f aca="false">Offre!$E$11*(Offre!$C$11^Param!$B$3)*1_Friction!L20</f>
        <v>6.81618622858781</v>
      </c>
      <c r="M20" s="0" t="n">
        <f aca="false">Offre!$E$12*(Offre!$C$12^Param!$B$3)*1_Friction!M20</f>
        <v>38.0973760133359</v>
      </c>
      <c r="N20" s="0" t="n">
        <f aca="false">Offre!$E$13*(Offre!$C$13^Param!$B$3)*1_Friction!N20</f>
        <v>4.89048171025228</v>
      </c>
      <c r="O20" s="0" t="n">
        <f aca="false">Offre!$E$14*(Offre!$C$14^Param!$B$3)*1_Friction!O20</f>
        <v>15.6604231281846</v>
      </c>
      <c r="P20" s="0" t="n">
        <f aca="false">Offre!$E$15*(Offre!$C$15^Param!$B$3)*1_Friction!P20</f>
        <v>7.71892091442254</v>
      </c>
      <c r="Q20" s="0" t="n">
        <f aca="false">Offre!$E$16*(Offre!$C$16^Param!$B$3)*1_Friction!Q20</f>
        <v>68.4038169909297</v>
      </c>
      <c r="R20" s="0" t="n">
        <f aca="false">Offre!$E$17*(Offre!$C$17^Param!$B$3)*1_Friction!R20</f>
        <v>9.04886039105147</v>
      </c>
      <c r="S20" s="0" t="n">
        <f aca="false">Offre!$E$18*(Offre!$C$18^Param!$B$3)*1_Friction!S20</f>
        <v>6.62881301266343</v>
      </c>
      <c r="T20" s="0" t="n">
        <f aca="false">Offre!$E$19*(Offre!$C$19^Param!$B$3)*1_Friction!T20</f>
        <v>4.16524442809455</v>
      </c>
      <c r="U20" s="0" t="n">
        <f aca="false">Offre!$E$20*(Offre!$C$20^Param!$B$3)*1_Friction!U20</f>
        <v>6.67900484714385</v>
      </c>
      <c r="V20" s="0" t="n">
        <f aca="false">Offre!$E$21*(Offre!$C$21^Param!$B$3)*1_Friction!V20</f>
        <v>4.99710510103319</v>
      </c>
      <c r="W20" s="0" t="n">
        <f aca="false">Offre!$E$22*(Offre!$C$22^Param!$B$3)*1_Friction!W20</f>
        <v>1.12077465510981</v>
      </c>
      <c r="X20" s="0" t="n">
        <f aca="false">Offre!$E$23*(Offre!$C$23^Param!$B$3)*1_Friction!X20</f>
        <v>1.70543577555093</v>
      </c>
      <c r="Y20" s="0" t="n">
        <f aca="false">Offre!$E$24*(Offre!$C$24^Param!$B$3)*1_Friction!Y20</f>
        <v>1.13515617567485</v>
      </c>
      <c r="Z20" s="0" t="n">
        <f aca="false">Offre!$E$25*(Offre!$C$25^Param!$B$3)*1_Friction!Z20</f>
        <v>2.77325795142033</v>
      </c>
      <c r="AA20" s="0" t="n">
        <f aca="false">Offre!$E$26*(Offre!$C$26^Param!$B$3)*1_Friction!AA20</f>
        <v>5.78004705017998</v>
      </c>
      <c r="AB20" s="0" t="n">
        <f aca="false">Offre!$E$27*(Offre!$C$27^Param!$B$3)*1_Friction!AB20</f>
        <v>2.86181767414033</v>
      </c>
      <c r="AC20" s="0" t="n">
        <f aca="false">Offre!$E$28*(Offre!$C$28^Param!$B$3)*1_Friction!AC20</f>
        <v>0</v>
      </c>
      <c r="AD20" s="0" t="n">
        <f aca="false">Offre!$E$29*(Offre!$C$29^Param!$B$3)*1_Friction!AD20</f>
        <v>0</v>
      </c>
      <c r="AE20" s="0" t="n">
        <f aca="false">Offre!$E$30*(Offre!$C$30^Param!$B$3)*1_Friction!AE20</f>
        <v>0</v>
      </c>
      <c r="AF20" s="0" t="n">
        <f aca="false">Offre!$E$31*(Offre!$C$31^Param!$B$3)*1_Friction!AF20</f>
        <v>0</v>
      </c>
      <c r="AG20" s="0" t="n">
        <f aca="false">Offre!$E$32*(Offre!$C$32^Param!$B$3)*1_Friction!AG20</f>
        <v>0</v>
      </c>
      <c r="AH20" s="0" t="n">
        <f aca="false">Offre!$E$33*(Offre!$C$33^Param!$B$3)*1_Friction!AH20</f>
        <v>23.2064126767236</v>
      </c>
      <c r="AI20" s="0" t="n">
        <f aca="false">Offre!$E$34*(Offre!$C$34^Param!$B$3)*1_Friction!AI20</f>
        <v>1.81715349847803</v>
      </c>
      <c r="AJ20" s="0" t="n">
        <f aca="false">Offre!$E$35*(Offre!$C$35^Param!$B$3)*1_Friction!AJ20</f>
        <v>2.42002736267501</v>
      </c>
      <c r="AK20" s="0" t="n">
        <f aca="false">Offre!$E$36*(Offre!$C$36^Param!$B$3)*1_Friction!AK20</f>
        <v>0</v>
      </c>
      <c r="AL20" s="0" t="n">
        <f aca="false">Offre!$E$37*(Offre!$C$37^Param!$B$3)*1_Friction!AL20</f>
        <v>0</v>
      </c>
      <c r="AM20" s="0" t="n">
        <f aca="false">Offre!$E$38*(Offre!$C$38^Param!$B$3)*1_Friction!AM20</f>
        <v>2.31019255419711</v>
      </c>
      <c r="AN20" s="0" t="n">
        <f aca="false">Offre!$E$39*(Offre!$C$39^Param!$B$3)*1_Friction!AN20</f>
        <v>0</v>
      </c>
      <c r="AO20" s="0" t="n">
        <f aca="false">SUM(C20:AN20)</f>
        <v>338.66091908731</v>
      </c>
    </row>
    <row r="21" customFormat="false" ht="15" hidden="false" customHeight="true" outlineLevel="0" collapsed="false">
      <c r="A21" s="0" t="s">
        <v>140</v>
      </c>
      <c r="B21" s="0" t="s">
        <v>141</v>
      </c>
      <c r="C21" s="0" t="n">
        <f aca="false">Offre!$E$2*(Offre!$C$2^Param!$B$3)*1_Friction!C21</f>
        <v>0.35541746396678</v>
      </c>
      <c r="D21" s="0" t="n">
        <f aca="false">Offre!$E$3*(Offre!$C$3^Param!$B$3)*1_Friction!D21</f>
        <v>2.19480026149152</v>
      </c>
      <c r="E21" s="0" t="n">
        <f aca="false">Offre!$E$4*(Offre!$C$4^Param!$B$3)*1_Friction!E21</f>
        <v>24.7646350722314</v>
      </c>
      <c r="F21" s="0" t="n">
        <f aca="false">Offre!$E$5*(Offre!$C$5^Param!$B$3)*1_Friction!F21</f>
        <v>4.5302790043842</v>
      </c>
      <c r="G21" s="0" t="n">
        <f aca="false">Offre!$E$6*(Offre!$C$6^Param!$B$3)*1_Friction!G21</f>
        <v>12.7098139208022</v>
      </c>
      <c r="H21" s="0" t="n">
        <f aca="false">Offre!$E$7*(Offre!$C$7^Param!$B$3)*1_Friction!H21</f>
        <v>3.28273359378582</v>
      </c>
      <c r="I21" s="0" t="n">
        <f aca="false">Offre!$E$8*(Offre!$C$8^Param!$B$3)*1_Friction!I21</f>
        <v>7.49030568485646</v>
      </c>
      <c r="J21" s="0" t="n">
        <f aca="false">Offre!$E$9*(Offre!$C$9^Param!$B$3)*1_Friction!J21</f>
        <v>5.76835851710682</v>
      </c>
      <c r="K21" s="0" t="n">
        <f aca="false">Offre!$E$10*(Offre!$C$10^Param!$B$3)*1_Friction!K21</f>
        <v>3.46473513453191</v>
      </c>
      <c r="L21" s="0" t="n">
        <f aca="false">Offre!$E$11*(Offre!$C$11^Param!$B$3)*1_Friction!L21</f>
        <v>3.74919893116813</v>
      </c>
      <c r="M21" s="0" t="n">
        <f aca="false">Offre!$E$12*(Offre!$C$12^Param!$B$3)*1_Friction!M21</f>
        <v>21.3387470929011</v>
      </c>
      <c r="N21" s="0" t="n">
        <f aca="false">Offre!$E$13*(Offre!$C$13^Param!$B$3)*1_Friction!N21</f>
        <v>2.66853026606229</v>
      </c>
      <c r="O21" s="0" t="n">
        <f aca="false">Offre!$E$14*(Offre!$C$14^Param!$B$3)*1_Friction!O21</f>
        <v>8.5698193049678</v>
      </c>
      <c r="P21" s="0" t="n">
        <f aca="false">Offre!$E$15*(Offre!$C$15^Param!$B$3)*1_Friction!P21</f>
        <v>4.24679896089869</v>
      </c>
      <c r="Q21" s="0" t="n">
        <f aca="false">Offre!$E$16*(Offre!$C$16^Param!$B$3)*1_Friction!Q21</f>
        <v>37.6743928714925</v>
      </c>
      <c r="R21" s="0" t="n">
        <f aca="false">Offre!$E$17*(Offre!$C$17^Param!$B$3)*1_Friction!R21</f>
        <v>4.96930457719405</v>
      </c>
      <c r="S21" s="0" t="n">
        <f aca="false">Offre!$E$18*(Offre!$C$18^Param!$B$3)*1_Friction!S21</f>
        <v>3.6091764438131</v>
      </c>
      <c r="T21" s="0" t="n">
        <f aca="false">Offre!$E$19*(Offre!$C$19^Param!$B$3)*1_Friction!T21</f>
        <v>2.24130398707756</v>
      </c>
      <c r="U21" s="0" t="n">
        <f aca="false">Offre!$E$20*(Offre!$C$20^Param!$B$3)*1_Friction!U21</f>
        <v>3.58090863308845</v>
      </c>
      <c r="V21" s="0" t="n">
        <f aca="false">Offre!$E$21*(Offre!$C$21^Param!$B$3)*1_Friction!V21</f>
        <v>1.96795326273853</v>
      </c>
      <c r="W21" s="0" t="n">
        <f aca="false">Offre!$E$22*(Offre!$C$22^Param!$B$3)*1_Friction!W21</f>
        <v>0.451011647879447</v>
      </c>
      <c r="X21" s="0" t="n">
        <f aca="false">Offre!$E$23*(Offre!$C$23^Param!$B$3)*1_Friction!X21</f>
        <v>0.696956607003978</v>
      </c>
      <c r="Y21" s="0" t="n">
        <f aca="false">Offre!$E$24*(Offre!$C$24^Param!$B$3)*1_Friction!Y21</f>
        <v>0.463790963806956</v>
      </c>
      <c r="Z21" s="0" t="n">
        <f aca="false">Offre!$E$25*(Offre!$C$25^Param!$B$3)*1_Friction!Z21</f>
        <v>1.12915413644595</v>
      </c>
      <c r="AA21" s="0" t="n">
        <f aca="false">Offre!$E$26*(Offre!$C$26^Param!$B$3)*1_Friction!AA21</f>
        <v>2.36804871793688</v>
      </c>
      <c r="AB21" s="0" t="n">
        <f aca="false">Offre!$E$27*(Offre!$C$27^Param!$B$3)*1_Friction!AB21</f>
        <v>1.19073771527922</v>
      </c>
      <c r="AC21" s="0" t="n">
        <f aca="false">Offre!$E$28*(Offre!$C$28^Param!$B$3)*1_Friction!AC21</f>
        <v>0</v>
      </c>
      <c r="AD21" s="0" t="n">
        <f aca="false">Offre!$E$29*(Offre!$C$29^Param!$B$3)*1_Friction!AD21</f>
        <v>0</v>
      </c>
      <c r="AE21" s="0" t="n">
        <f aca="false">Offre!$E$30*(Offre!$C$30^Param!$B$3)*1_Friction!AE21</f>
        <v>0</v>
      </c>
      <c r="AF21" s="0" t="n">
        <f aca="false">Offre!$E$31*(Offre!$C$31^Param!$B$3)*1_Friction!AF21</f>
        <v>0</v>
      </c>
      <c r="AG21" s="0" t="n">
        <f aca="false">Offre!$E$32*(Offre!$C$32^Param!$B$3)*1_Friction!AG21</f>
        <v>0</v>
      </c>
      <c r="AH21" s="0" t="n">
        <f aca="false">Offre!$E$33*(Offre!$C$33^Param!$B$3)*1_Friction!AH21</f>
        <v>12.9196713956447</v>
      </c>
      <c r="AI21" s="0" t="n">
        <f aca="false">Offre!$E$34*(Offre!$C$34^Param!$B$3)*1_Friction!AI21</f>
        <v>0.966493687751944</v>
      </c>
      <c r="AJ21" s="0" t="n">
        <f aca="false">Offre!$E$35*(Offre!$C$35^Param!$B$3)*1_Friction!AJ21</f>
        <v>0.979001234491162</v>
      </c>
      <c r="AK21" s="0" t="n">
        <f aca="false">Offre!$E$36*(Offre!$C$36^Param!$B$3)*1_Friction!AK21</f>
        <v>0</v>
      </c>
      <c r="AL21" s="0" t="n">
        <f aca="false">Offre!$E$37*(Offre!$C$37^Param!$B$3)*1_Friction!AL21</f>
        <v>0</v>
      </c>
      <c r="AM21" s="0" t="n">
        <f aca="false">Offre!$E$38*(Offre!$C$38^Param!$B$3)*1_Friction!AM21</f>
        <v>0.765394287960795</v>
      </c>
      <c r="AN21" s="0" t="n">
        <f aca="false">Offre!$E$39*(Offre!$C$39^Param!$B$3)*1_Friction!AN21</f>
        <v>0</v>
      </c>
      <c r="AO21" s="0" t="n">
        <f aca="false">SUM(C21:AN21)</f>
        <v>181.10747337876</v>
      </c>
    </row>
    <row r="22" customFormat="false" ht="15" hidden="false" customHeight="true" outlineLevel="0" collapsed="false">
      <c r="A22" s="0" t="s">
        <v>142</v>
      </c>
      <c r="B22" s="0" t="s">
        <v>143</v>
      </c>
      <c r="C22" s="0" t="n">
        <f aca="false">Offre!$E$2*(Offre!$C$2^Param!$B$3)*1_Friction!C22</f>
        <v>3.1155152026975</v>
      </c>
      <c r="D22" s="0" t="n">
        <f aca="false">Offre!$E$3*(Offre!$C$3^Param!$B$3)*1_Friction!D22</f>
        <v>3.56318471417704</v>
      </c>
      <c r="E22" s="0" t="n">
        <f aca="false">Offre!$E$4*(Offre!$C$4^Param!$B$3)*1_Friction!E22</f>
        <v>40.0794665637406</v>
      </c>
      <c r="F22" s="0" t="n">
        <f aca="false">Offre!$E$5*(Offre!$C$5^Param!$B$3)*1_Friction!F22</f>
        <v>7.31063244532149</v>
      </c>
      <c r="G22" s="0" t="n">
        <f aca="false">Offre!$E$6*(Offre!$C$6^Param!$B$3)*1_Friction!G22</f>
        <v>20.5719688924681</v>
      </c>
      <c r="H22" s="0" t="n">
        <f aca="false">Offre!$E$7*(Offre!$C$7^Param!$B$3)*1_Friction!H22</f>
        <v>5.18591792982051</v>
      </c>
      <c r="I22" s="0" t="n">
        <f aca="false">Offre!$E$8*(Offre!$C$8^Param!$B$3)*1_Friction!I22</f>
        <v>11.8647165987785</v>
      </c>
      <c r="J22" s="0" t="n">
        <f aca="false">Offre!$E$9*(Offre!$C$9^Param!$B$3)*1_Friction!J22</f>
        <v>9.20214159706868</v>
      </c>
      <c r="K22" s="0" t="n">
        <f aca="false">Offre!$E$10*(Offre!$C$10^Param!$B$3)*1_Friction!K22</f>
        <v>5.5701476427282</v>
      </c>
      <c r="L22" s="0" t="n">
        <f aca="false">Offre!$E$11*(Offre!$C$11^Param!$B$3)*1_Friction!L22</f>
        <v>5.93748984164416</v>
      </c>
      <c r="M22" s="0" t="n">
        <f aca="false">Offre!$E$12*(Offre!$C$12^Param!$B$3)*1_Friction!M22</f>
        <v>33.3389754694915</v>
      </c>
      <c r="N22" s="0" t="n">
        <f aca="false">Offre!$E$13*(Offre!$C$13^Param!$B$3)*1_Friction!N22</f>
        <v>4.24928114456764</v>
      </c>
      <c r="O22" s="0" t="n">
        <f aca="false">Offre!$E$14*(Offre!$C$14^Param!$B$3)*1_Friction!O22</f>
        <v>13.6213974432328</v>
      </c>
      <c r="P22" s="0" t="n">
        <f aca="false">Offre!$E$15*(Offre!$C$15^Param!$B$3)*1_Friction!P22</f>
        <v>6.72333940597446</v>
      </c>
      <c r="Q22" s="0" t="n">
        <f aca="false">Offre!$E$16*(Offre!$C$16^Param!$B$3)*1_Friction!Q22</f>
        <v>59.5803333828854</v>
      </c>
      <c r="R22" s="0" t="n">
        <f aca="false">Offre!$E$17*(Offre!$C$17^Param!$B$3)*1_Friction!R22</f>
        <v>7.87905056827537</v>
      </c>
      <c r="S22" s="0" t="n">
        <f aca="false">Offre!$E$18*(Offre!$C$18^Param!$B$3)*1_Friction!S22</f>
        <v>5.75640640189398</v>
      </c>
      <c r="T22" s="0" t="n">
        <f aca="false">Offre!$E$19*(Offre!$C$19^Param!$B$3)*1_Friction!T22</f>
        <v>10.0274137827704</v>
      </c>
      <c r="U22" s="0" t="n">
        <f aca="false">Offre!$E$20*(Offre!$C$20^Param!$B$3)*1_Friction!U22</f>
        <v>8.83112144935611</v>
      </c>
      <c r="V22" s="0" t="n">
        <f aca="false">Offre!$E$21*(Offre!$C$21^Param!$B$3)*1_Friction!V22</f>
        <v>13.7737379814315</v>
      </c>
      <c r="W22" s="0" t="n">
        <f aca="false">Offre!$E$22*(Offre!$C$22^Param!$B$3)*1_Friction!W22</f>
        <v>2.31201539251983</v>
      </c>
      <c r="X22" s="0" t="n">
        <f aca="false">Offre!$E$23*(Offre!$C$23^Param!$B$3)*1_Friction!X22</f>
        <v>3.128583420344</v>
      </c>
      <c r="Y22" s="0" t="n">
        <f aca="false">Offre!$E$24*(Offre!$C$24^Param!$B$3)*1_Friction!Y22</f>
        <v>2.08280342363349</v>
      </c>
      <c r="Z22" s="0" t="n">
        <f aca="false">Offre!$E$25*(Offre!$C$25^Param!$B$3)*1_Friction!Z22</f>
        <v>5.10207959836488</v>
      </c>
      <c r="AA22" s="0" t="n">
        <f aca="false">Offre!$E$26*(Offre!$C$26^Param!$B$3)*1_Friction!AA22</f>
        <v>9.20341390285053</v>
      </c>
      <c r="AB22" s="0" t="n">
        <f aca="false">Offre!$E$27*(Offre!$C$27^Param!$B$3)*1_Friction!AB22</f>
        <v>4.33277497523291</v>
      </c>
      <c r="AC22" s="0" t="n">
        <f aca="false">Offre!$E$28*(Offre!$C$28^Param!$B$3)*1_Friction!AC22</f>
        <v>0</v>
      </c>
      <c r="AD22" s="0" t="n">
        <f aca="false">Offre!$E$29*(Offre!$C$29^Param!$B$3)*1_Friction!AD22</f>
        <v>0</v>
      </c>
      <c r="AE22" s="0" t="n">
        <f aca="false">Offre!$E$30*(Offre!$C$30^Param!$B$3)*1_Friction!AE22</f>
        <v>0</v>
      </c>
      <c r="AF22" s="0" t="n">
        <f aca="false">Offre!$E$31*(Offre!$C$31^Param!$B$3)*1_Friction!AF22</f>
        <v>0</v>
      </c>
      <c r="AG22" s="0" t="n">
        <f aca="false">Offre!$E$32*(Offre!$C$32^Param!$B$3)*1_Friction!AG22</f>
        <v>0</v>
      </c>
      <c r="AH22" s="0" t="n">
        <f aca="false">Offre!$E$33*(Offre!$C$33^Param!$B$3)*1_Friction!AH22</f>
        <v>20.2786215717574</v>
      </c>
      <c r="AI22" s="0" t="n">
        <f aca="false">Offre!$E$34*(Offre!$C$34^Param!$B$3)*1_Friction!AI22</f>
        <v>4.47402981395387</v>
      </c>
      <c r="AJ22" s="0" t="n">
        <f aca="false">Offre!$E$35*(Offre!$C$35^Param!$B$3)*1_Friction!AJ22</f>
        <v>4.4745074904128</v>
      </c>
      <c r="AK22" s="0" t="n">
        <f aca="false">Offre!$E$36*(Offre!$C$36^Param!$B$3)*1_Friction!AK22</f>
        <v>0</v>
      </c>
      <c r="AL22" s="0" t="n">
        <f aca="false">Offre!$E$37*(Offre!$C$37^Param!$B$3)*1_Friction!AL22</f>
        <v>0</v>
      </c>
      <c r="AM22" s="0" t="n">
        <f aca="false">Offre!$E$38*(Offre!$C$38^Param!$B$3)*1_Friction!AM22</f>
        <v>7.3781409091915</v>
      </c>
      <c r="AN22" s="0" t="n">
        <f aca="false">Offre!$E$39*(Offre!$C$39^Param!$B$3)*1_Friction!AN22</f>
        <v>0</v>
      </c>
      <c r="AO22" s="0" t="n">
        <f aca="false">SUM(C22:AN22)</f>
        <v>338.949208956585</v>
      </c>
    </row>
    <row r="23" customFormat="false" ht="15" hidden="false" customHeight="true" outlineLevel="0" collapsed="false">
      <c r="A23" s="0" t="s">
        <v>144</v>
      </c>
      <c r="B23" s="0" t="s">
        <v>145</v>
      </c>
      <c r="C23" s="0" t="n">
        <f aca="false">Offre!$E$2*(Offre!$C$2^Param!$B$3)*1_Friction!C23</f>
        <v>1.01832531794813</v>
      </c>
      <c r="D23" s="0" t="n">
        <f aca="false">Offre!$E$3*(Offre!$C$3^Param!$B$3)*1_Friction!D23</f>
        <v>2.53197304152319</v>
      </c>
      <c r="E23" s="0" t="n">
        <f aca="false">Offre!$E$4*(Offre!$C$4^Param!$B$3)*1_Friction!E23</f>
        <v>28.5446743771264</v>
      </c>
      <c r="F23" s="0" t="n">
        <f aca="false">Offre!$E$5*(Offre!$C$5^Param!$B$3)*1_Friction!F23</f>
        <v>5.21762397088098</v>
      </c>
      <c r="G23" s="0" t="n">
        <f aca="false">Offre!$E$6*(Offre!$C$6^Param!$B$3)*1_Friction!G23</f>
        <v>14.6424337033538</v>
      </c>
      <c r="H23" s="0" t="n">
        <f aca="false">Offre!$E$7*(Offre!$C$7^Param!$B$3)*1_Friction!H23</f>
        <v>3.75690580358746</v>
      </c>
      <c r="I23" s="0" t="n">
        <f aca="false">Offre!$E$8*(Offre!$C$8^Param!$B$3)*1_Friction!I23</f>
        <v>8.58190133592973</v>
      </c>
      <c r="J23" s="0" t="n">
        <f aca="false">Offre!$E$9*(Offre!$C$9^Param!$B$3)*1_Friction!J23</f>
        <v>6.61921242927948</v>
      </c>
      <c r="K23" s="0" t="n">
        <f aca="false">Offre!$E$10*(Offre!$C$10^Param!$B$3)*1_Friction!K23</f>
        <v>3.98630214156135</v>
      </c>
      <c r="L23" s="0" t="n">
        <f aca="false">Offre!$E$11*(Offre!$C$11^Param!$B$3)*1_Friction!L23</f>
        <v>4.29533340568587</v>
      </c>
      <c r="M23" s="0" t="n">
        <f aca="false">Offre!$E$12*(Offre!$C$12^Param!$B$3)*1_Friction!M23</f>
        <v>24.3473268833193</v>
      </c>
      <c r="N23" s="0" t="n">
        <f aca="false">Offre!$E$13*(Offre!$C$13^Param!$B$3)*1_Friction!N23</f>
        <v>3.06220305000854</v>
      </c>
      <c r="O23" s="0" t="n">
        <f aca="false">Offre!$E$14*(Offre!$C$14^Param!$B$3)*1_Friction!O23</f>
        <v>9.8291527585528</v>
      </c>
      <c r="P23" s="0" t="n">
        <f aca="false">Offre!$E$15*(Offre!$C$15^Param!$B$3)*1_Friction!P23</f>
        <v>4.86307742369352</v>
      </c>
      <c r="Q23" s="0" t="n">
        <f aca="false">Offre!$E$16*(Offre!$C$16^Param!$B$3)*1_Friction!Q23</f>
        <v>43.1508690031213</v>
      </c>
      <c r="R23" s="0" t="n">
        <f aca="false">Offre!$E$17*(Offre!$C$17^Param!$B$3)*1_Friction!R23</f>
        <v>5.69501277516513</v>
      </c>
      <c r="S23" s="0" t="n">
        <f aca="false">Offre!$E$18*(Offre!$C$18^Param!$B$3)*1_Friction!S23</f>
        <v>4.14344728474769</v>
      </c>
      <c r="T23" s="0" t="n">
        <f aca="false">Offre!$E$19*(Offre!$C$19^Param!$B$3)*1_Friction!T23</f>
        <v>5.38348771901021</v>
      </c>
      <c r="U23" s="0" t="n">
        <f aca="false">Offre!$E$20*(Offre!$C$20^Param!$B$3)*1_Friction!U23</f>
        <v>6.22511407397113</v>
      </c>
      <c r="V23" s="0" t="n">
        <f aca="false">Offre!$E$21*(Offre!$C$21^Param!$B$3)*1_Friction!V23</f>
        <v>4.48296550755022</v>
      </c>
      <c r="W23" s="0" t="n">
        <f aca="false">Offre!$E$22*(Offre!$C$22^Param!$B$3)*1_Friction!W23</f>
        <v>1.00803551230942</v>
      </c>
      <c r="X23" s="0" t="n">
        <f aca="false">Offre!$E$23*(Offre!$C$23^Param!$B$3)*1_Friction!X23</f>
        <v>1.53699482812928</v>
      </c>
      <c r="Y23" s="0" t="n">
        <f aca="false">Offre!$E$24*(Offre!$C$24^Param!$B$3)*1_Friction!Y23</f>
        <v>1.02300984630162</v>
      </c>
      <c r="Z23" s="0" t="n">
        <f aca="false">Offre!$E$25*(Offre!$C$25^Param!$B$3)*1_Friction!Z23</f>
        <v>2.49820625583348</v>
      </c>
      <c r="AA23" s="0" t="n">
        <f aca="false">Offre!$E$26*(Offre!$C$26^Param!$B$3)*1_Friction!AA23</f>
        <v>5.21078585419986</v>
      </c>
      <c r="AB23" s="0" t="n">
        <f aca="false">Offre!$E$27*(Offre!$C$27^Param!$B$3)*1_Friction!AB23</f>
        <v>2.58462191993115</v>
      </c>
      <c r="AC23" s="0" t="n">
        <f aca="false">Offre!$E$28*(Offre!$C$28^Param!$B$3)*1_Friction!AC23</f>
        <v>0</v>
      </c>
      <c r="AD23" s="0" t="n">
        <f aca="false">Offre!$E$29*(Offre!$C$29^Param!$B$3)*1_Friction!AD23</f>
        <v>0</v>
      </c>
      <c r="AE23" s="0" t="n">
        <f aca="false">Offre!$E$30*(Offre!$C$30^Param!$B$3)*1_Friction!AE23</f>
        <v>0</v>
      </c>
      <c r="AF23" s="0" t="n">
        <f aca="false">Offre!$E$31*(Offre!$C$31^Param!$B$3)*1_Friction!AF23</f>
        <v>0</v>
      </c>
      <c r="AG23" s="0" t="n">
        <f aca="false">Offre!$E$32*(Offre!$C$32^Param!$B$3)*1_Friction!AG23</f>
        <v>0</v>
      </c>
      <c r="AH23" s="0" t="n">
        <f aca="false">Offre!$E$33*(Offre!$C$33^Param!$B$3)*1_Friction!AH23</f>
        <v>14.7655042377189</v>
      </c>
      <c r="AI23" s="0" t="n">
        <f aca="false">Offre!$E$34*(Offre!$C$34^Param!$B$3)*1_Friction!AI23</f>
        <v>2.36121987084191</v>
      </c>
      <c r="AJ23" s="0" t="n">
        <f aca="false">Offre!$E$35*(Offre!$C$35^Param!$B$3)*1_Friction!AJ23</f>
        <v>2.1782696200927</v>
      </c>
      <c r="AK23" s="0" t="n">
        <f aca="false">Offre!$E$36*(Offre!$C$36^Param!$B$3)*1_Friction!AK23</f>
        <v>0</v>
      </c>
      <c r="AL23" s="0" t="n">
        <f aca="false">Offre!$E$37*(Offre!$C$37^Param!$B$3)*1_Friction!AL23</f>
        <v>0</v>
      </c>
      <c r="AM23" s="0" t="n">
        <f aca="false">Offre!$E$38*(Offre!$C$38^Param!$B$3)*1_Friction!AM23</f>
        <v>2.3654961952695</v>
      </c>
      <c r="AN23" s="0" t="n">
        <f aca="false">Offre!$E$39*(Offre!$C$39^Param!$B$3)*1_Friction!AN23</f>
        <v>0</v>
      </c>
      <c r="AO23" s="0" t="n">
        <f aca="false">SUM(C23:AN23)</f>
        <v>225.909486146644</v>
      </c>
    </row>
    <row r="24" customFormat="false" ht="15" hidden="false" customHeight="true" outlineLevel="0" collapsed="false">
      <c r="A24" s="0" t="s">
        <v>146</v>
      </c>
      <c r="B24" s="0" t="s">
        <v>147</v>
      </c>
      <c r="C24" s="0" t="n">
        <f aca="false">Offre!$E$2*(Offre!$C$2^Param!$B$3)*1_Friction!C24</f>
        <v>0.214876861767482</v>
      </c>
      <c r="D24" s="0" t="n">
        <f aca="false">Offre!$E$3*(Offre!$C$3^Param!$B$3)*1_Friction!D24</f>
        <v>0.118740110216912</v>
      </c>
      <c r="E24" s="0" t="n">
        <f aca="false">Offre!$E$4*(Offre!$C$4^Param!$B$3)*1_Friction!E24</f>
        <v>1.12746929361532</v>
      </c>
      <c r="F24" s="0" t="n">
        <f aca="false">Offre!$E$5*(Offre!$C$5^Param!$B$3)*1_Friction!F24</f>
        <v>0.200902113283489</v>
      </c>
      <c r="G24" s="0" t="n">
        <f aca="false">Offre!$E$6*(Offre!$C$6^Param!$B$3)*1_Friction!G24</f>
        <v>0.542609156518821</v>
      </c>
      <c r="H24" s="0" t="n">
        <f aca="false">Offre!$E$7*(Offre!$C$7^Param!$B$3)*1_Friction!H24</f>
        <v>0</v>
      </c>
      <c r="I24" s="0" t="n">
        <f aca="false">Offre!$E$8*(Offre!$C$8^Param!$B$3)*1_Friction!I24</f>
        <v>0</v>
      </c>
      <c r="J24" s="0" t="n">
        <f aca="false">Offre!$E$9*(Offre!$C$9^Param!$B$3)*1_Friction!J24</f>
        <v>0</v>
      </c>
      <c r="K24" s="0" t="n">
        <f aca="false">Offre!$E$10*(Offre!$C$10^Param!$B$3)*1_Friction!K24</f>
        <v>0</v>
      </c>
      <c r="L24" s="0" t="n">
        <f aca="false">Offre!$E$11*(Offre!$C$11^Param!$B$3)*1_Friction!L24</f>
        <v>0</v>
      </c>
      <c r="M24" s="0" t="n">
        <f aca="false">Offre!$E$12*(Offre!$C$12^Param!$B$3)*1_Friction!M24</f>
        <v>0</v>
      </c>
      <c r="N24" s="0" t="n">
        <f aca="false">Offre!$E$13*(Offre!$C$13^Param!$B$3)*1_Friction!N24</f>
        <v>0</v>
      </c>
      <c r="O24" s="0" t="n">
        <f aca="false">Offre!$E$14*(Offre!$C$14^Param!$B$3)*1_Friction!O24</f>
        <v>0</v>
      </c>
      <c r="P24" s="0" t="n">
        <f aca="false">Offre!$E$15*(Offre!$C$15^Param!$B$3)*1_Friction!P24</f>
        <v>0</v>
      </c>
      <c r="Q24" s="0" t="n">
        <f aca="false">Offre!$E$16*(Offre!$C$16^Param!$B$3)*1_Friction!Q24</f>
        <v>0</v>
      </c>
      <c r="R24" s="0" t="n">
        <f aca="false">Offre!$E$17*(Offre!$C$17^Param!$B$3)*1_Friction!R24</f>
        <v>0</v>
      </c>
      <c r="S24" s="0" t="n">
        <f aca="false">Offre!$E$18*(Offre!$C$18^Param!$B$3)*1_Friction!S24</f>
        <v>0</v>
      </c>
      <c r="T24" s="0" t="n">
        <f aca="false">Offre!$E$19*(Offre!$C$19^Param!$B$3)*1_Friction!T24</f>
        <v>0</v>
      </c>
      <c r="U24" s="0" t="n">
        <f aca="false">Offre!$E$20*(Offre!$C$20^Param!$B$3)*1_Friction!U24</f>
        <v>0</v>
      </c>
      <c r="V24" s="0" t="n">
        <f aca="false">Offre!$E$21*(Offre!$C$21^Param!$B$3)*1_Friction!V24</f>
        <v>0</v>
      </c>
      <c r="W24" s="0" t="n">
        <f aca="false">Offre!$E$22*(Offre!$C$22^Param!$B$3)*1_Friction!W24</f>
        <v>0</v>
      </c>
      <c r="X24" s="0" t="n">
        <f aca="false">Offre!$E$23*(Offre!$C$23^Param!$B$3)*1_Friction!X24</f>
        <v>0</v>
      </c>
      <c r="Y24" s="0" t="n">
        <f aca="false">Offre!$E$24*(Offre!$C$24^Param!$B$3)*1_Friction!Y24</f>
        <v>0</v>
      </c>
      <c r="Z24" s="0" t="n">
        <f aca="false">Offre!$E$25*(Offre!$C$25^Param!$B$3)*1_Friction!Z24</f>
        <v>0</v>
      </c>
      <c r="AA24" s="0" t="n">
        <f aca="false">Offre!$E$26*(Offre!$C$26^Param!$B$3)*1_Friction!AA24</f>
        <v>0</v>
      </c>
      <c r="AB24" s="0" t="n">
        <f aca="false">Offre!$E$27*(Offre!$C$27^Param!$B$3)*1_Friction!AB24</f>
        <v>0</v>
      </c>
      <c r="AC24" s="0" t="n">
        <f aca="false">Offre!$E$28*(Offre!$C$28^Param!$B$3)*1_Friction!AC24</f>
        <v>0</v>
      </c>
      <c r="AD24" s="0" t="n">
        <f aca="false">Offre!$E$29*(Offre!$C$29^Param!$B$3)*1_Friction!AD24</f>
        <v>0</v>
      </c>
      <c r="AE24" s="0" t="n">
        <f aca="false">Offre!$E$30*(Offre!$C$30^Param!$B$3)*1_Friction!AE24</f>
        <v>0</v>
      </c>
      <c r="AF24" s="0" t="n">
        <f aca="false">Offre!$E$31*(Offre!$C$31^Param!$B$3)*1_Friction!AF24</f>
        <v>0</v>
      </c>
      <c r="AG24" s="0" t="n">
        <f aca="false">Offre!$E$32*(Offre!$C$32^Param!$B$3)*1_Friction!AG24</f>
        <v>12.9187880187443</v>
      </c>
      <c r="AH24" s="0" t="n">
        <f aca="false">Offre!$E$33*(Offre!$C$33^Param!$B$3)*1_Friction!AH24</f>
        <v>0</v>
      </c>
      <c r="AI24" s="0" t="n">
        <f aca="false">Offre!$E$34*(Offre!$C$34^Param!$B$3)*1_Friction!AI24</f>
        <v>0</v>
      </c>
      <c r="AJ24" s="0" t="n">
        <f aca="false">Offre!$E$35*(Offre!$C$35^Param!$B$3)*1_Friction!AJ24</f>
        <v>0</v>
      </c>
      <c r="AK24" s="0" t="n">
        <f aca="false">Offre!$E$36*(Offre!$C$36^Param!$B$3)*1_Friction!AK24</f>
        <v>0</v>
      </c>
      <c r="AL24" s="0" t="n">
        <f aca="false">Offre!$E$37*(Offre!$C$37^Param!$B$3)*1_Friction!AL24</f>
        <v>0</v>
      </c>
      <c r="AM24" s="0" t="n">
        <f aca="false">Offre!$E$38*(Offre!$C$38^Param!$B$3)*1_Friction!AM24</f>
        <v>0.45871922853146</v>
      </c>
      <c r="AN24" s="0" t="n">
        <f aca="false">Offre!$E$39*(Offre!$C$39^Param!$B$3)*1_Friction!AN24</f>
        <v>1.19426993890034</v>
      </c>
      <c r="AO24" s="0" t="n">
        <f aca="false">SUM(C24:AN24)</f>
        <v>16.7763747215782</v>
      </c>
    </row>
    <row r="25" customFormat="false" ht="15" hidden="false" customHeight="true" outlineLevel="0" collapsed="false">
      <c r="A25" s="0" t="s">
        <v>148</v>
      </c>
      <c r="B25" s="0" t="s">
        <v>149</v>
      </c>
      <c r="C25" s="0" t="n">
        <f aca="false">Offre!$E$2*(Offre!$C$2^Param!$B$3)*1_Friction!C25</f>
        <v>0</v>
      </c>
      <c r="D25" s="0" t="n">
        <f aca="false">Offre!$E$3*(Offre!$C$3^Param!$B$3)*1_Friction!D25</f>
        <v>0</v>
      </c>
      <c r="E25" s="0" t="n">
        <f aca="false">Offre!$E$4*(Offre!$C$4^Param!$B$3)*1_Friction!E25</f>
        <v>0</v>
      </c>
      <c r="F25" s="0" t="n">
        <f aca="false">Offre!$E$5*(Offre!$C$5^Param!$B$3)*1_Friction!F25</f>
        <v>0</v>
      </c>
      <c r="G25" s="0" t="n">
        <f aca="false">Offre!$E$6*(Offre!$C$6^Param!$B$3)*1_Friction!G25</f>
        <v>0</v>
      </c>
      <c r="H25" s="0" t="n">
        <f aca="false">Offre!$E$7*(Offre!$C$7^Param!$B$3)*1_Friction!H25</f>
        <v>0</v>
      </c>
      <c r="I25" s="0" t="n">
        <f aca="false">Offre!$E$8*(Offre!$C$8^Param!$B$3)*1_Friction!I25</f>
        <v>0</v>
      </c>
      <c r="J25" s="0" t="n">
        <f aca="false">Offre!$E$9*(Offre!$C$9^Param!$B$3)*1_Friction!J25</f>
        <v>0</v>
      </c>
      <c r="K25" s="0" t="n">
        <f aca="false">Offre!$E$10*(Offre!$C$10^Param!$B$3)*1_Friction!K25</f>
        <v>0</v>
      </c>
      <c r="L25" s="0" t="n">
        <f aca="false">Offre!$E$11*(Offre!$C$11^Param!$B$3)*1_Friction!L25</f>
        <v>0</v>
      </c>
      <c r="M25" s="0" t="n">
        <f aca="false">Offre!$E$12*(Offre!$C$12^Param!$B$3)*1_Friction!M25</f>
        <v>0</v>
      </c>
      <c r="N25" s="0" t="n">
        <f aca="false">Offre!$E$13*(Offre!$C$13^Param!$B$3)*1_Friction!N25</f>
        <v>0</v>
      </c>
      <c r="O25" s="0" t="n">
        <f aca="false">Offre!$E$14*(Offre!$C$14^Param!$B$3)*1_Friction!O25</f>
        <v>0</v>
      </c>
      <c r="P25" s="0" t="n">
        <f aca="false">Offre!$E$15*(Offre!$C$15^Param!$B$3)*1_Friction!P25</f>
        <v>0</v>
      </c>
      <c r="Q25" s="0" t="n">
        <f aca="false">Offre!$E$16*(Offre!$C$16^Param!$B$3)*1_Friction!Q25</f>
        <v>0</v>
      </c>
      <c r="R25" s="0" t="n">
        <f aca="false">Offre!$E$17*(Offre!$C$17^Param!$B$3)*1_Friction!R25</f>
        <v>0</v>
      </c>
      <c r="S25" s="0" t="n">
        <f aca="false">Offre!$E$18*(Offre!$C$18^Param!$B$3)*1_Friction!S25</f>
        <v>0</v>
      </c>
      <c r="T25" s="0" t="n">
        <f aca="false">Offre!$E$19*(Offre!$C$19^Param!$B$3)*1_Friction!T25</f>
        <v>0</v>
      </c>
      <c r="U25" s="0" t="n">
        <f aca="false">Offre!$E$20*(Offre!$C$20^Param!$B$3)*1_Friction!U25</f>
        <v>0</v>
      </c>
      <c r="V25" s="0" t="n">
        <f aca="false">Offre!$E$21*(Offre!$C$21^Param!$B$3)*1_Friction!V25</f>
        <v>0</v>
      </c>
      <c r="W25" s="0" t="n">
        <f aca="false">Offre!$E$22*(Offre!$C$22^Param!$B$3)*1_Friction!W25</f>
        <v>0</v>
      </c>
      <c r="X25" s="0" t="n">
        <f aca="false">Offre!$E$23*(Offre!$C$23^Param!$B$3)*1_Friction!X25</f>
        <v>0</v>
      </c>
      <c r="Y25" s="0" t="n">
        <f aca="false">Offre!$E$24*(Offre!$C$24^Param!$B$3)*1_Friction!Y25</f>
        <v>0</v>
      </c>
      <c r="Z25" s="0" t="n">
        <f aca="false">Offre!$E$25*(Offre!$C$25^Param!$B$3)*1_Friction!Z25</f>
        <v>0</v>
      </c>
      <c r="AA25" s="0" t="n">
        <f aca="false">Offre!$E$26*(Offre!$C$26^Param!$B$3)*1_Friction!AA25</f>
        <v>0</v>
      </c>
      <c r="AB25" s="0" t="n">
        <f aca="false">Offre!$E$27*(Offre!$C$27^Param!$B$3)*1_Friction!AB25</f>
        <v>0</v>
      </c>
      <c r="AC25" s="0" t="n">
        <f aca="false">Offre!$E$28*(Offre!$C$28^Param!$B$3)*1_Friction!AC25</f>
        <v>0</v>
      </c>
      <c r="AD25" s="0" t="n">
        <f aca="false">Offre!$E$29*(Offre!$C$29^Param!$B$3)*1_Friction!AD25</f>
        <v>0</v>
      </c>
      <c r="AE25" s="0" t="n">
        <f aca="false">Offre!$E$30*(Offre!$C$30^Param!$B$3)*1_Friction!AE25</f>
        <v>0</v>
      </c>
      <c r="AF25" s="0" t="n">
        <f aca="false">Offre!$E$31*(Offre!$C$31^Param!$B$3)*1_Friction!AF25</f>
        <v>0</v>
      </c>
      <c r="AG25" s="0" t="n">
        <f aca="false">Offre!$E$32*(Offre!$C$32^Param!$B$3)*1_Friction!AG25</f>
        <v>0.373400893054682</v>
      </c>
      <c r="AH25" s="0" t="n">
        <f aca="false">Offre!$E$33*(Offre!$C$33^Param!$B$3)*1_Friction!AH25</f>
        <v>0</v>
      </c>
      <c r="AI25" s="0" t="n">
        <f aca="false">Offre!$E$34*(Offre!$C$34^Param!$B$3)*1_Friction!AI25</f>
        <v>0</v>
      </c>
      <c r="AJ25" s="0" t="n">
        <f aca="false">Offre!$E$35*(Offre!$C$35^Param!$B$3)*1_Friction!AJ25</f>
        <v>0</v>
      </c>
      <c r="AK25" s="0" t="n">
        <f aca="false">Offre!$E$36*(Offre!$C$36^Param!$B$3)*1_Friction!AK25</f>
        <v>0</v>
      </c>
      <c r="AL25" s="0" t="n">
        <f aca="false">Offre!$E$37*(Offre!$C$37^Param!$B$3)*1_Friction!AL25</f>
        <v>0</v>
      </c>
      <c r="AM25" s="0" t="n">
        <f aca="false">Offre!$E$38*(Offre!$C$38^Param!$B$3)*1_Friction!AM25</f>
        <v>0</v>
      </c>
      <c r="AN25" s="0" t="n">
        <f aca="false">Offre!$E$39*(Offre!$C$39^Param!$B$3)*1_Friction!AN25</f>
        <v>36</v>
      </c>
      <c r="AO25" s="0" t="n">
        <f aca="false">SUM(C25:AN25)</f>
        <v>36.3734008930547</v>
      </c>
    </row>
    <row r="26" customFormat="false" ht="15" hidden="false" customHeight="true" outlineLevel="0" collapsed="false">
      <c r="A26" s="0" t="s">
        <v>150</v>
      </c>
      <c r="B26" s="0" t="s">
        <v>151</v>
      </c>
      <c r="C26" s="0" t="n">
        <f aca="false">Offre!$E$2*(Offre!$C$2^Param!$B$3)*1_Friction!C26</f>
        <v>0</v>
      </c>
      <c r="D26" s="0" t="n">
        <f aca="false">Offre!$E$3*(Offre!$C$3^Param!$B$3)*1_Friction!D26</f>
        <v>0</v>
      </c>
      <c r="E26" s="0" t="n">
        <f aca="false">Offre!$E$4*(Offre!$C$4^Param!$B$3)*1_Friction!E26</f>
        <v>0</v>
      </c>
      <c r="F26" s="0" t="n">
        <f aca="false">Offre!$E$5*(Offre!$C$5^Param!$B$3)*1_Friction!F26</f>
        <v>0</v>
      </c>
      <c r="G26" s="0" t="n">
        <f aca="false">Offre!$E$6*(Offre!$C$6^Param!$B$3)*1_Friction!G26</f>
        <v>0</v>
      </c>
      <c r="H26" s="0" t="n">
        <f aca="false">Offre!$E$7*(Offre!$C$7^Param!$B$3)*1_Friction!H26</f>
        <v>0</v>
      </c>
      <c r="I26" s="0" t="n">
        <f aca="false">Offre!$E$8*(Offre!$C$8^Param!$B$3)*1_Friction!I26</f>
        <v>0</v>
      </c>
      <c r="J26" s="0" t="n">
        <f aca="false">Offre!$E$9*(Offre!$C$9^Param!$B$3)*1_Friction!J26</f>
        <v>0</v>
      </c>
      <c r="K26" s="0" t="n">
        <f aca="false">Offre!$E$10*(Offre!$C$10^Param!$B$3)*1_Friction!K26</f>
        <v>0</v>
      </c>
      <c r="L26" s="0" t="n">
        <f aca="false">Offre!$E$11*(Offre!$C$11^Param!$B$3)*1_Friction!L26</f>
        <v>0</v>
      </c>
      <c r="M26" s="0" t="n">
        <f aca="false">Offre!$E$12*(Offre!$C$12^Param!$B$3)*1_Friction!M26</f>
        <v>0</v>
      </c>
      <c r="N26" s="0" t="n">
        <f aca="false">Offre!$E$13*(Offre!$C$13^Param!$B$3)*1_Friction!N26</f>
        <v>0</v>
      </c>
      <c r="O26" s="0" t="n">
        <f aca="false">Offre!$E$14*(Offre!$C$14^Param!$B$3)*1_Friction!O26</f>
        <v>0</v>
      </c>
      <c r="P26" s="0" t="n">
        <f aca="false">Offre!$E$15*(Offre!$C$15^Param!$B$3)*1_Friction!P26</f>
        <v>0</v>
      </c>
      <c r="Q26" s="0" t="n">
        <f aca="false">Offre!$E$16*(Offre!$C$16^Param!$B$3)*1_Friction!Q26</f>
        <v>0</v>
      </c>
      <c r="R26" s="0" t="n">
        <f aca="false">Offre!$E$17*(Offre!$C$17^Param!$B$3)*1_Friction!R26</f>
        <v>0</v>
      </c>
      <c r="S26" s="0" t="n">
        <f aca="false">Offre!$E$18*(Offre!$C$18^Param!$B$3)*1_Friction!S26</f>
        <v>0</v>
      </c>
      <c r="T26" s="0" t="n">
        <f aca="false">Offre!$E$19*(Offre!$C$19^Param!$B$3)*1_Friction!T26</f>
        <v>0</v>
      </c>
      <c r="U26" s="0" t="n">
        <f aca="false">Offre!$E$20*(Offre!$C$20^Param!$B$3)*1_Friction!U26</f>
        <v>0</v>
      </c>
      <c r="V26" s="0" t="n">
        <f aca="false">Offre!$E$21*(Offre!$C$21^Param!$B$3)*1_Friction!V26</f>
        <v>0</v>
      </c>
      <c r="W26" s="0" t="n">
        <f aca="false">Offre!$E$22*(Offre!$C$22^Param!$B$3)*1_Friction!W26</f>
        <v>0</v>
      </c>
      <c r="X26" s="0" t="n">
        <f aca="false">Offre!$E$23*(Offre!$C$23^Param!$B$3)*1_Friction!X26</f>
        <v>0</v>
      </c>
      <c r="Y26" s="0" t="n">
        <f aca="false">Offre!$E$24*(Offre!$C$24^Param!$B$3)*1_Friction!Y26</f>
        <v>0</v>
      </c>
      <c r="Z26" s="0" t="n">
        <f aca="false">Offre!$E$25*(Offre!$C$25^Param!$B$3)*1_Friction!Z26</f>
        <v>0</v>
      </c>
      <c r="AA26" s="0" t="n">
        <f aca="false">Offre!$E$26*(Offre!$C$26^Param!$B$3)*1_Friction!AA26</f>
        <v>0</v>
      </c>
      <c r="AB26" s="0" t="n">
        <f aca="false">Offre!$E$27*(Offre!$C$27^Param!$B$3)*1_Friction!AB26</f>
        <v>0</v>
      </c>
      <c r="AC26" s="0" t="n">
        <f aca="false">Offre!$E$28*(Offre!$C$28^Param!$B$3)*1_Friction!AC26</f>
        <v>0</v>
      </c>
      <c r="AD26" s="0" t="n">
        <f aca="false">Offre!$E$29*(Offre!$C$29^Param!$B$3)*1_Friction!AD26</f>
        <v>0</v>
      </c>
      <c r="AE26" s="0" t="n">
        <f aca="false">Offre!$E$30*(Offre!$C$30^Param!$B$3)*1_Friction!AE26</f>
        <v>0</v>
      </c>
      <c r="AF26" s="0" t="n">
        <f aca="false">Offre!$E$31*(Offre!$C$31^Param!$B$3)*1_Friction!AF26</f>
        <v>0</v>
      </c>
      <c r="AG26" s="0" t="n">
        <f aca="false">Offre!$E$32*(Offre!$C$32^Param!$B$3)*1_Friction!AG26</f>
        <v>6.32433632223903</v>
      </c>
      <c r="AH26" s="0" t="n">
        <f aca="false">Offre!$E$33*(Offre!$C$33^Param!$B$3)*1_Friction!AH26</f>
        <v>0</v>
      </c>
      <c r="AI26" s="0" t="n">
        <f aca="false">Offre!$E$34*(Offre!$C$34^Param!$B$3)*1_Friction!AI26</f>
        <v>0</v>
      </c>
      <c r="AJ26" s="0" t="n">
        <f aca="false">Offre!$E$35*(Offre!$C$35^Param!$B$3)*1_Friction!AJ26</f>
        <v>0</v>
      </c>
      <c r="AK26" s="0" t="n">
        <f aca="false">Offre!$E$36*(Offre!$C$36^Param!$B$3)*1_Friction!AK26</f>
        <v>0</v>
      </c>
      <c r="AL26" s="0" t="n">
        <f aca="false">Offre!$E$37*(Offre!$C$37^Param!$B$3)*1_Friction!AL26</f>
        <v>0</v>
      </c>
      <c r="AM26" s="0" t="n">
        <f aca="false">Offre!$E$38*(Offre!$C$38^Param!$B$3)*1_Friction!AM26</f>
        <v>0</v>
      </c>
      <c r="AN26" s="0" t="n">
        <f aca="false">Offre!$E$39*(Offre!$C$39^Param!$B$3)*1_Friction!AN26</f>
        <v>0</v>
      </c>
      <c r="AO26" s="0" t="n">
        <f aca="false">SUM(C26:AN26)</f>
        <v>6.32433632223903</v>
      </c>
    </row>
    <row r="27" customFormat="false" ht="15" hidden="false" customHeight="true" outlineLevel="0" collapsed="false">
      <c r="A27" s="0" t="s">
        <v>152</v>
      </c>
      <c r="B27" s="0" t="s">
        <v>153</v>
      </c>
      <c r="C27" s="0" t="n">
        <f aca="false">Offre!$E$2*(Offre!$C$2^Param!$B$3)*1_Friction!C27</f>
        <v>0</v>
      </c>
      <c r="D27" s="0" t="n">
        <f aca="false">Offre!$E$3*(Offre!$C$3^Param!$B$3)*1_Friction!D27</f>
        <v>0</v>
      </c>
      <c r="E27" s="0" t="n">
        <f aca="false">Offre!$E$4*(Offre!$C$4^Param!$B$3)*1_Friction!E27</f>
        <v>0</v>
      </c>
      <c r="F27" s="0" t="n">
        <f aca="false">Offre!$E$5*(Offre!$C$5^Param!$B$3)*1_Friction!F27</f>
        <v>0</v>
      </c>
      <c r="G27" s="0" t="n">
        <f aca="false">Offre!$E$6*(Offre!$C$6^Param!$B$3)*1_Friction!G27</f>
        <v>0</v>
      </c>
      <c r="H27" s="0" t="n">
        <f aca="false">Offre!$E$7*(Offre!$C$7^Param!$B$3)*1_Friction!H27</f>
        <v>0</v>
      </c>
      <c r="I27" s="0" t="n">
        <f aca="false">Offre!$E$8*(Offre!$C$8^Param!$B$3)*1_Friction!I27</f>
        <v>0</v>
      </c>
      <c r="J27" s="0" t="n">
        <f aca="false">Offre!$E$9*(Offre!$C$9^Param!$B$3)*1_Friction!J27</f>
        <v>0</v>
      </c>
      <c r="K27" s="0" t="n">
        <f aca="false">Offre!$E$10*(Offre!$C$10^Param!$B$3)*1_Friction!K27</f>
        <v>0</v>
      </c>
      <c r="L27" s="0" t="n">
        <f aca="false">Offre!$E$11*(Offre!$C$11^Param!$B$3)*1_Friction!L27</f>
        <v>0</v>
      </c>
      <c r="M27" s="0" t="n">
        <f aca="false">Offre!$E$12*(Offre!$C$12^Param!$B$3)*1_Friction!M27</f>
        <v>0</v>
      </c>
      <c r="N27" s="0" t="n">
        <f aca="false">Offre!$E$13*(Offre!$C$13^Param!$B$3)*1_Friction!N27</f>
        <v>0</v>
      </c>
      <c r="O27" s="0" t="n">
        <f aca="false">Offre!$E$14*(Offre!$C$14^Param!$B$3)*1_Friction!O27</f>
        <v>0</v>
      </c>
      <c r="P27" s="0" t="n">
        <f aca="false">Offre!$E$15*(Offre!$C$15^Param!$B$3)*1_Friction!P27</f>
        <v>0</v>
      </c>
      <c r="Q27" s="0" t="n">
        <f aca="false">Offre!$E$16*(Offre!$C$16^Param!$B$3)*1_Friction!Q27</f>
        <v>0</v>
      </c>
      <c r="R27" s="0" t="n">
        <f aca="false">Offre!$E$17*(Offre!$C$17^Param!$B$3)*1_Friction!R27</f>
        <v>0</v>
      </c>
      <c r="S27" s="0" t="n">
        <f aca="false">Offre!$E$18*(Offre!$C$18^Param!$B$3)*1_Friction!S27</f>
        <v>0</v>
      </c>
      <c r="T27" s="0" t="n">
        <f aca="false">Offre!$E$19*(Offre!$C$19^Param!$B$3)*1_Friction!T27</f>
        <v>0</v>
      </c>
      <c r="U27" s="0" t="n">
        <f aca="false">Offre!$E$20*(Offre!$C$20^Param!$B$3)*1_Friction!U27</f>
        <v>0</v>
      </c>
      <c r="V27" s="0" t="n">
        <f aca="false">Offre!$E$21*(Offre!$C$21^Param!$B$3)*1_Friction!V27</f>
        <v>0</v>
      </c>
      <c r="W27" s="0" t="n">
        <f aca="false">Offre!$E$22*(Offre!$C$22^Param!$B$3)*1_Friction!W27</f>
        <v>0</v>
      </c>
      <c r="X27" s="0" t="n">
        <f aca="false">Offre!$E$23*(Offre!$C$23^Param!$B$3)*1_Friction!X27</f>
        <v>0</v>
      </c>
      <c r="Y27" s="0" t="n">
        <f aca="false">Offre!$E$24*(Offre!$C$24^Param!$B$3)*1_Friction!Y27</f>
        <v>0</v>
      </c>
      <c r="Z27" s="0" t="n">
        <f aca="false">Offre!$E$25*(Offre!$C$25^Param!$B$3)*1_Friction!Z27</f>
        <v>0</v>
      </c>
      <c r="AA27" s="0" t="n">
        <f aca="false">Offre!$E$26*(Offre!$C$26^Param!$B$3)*1_Friction!AA27</f>
        <v>0</v>
      </c>
      <c r="AB27" s="0" t="n">
        <f aca="false">Offre!$E$27*(Offre!$C$27^Param!$B$3)*1_Friction!AB27</f>
        <v>0</v>
      </c>
      <c r="AC27" s="0" t="n">
        <f aca="false">Offre!$E$28*(Offre!$C$28^Param!$B$3)*1_Friction!AC27</f>
        <v>0</v>
      </c>
      <c r="AD27" s="0" t="n">
        <f aca="false">Offre!$E$29*(Offre!$C$29^Param!$B$3)*1_Friction!AD27</f>
        <v>0</v>
      </c>
      <c r="AE27" s="0" t="n">
        <f aca="false">Offre!$E$30*(Offre!$C$30^Param!$B$3)*1_Friction!AE27</f>
        <v>0</v>
      </c>
      <c r="AF27" s="0" t="n">
        <f aca="false">Offre!$E$31*(Offre!$C$31^Param!$B$3)*1_Friction!AF27</f>
        <v>0</v>
      </c>
      <c r="AG27" s="0" t="n">
        <f aca="false">Offre!$E$32*(Offre!$C$32^Param!$B$3)*1_Friction!AG27</f>
        <v>0.235353754103598</v>
      </c>
      <c r="AH27" s="0" t="n">
        <f aca="false">Offre!$E$33*(Offre!$C$33^Param!$B$3)*1_Friction!AH27</f>
        <v>0</v>
      </c>
      <c r="AI27" s="0" t="n">
        <f aca="false">Offre!$E$34*(Offre!$C$34^Param!$B$3)*1_Friction!AI27</f>
        <v>0</v>
      </c>
      <c r="AJ27" s="0" t="n">
        <f aca="false">Offre!$E$35*(Offre!$C$35^Param!$B$3)*1_Friction!AJ27</f>
        <v>0</v>
      </c>
      <c r="AK27" s="0" t="n">
        <f aca="false">Offre!$E$36*(Offre!$C$36^Param!$B$3)*1_Friction!AK27</f>
        <v>0</v>
      </c>
      <c r="AL27" s="0" t="n">
        <f aca="false">Offre!$E$37*(Offre!$C$37^Param!$B$3)*1_Friction!AL27</f>
        <v>0</v>
      </c>
      <c r="AM27" s="0" t="n">
        <f aca="false">Offre!$E$38*(Offre!$C$38^Param!$B$3)*1_Friction!AM27</f>
        <v>0</v>
      </c>
      <c r="AN27" s="0" t="n">
        <f aca="false">Offre!$E$39*(Offre!$C$39^Param!$B$3)*1_Friction!AN27</f>
        <v>0</v>
      </c>
      <c r="AO27" s="0" t="n">
        <f aca="false">SUM(C27:AN27)</f>
        <v>0.235353754103598</v>
      </c>
    </row>
    <row r="28" customFormat="false" ht="15" hidden="false" customHeight="true" outlineLevel="0" collapsed="false">
      <c r="A28" s="0" t="s">
        <v>154</v>
      </c>
      <c r="B28" s="0" t="s">
        <v>155</v>
      </c>
      <c r="C28" s="0" t="n">
        <f aca="false">Offre!$E$2*(Offre!$C$2^Param!$B$3)*1_Friction!C28</f>
        <v>0</v>
      </c>
      <c r="D28" s="0" t="n">
        <f aca="false">Offre!$E$3*(Offre!$C$3^Param!$B$3)*1_Friction!D28</f>
        <v>0</v>
      </c>
      <c r="E28" s="0" t="n">
        <f aca="false">Offre!$E$4*(Offre!$C$4^Param!$B$3)*1_Friction!E28</f>
        <v>0</v>
      </c>
      <c r="F28" s="0" t="n">
        <f aca="false">Offre!$E$5*(Offre!$C$5^Param!$B$3)*1_Friction!F28</f>
        <v>0</v>
      </c>
      <c r="G28" s="0" t="n">
        <f aca="false">Offre!$E$6*(Offre!$C$6^Param!$B$3)*1_Friction!G28</f>
        <v>0</v>
      </c>
      <c r="H28" s="0" t="n">
        <f aca="false">Offre!$E$7*(Offre!$C$7^Param!$B$3)*1_Friction!H28</f>
        <v>0</v>
      </c>
      <c r="I28" s="0" t="n">
        <f aca="false">Offre!$E$8*(Offre!$C$8^Param!$B$3)*1_Friction!I28</f>
        <v>0</v>
      </c>
      <c r="J28" s="0" t="n">
        <f aca="false">Offre!$E$9*(Offre!$C$9^Param!$B$3)*1_Friction!J28</f>
        <v>0</v>
      </c>
      <c r="K28" s="0" t="n">
        <f aca="false">Offre!$E$10*(Offre!$C$10^Param!$B$3)*1_Friction!K28</f>
        <v>0</v>
      </c>
      <c r="L28" s="0" t="n">
        <f aca="false">Offre!$E$11*(Offre!$C$11^Param!$B$3)*1_Friction!L28</f>
        <v>0</v>
      </c>
      <c r="M28" s="0" t="n">
        <f aca="false">Offre!$E$12*(Offre!$C$12^Param!$B$3)*1_Friction!M28</f>
        <v>0</v>
      </c>
      <c r="N28" s="0" t="n">
        <f aca="false">Offre!$E$13*(Offre!$C$13^Param!$B$3)*1_Friction!N28</f>
        <v>0</v>
      </c>
      <c r="O28" s="0" t="n">
        <f aca="false">Offre!$E$14*(Offre!$C$14^Param!$B$3)*1_Friction!O28</f>
        <v>0</v>
      </c>
      <c r="P28" s="0" t="n">
        <f aca="false">Offre!$E$15*(Offre!$C$15^Param!$B$3)*1_Friction!P28</f>
        <v>0</v>
      </c>
      <c r="Q28" s="0" t="n">
        <f aca="false">Offre!$E$16*(Offre!$C$16^Param!$B$3)*1_Friction!Q28</f>
        <v>0</v>
      </c>
      <c r="R28" s="0" t="n">
        <f aca="false">Offre!$E$17*(Offre!$C$17^Param!$B$3)*1_Friction!R28</f>
        <v>0</v>
      </c>
      <c r="S28" s="0" t="n">
        <f aca="false">Offre!$E$18*(Offre!$C$18^Param!$B$3)*1_Friction!S28</f>
        <v>0</v>
      </c>
      <c r="T28" s="0" t="n">
        <f aca="false">Offre!$E$19*(Offre!$C$19^Param!$B$3)*1_Friction!T28</f>
        <v>0</v>
      </c>
      <c r="U28" s="0" t="n">
        <f aca="false">Offre!$E$20*(Offre!$C$20^Param!$B$3)*1_Friction!U28</f>
        <v>0</v>
      </c>
      <c r="V28" s="0" t="n">
        <f aca="false">Offre!$E$21*(Offre!$C$21^Param!$B$3)*1_Friction!V28</f>
        <v>0</v>
      </c>
      <c r="W28" s="0" t="n">
        <f aca="false">Offre!$E$22*(Offre!$C$22^Param!$B$3)*1_Friction!W28</f>
        <v>0</v>
      </c>
      <c r="X28" s="0" t="n">
        <f aca="false">Offre!$E$23*(Offre!$C$23^Param!$B$3)*1_Friction!X28</f>
        <v>0</v>
      </c>
      <c r="Y28" s="0" t="n">
        <f aca="false">Offre!$E$24*(Offre!$C$24^Param!$B$3)*1_Friction!Y28</f>
        <v>0</v>
      </c>
      <c r="Z28" s="0" t="n">
        <f aca="false">Offre!$E$25*(Offre!$C$25^Param!$B$3)*1_Friction!Z28</f>
        <v>0</v>
      </c>
      <c r="AA28" s="0" t="n">
        <f aca="false">Offre!$E$26*(Offre!$C$26^Param!$B$3)*1_Friction!AA28</f>
        <v>0</v>
      </c>
      <c r="AB28" s="0" t="n">
        <f aca="false">Offre!$E$27*(Offre!$C$27^Param!$B$3)*1_Friction!AB28</f>
        <v>0</v>
      </c>
      <c r="AC28" s="0" t="n">
        <f aca="false">Offre!$E$28*(Offre!$C$28^Param!$B$3)*1_Friction!AC28</f>
        <v>0</v>
      </c>
      <c r="AD28" s="0" t="n">
        <f aca="false">Offre!$E$29*(Offre!$C$29^Param!$B$3)*1_Friction!AD28</f>
        <v>0</v>
      </c>
      <c r="AE28" s="0" t="n">
        <f aca="false">Offre!$E$30*(Offre!$C$30^Param!$B$3)*1_Friction!AE28</f>
        <v>0</v>
      </c>
      <c r="AF28" s="0" t="n">
        <f aca="false">Offre!$E$31*(Offre!$C$31^Param!$B$3)*1_Friction!AF28</f>
        <v>0</v>
      </c>
      <c r="AG28" s="0" t="n">
        <f aca="false">Offre!$E$32*(Offre!$C$32^Param!$B$3)*1_Friction!AG28</f>
        <v>0</v>
      </c>
      <c r="AH28" s="0" t="n">
        <f aca="false">Offre!$E$33*(Offre!$C$33^Param!$B$3)*1_Friction!AH28</f>
        <v>0</v>
      </c>
      <c r="AI28" s="0" t="n">
        <f aca="false">Offre!$E$34*(Offre!$C$34^Param!$B$3)*1_Friction!AI28</f>
        <v>0</v>
      </c>
      <c r="AJ28" s="0" t="n">
        <f aca="false">Offre!$E$35*(Offre!$C$35^Param!$B$3)*1_Friction!AJ28</f>
        <v>0</v>
      </c>
      <c r="AK28" s="0" t="n">
        <f aca="false">Offre!$E$36*(Offre!$C$36^Param!$B$3)*1_Friction!AK28</f>
        <v>0</v>
      </c>
      <c r="AL28" s="0" t="n">
        <f aca="false">Offre!$E$37*(Offre!$C$37^Param!$B$3)*1_Friction!AL28</f>
        <v>0</v>
      </c>
      <c r="AM28" s="0" t="n">
        <f aca="false">Offre!$E$38*(Offre!$C$38^Param!$B$3)*1_Friction!AM28</f>
        <v>0</v>
      </c>
      <c r="AN28" s="0" t="n">
        <f aca="false">Offre!$E$39*(Offre!$C$39^Param!$B$3)*1_Friction!AN28</f>
        <v>0</v>
      </c>
      <c r="AO28" s="0" t="n">
        <f aca="false">SUM(C28:AN28)</f>
        <v>0</v>
      </c>
    </row>
    <row r="29" customFormat="false" ht="15" hidden="false" customHeight="true" outlineLevel="0" collapsed="false">
      <c r="A29" s="0" t="s">
        <v>156</v>
      </c>
      <c r="B29" s="0" t="s">
        <v>157</v>
      </c>
      <c r="C29" s="0" t="n">
        <f aca="false">Offre!$E$2*(Offre!$C$2^Param!$B$3)*1_Friction!C29</f>
        <v>0</v>
      </c>
      <c r="D29" s="0" t="n">
        <f aca="false">Offre!$E$3*(Offre!$C$3^Param!$B$3)*1_Friction!D29</f>
        <v>0</v>
      </c>
      <c r="E29" s="0" t="n">
        <f aca="false">Offre!$E$4*(Offre!$C$4^Param!$B$3)*1_Friction!E29</f>
        <v>0</v>
      </c>
      <c r="F29" s="0" t="n">
        <f aca="false">Offre!$E$5*(Offre!$C$5^Param!$B$3)*1_Friction!F29</f>
        <v>0</v>
      </c>
      <c r="G29" s="0" t="n">
        <f aca="false">Offre!$E$6*(Offre!$C$6^Param!$B$3)*1_Friction!G29</f>
        <v>0</v>
      </c>
      <c r="H29" s="0" t="n">
        <f aca="false">Offre!$E$7*(Offre!$C$7^Param!$B$3)*1_Friction!H29</f>
        <v>0</v>
      </c>
      <c r="I29" s="0" t="n">
        <f aca="false">Offre!$E$8*(Offre!$C$8^Param!$B$3)*1_Friction!I29</f>
        <v>0</v>
      </c>
      <c r="J29" s="0" t="n">
        <f aca="false">Offre!$E$9*(Offre!$C$9^Param!$B$3)*1_Friction!J29</f>
        <v>0</v>
      </c>
      <c r="K29" s="0" t="n">
        <f aca="false">Offre!$E$10*(Offre!$C$10^Param!$B$3)*1_Friction!K29</f>
        <v>0</v>
      </c>
      <c r="L29" s="0" t="n">
        <f aca="false">Offre!$E$11*(Offre!$C$11^Param!$B$3)*1_Friction!L29</f>
        <v>0</v>
      </c>
      <c r="M29" s="0" t="n">
        <f aca="false">Offre!$E$12*(Offre!$C$12^Param!$B$3)*1_Friction!M29</f>
        <v>0</v>
      </c>
      <c r="N29" s="0" t="n">
        <f aca="false">Offre!$E$13*(Offre!$C$13^Param!$B$3)*1_Friction!N29</f>
        <v>0</v>
      </c>
      <c r="O29" s="0" t="n">
        <f aca="false">Offre!$E$14*(Offre!$C$14^Param!$B$3)*1_Friction!O29</f>
        <v>0</v>
      </c>
      <c r="P29" s="0" t="n">
        <f aca="false">Offre!$E$15*(Offre!$C$15^Param!$B$3)*1_Friction!P29</f>
        <v>0</v>
      </c>
      <c r="Q29" s="0" t="n">
        <f aca="false">Offre!$E$16*(Offre!$C$16^Param!$B$3)*1_Friction!Q29</f>
        <v>0</v>
      </c>
      <c r="R29" s="0" t="n">
        <f aca="false">Offre!$E$17*(Offre!$C$17^Param!$B$3)*1_Friction!R29</f>
        <v>0</v>
      </c>
      <c r="S29" s="0" t="n">
        <f aca="false">Offre!$E$18*(Offre!$C$18^Param!$B$3)*1_Friction!S29</f>
        <v>0</v>
      </c>
      <c r="T29" s="0" t="n">
        <f aca="false">Offre!$E$19*(Offre!$C$19^Param!$B$3)*1_Friction!T29</f>
        <v>0</v>
      </c>
      <c r="U29" s="0" t="n">
        <f aca="false">Offre!$E$20*(Offre!$C$20^Param!$B$3)*1_Friction!U29</f>
        <v>0</v>
      </c>
      <c r="V29" s="0" t="n">
        <f aca="false">Offre!$E$21*(Offre!$C$21^Param!$B$3)*1_Friction!V29</f>
        <v>0</v>
      </c>
      <c r="W29" s="0" t="n">
        <f aca="false">Offre!$E$22*(Offre!$C$22^Param!$B$3)*1_Friction!W29</f>
        <v>0</v>
      </c>
      <c r="X29" s="0" t="n">
        <f aca="false">Offre!$E$23*(Offre!$C$23^Param!$B$3)*1_Friction!X29</f>
        <v>0</v>
      </c>
      <c r="Y29" s="0" t="n">
        <f aca="false">Offre!$E$24*(Offre!$C$24^Param!$B$3)*1_Friction!Y29</f>
        <v>0</v>
      </c>
      <c r="Z29" s="0" t="n">
        <f aca="false">Offre!$E$25*(Offre!$C$25^Param!$B$3)*1_Friction!Z29</f>
        <v>0</v>
      </c>
      <c r="AA29" s="0" t="n">
        <f aca="false">Offre!$E$26*(Offre!$C$26^Param!$B$3)*1_Friction!AA29</f>
        <v>0</v>
      </c>
      <c r="AB29" s="0" t="n">
        <f aca="false">Offre!$E$27*(Offre!$C$27^Param!$B$3)*1_Friction!AB29</f>
        <v>0</v>
      </c>
      <c r="AC29" s="0" t="n">
        <f aca="false">Offre!$E$28*(Offre!$C$28^Param!$B$3)*1_Friction!AC29</f>
        <v>0</v>
      </c>
      <c r="AD29" s="0" t="n">
        <f aca="false">Offre!$E$29*(Offre!$C$29^Param!$B$3)*1_Friction!AD29</f>
        <v>0</v>
      </c>
      <c r="AE29" s="0" t="n">
        <f aca="false">Offre!$E$30*(Offre!$C$30^Param!$B$3)*1_Friction!AE29</f>
        <v>0</v>
      </c>
      <c r="AF29" s="0" t="n">
        <f aca="false">Offre!$E$31*(Offre!$C$31^Param!$B$3)*1_Friction!AF29</f>
        <v>0</v>
      </c>
      <c r="AG29" s="0" t="n">
        <f aca="false">Offre!$E$32*(Offre!$C$32^Param!$B$3)*1_Friction!AG29</f>
        <v>0</v>
      </c>
      <c r="AH29" s="0" t="n">
        <f aca="false">Offre!$E$33*(Offre!$C$33^Param!$B$3)*1_Friction!AH29</f>
        <v>0</v>
      </c>
      <c r="AI29" s="0" t="n">
        <f aca="false">Offre!$E$34*(Offre!$C$34^Param!$B$3)*1_Friction!AI29</f>
        <v>0</v>
      </c>
      <c r="AJ29" s="0" t="n">
        <f aca="false">Offre!$E$35*(Offre!$C$35^Param!$B$3)*1_Friction!AJ29</f>
        <v>0</v>
      </c>
      <c r="AK29" s="0" t="n">
        <f aca="false">Offre!$E$36*(Offre!$C$36^Param!$B$3)*1_Friction!AK29</f>
        <v>0</v>
      </c>
      <c r="AL29" s="0" t="n">
        <f aca="false">Offre!$E$37*(Offre!$C$37^Param!$B$3)*1_Friction!AL29</f>
        <v>0</v>
      </c>
      <c r="AM29" s="0" t="n">
        <f aca="false">Offre!$E$38*(Offre!$C$38^Param!$B$3)*1_Friction!AM29</f>
        <v>0</v>
      </c>
      <c r="AN29" s="0" t="n">
        <f aca="false">Offre!$E$39*(Offre!$C$39^Param!$B$3)*1_Friction!AN29</f>
        <v>0.432018655273536</v>
      </c>
      <c r="AO29" s="0" t="n">
        <f aca="false">SUM(C29:AN29)</f>
        <v>0.432018655273536</v>
      </c>
    </row>
    <row r="30" customFormat="false" ht="15" hidden="false" customHeight="true" outlineLevel="0" collapsed="false">
      <c r="A30" s="0" t="s">
        <v>158</v>
      </c>
      <c r="B30" s="0" t="s">
        <v>159</v>
      </c>
      <c r="C30" s="0" t="n">
        <f aca="false">Offre!$E$2*(Offre!$C$2^Param!$B$3)*1_Friction!C30</f>
        <v>0</v>
      </c>
      <c r="D30" s="0" t="n">
        <f aca="false">Offre!$E$3*(Offre!$C$3^Param!$B$3)*1_Friction!D30</f>
        <v>0</v>
      </c>
      <c r="E30" s="0" t="n">
        <f aca="false">Offre!$E$4*(Offre!$C$4^Param!$B$3)*1_Friction!E30</f>
        <v>0</v>
      </c>
      <c r="F30" s="0" t="n">
        <f aca="false">Offre!$E$5*(Offre!$C$5^Param!$B$3)*1_Friction!F30</f>
        <v>0</v>
      </c>
      <c r="G30" s="0" t="n">
        <f aca="false">Offre!$E$6*(Offre!$C$6^Param!$B$3)*1_Friction!G30</f>
        <v>0</v>
      </c>
      <c r="H30" s="0" t="n">
        <f aca="false">Offre!$E$7*(Offre!$C$7^Param!$B$3)*1_Friction!H30</f>
        <v>0</v>
      </c>
      <c r="I30" s="0" t="n">
        <f aca="false">Offre!$E$8*(Offre!$C$8^Param!$B$3)*1_Friction!I30</f>
        <v>0</v>
      </c>
      <c r="J30" s="0" t="n">
        <f aca="false">Offre!$E$9*(Offre!$C$9^Param!$B$3)*1_Friction!J30</f>
        <v>0</v>
      </c>
      <c r="K30" s="0" t="n">
        <f aca="false">Offre!$E$10*(Offre!$C$10^Param!$B$3)*1_Friction!K30</f>
        <v>0</v>
      </c>
      <c r="L30" s="0" t="n">
        <f aca="false">Offre!$E$11*(Offre!$C$11^Param!$B$3)*1_Friction!L30</f>
        <v>0</v>
      </c>
      <c r="M30" s="0" t="n">
        <f aca="false">Offre!$E$12*(Offre!$C$12^Param!$B$3)*1_Friction!M30</f>
        <v>0</v>
      </c>
      <c r="N30" s="0" t="n">
        <f aca="false">Offre!$E$13*(Offre!$C$13^Param!$B$3)*1_Friction!N30</f>
        <v>0</v>
      </c>
      <c r="O30" s="0" t="n">
        <f aca="false">Offre!$E$14*(Offre!$C$14^Param!$B$3)*1_Friction!O30</f>
        <v>0</v>
      </c>
      <c r="P30" s="0" t="n">
        <f aca="false">Offre!$E$15*(Offre!$C$15^Param!$B$3)*1_Friction!P30</f>
        <v>0</v>
      </c>
      <c r="Q30" s="0" t="n">
        <f aca="false">Offre!$E$16*(Offre!$C$16^Param!$B$3)*1_Friction!Q30</f>
        <v>0</v>
      </c>
      <c r="R30" s="0" t="n">
        <f aca="false">Offre!$E$17*(Offre!$C$17^Param!$B$3)*1_Friction!R30</f>
        <v>0</v>
      </c>
      <c r="S30" s="0" t="n">
        <f aca="false">Offre!$E$18*(Offre!$C$18^Param!$B$3)*1_Friction!S30</f>
        <v>0</v>
      </c>
      <c r="T30" s="0" t="n">
        <f aca="false">Offre!$E$19*(Offre!$C$19^Param!$B$3)*1_Friction!T30</f>
        <v>0</v>
      </c>
      <c r="U30" s="0" t="n">
        <f aca="false">Offre!$E$20*(Offre!$C$20^Param!$B$3)*1_Friction!U30</f>
        <v>0</v>
      </c>
      <c r="V30" s="0" t="n">
        <f aca="false">Offre!$E$21*(Offre!$C$21^Param!$B$3)*1_Friction!V30</f>
        <v>0</v>
      </c>
      <c r="W30" s="0" t="n">
        <f aca="false">Offre!$E$22*(Offre!$C$22^Param!$B$3)*1_Friction!W30</f>
        <v>0</v>
      </c>
      <c r="X30" s="0" t="n">
        <f aca="false">Offre!$E$23*(Offre!$C$23^Param!$B$3)*1_Friction!X30</f>
        <v>0</v>
      </c>
      <c r="Y30" s="0" t="n">
        <f aca="false">Offre!$E$24*(Offre!$C$24^Param!$B$3)*1_Friction!Y30</f>
        <v>0</v>
      </c>
      <c r="Z30" s="0" t="n">
        <f aca="false">Offre!$E$25*(Offre!$C$25^Param!$B$3)*1_Friction!Z30</f>
        <v>0</v>
      </c>
      <c r="AA30" s="0" t="n">
        <f aca="false">Offre!$E$26*(Offre!$C$26^Param!$B$3)*1_Friction!AA30</f>
        <v>0</v>
      </c>
      <c r="AB30" s="0" t="n">
        <f aca="false">Offre!$E$27*(Offre!$C$27^Param!$B$3)*1_Friction!AB30</f>
        <v>0</v>
      </c>
      <c r="AC30" s="0" t="n">
        <f aca="false">Offre!$E$28*(Offre!$C$28^Param!$B$3)*1_Friction!AC30</f>
        <v>0</v>
      </c>
      <c r="AD30" s="0" t="n">
        <f aca="false">Offre!$E$29*(Offre!$C$29^Param!$B$3)*1_Friction!AD30</f>
        <v>0</v>
      </c>
      <c r="AE30" s="0" t="n">
        <f aca="false">Offre!$E$30*(Offre!$C$30^Param!$B$3)*1_Friction!AE30</f>
        <v>0</v>
      </c>
      <c r="AF30" s="0" t="n">
        <f aca="false">Offre!$E$31*(Offre!$C$31^Param!$B$3)*1_Friction!AF30</f>
        <v>0</v>
      </c>
      <c r="AG30" s="0" t="n">
        <f aca="false">Offre!$E$32*(Offre!$C$32^Param!$B$3)*1_Friction!AG30</f>
        <v>11.2818896143823</v>
      </c>
      <c r="AH30" s="0" t="n">
        <f aca="false">Offre!$E$33*(Offre!$C$33^Param!$B$3)*1_Friction!AH30</f>
        <v>0</v>
      </c>
      <c r="AI30" s="0" t="n">
        <f aca="false">Offre!$E$34*(Offre!$C$34^Param!$B$3)*1_Friction!AI30</f>
        <v>0</v>
      </c>
      <c r="AJ30" s="0" t="n">
        <f aca="false">Offre!$E$35*(Offre!$C$35^Param!$B$3)*1_Friction!AJ30</f>
        <v>0</v>
      </c>
      <c r="AK30" s="0" t="n">
        <f aca="false">Offre!$E$36*(Offre!$C$36^Param!$B$3)*1_Friction!AK30</f>
        <v>0</v>
      </c>
      <c r="AL30" s="0" t="n">
        <f aca="false">Offre!$E$37*(Offre!$C$37^Param!$B$3)*1_Friction!AL30</f>
        <v>0</v>
      </c>
      <c r="AM30" s="0" t="n">
        <f aca="false">Offre!$E$38*(Offre!$C$38^Param!$B$3)*1_Friction!AM30</f>
        <v>0</v>
      </c>
      <c r="AN30" s="0" t="n">
        <f aca="false">Offre!$E$39*(Offre!$C$39^Param!$B$3)*1_Friction!AN30</f>
        <v>0</v>
      </c>
      <c r="AO30" s="0" t="n">
        <f aca="false">SUM(C30:AN30)</f>
        <v>11.2818896143823</v>
      </c>
    </row>
    <row r="31" customFormat="false" ht="15" hidden="false" customHeight="true" outlineLevel="0" collapsed="false">
      <c r="A31" s="0" t="s">
        <v>160</v>
      </c>
      <c r="B31" s="0" t="s">
        <v>161</v>
      </c>
      <c r="C31" s="0" t="n">
        <f aca="false">Offre!$E$2*(Offre!$C$2^Param!$B$3)*1_Friction!C31</f>
        <v>0</v>
      </c>
      <c r="D31" s="0" t="n">
        <f aca="false">Offre!$E$3*(Offre!$C$3^Param!$B$3)*1_Friction!D31</f>
        <v>0</v>
      </c>
      <c r="E31" s="0" t="n">
        <f aca="false">Offre!$E$4*(Offre!$C$4^Param!$B$3)*1_Friction!E31</f>
        <v>0</v>
      </c>
      <c r="F31" s="0" t="n">
        <f aca="false">Offre!$E$5*(Offre!$C$5^Param!$B$3)*1_Friction!F31</f>
        <v>0</v>
      </c>
      <c r="G31" s="0" t="n">
        <f aca="false">Offre!$E$6*(Offre!$C$6^Param!$B$3)*1_Friction!G31</f>
        <v>0</v>
      </c>
      <c r="H31" s="0" t="n">
        <f aca="false">Offre!$E$7*(Offre!$C$7^Param!$B$3)*1_Friction!H31</f>
        <v>0</v>
      </c>
      <c r="I31" s="0" t="n">
        <f aca="false">Offre!$E$8*(Offre!$C$8^Param!$B$3)*1_Friction!I31</f>
        <v>0</v>
      </c>
      <c r="J31" s="0" t="n">
        <f aca="false">Offre!$E$9*(Offre!$C$9^Param!$B$3)*1_Friction!J31</f>
        <v>0</v>
      </c>
      <c r="K31" s="0" t="n">
        <f aca="false">Offre!$E$10*(Offre!$C$10^Param!$B$3)*1_Friction!K31</f>
        <v>0</v>
      </c>
      <c r="L31" s="0" t="n">
        <f aca="false">Offre!$E$11*(Offre!$C$11^Param!$B$3)*1_Friction!L31</f>
        <v>0</v>
      </c>
      <c r="M31" s="0" t="n">
        <f aca="false">Offre!$E$12*(Offre!$C$12^Param!$B$3)*1_Friction!M31</f>
        <v>0</v>
      </c>
      <c r="N31" s="0" t="n">
        <f aca="false">Offre!$E$13*(Offre!$C$13^Param!$B$3)*1_Friction!N31</f>
        <v>0</v>
      </c>
      <c r="O31" s="0" t="n">
        <f aca="false">Offre!$E$14*(Offre!$C$14^Param!$B$3)*1_Friction!O31</f>
        <v>0</v>
      </c>
      <c r="P31" s="0" t="n">
        <f aca="false">Offre!$E$15*(Offre!$C$15^Param!$B$3)*1_Friction!P31</f>
        <v>0</v>
      </c>
      <c r="Q31" s="0" t="n">
        <f aca="false">Offre!$E$16*(Offre!$C$16^Param!$B$3)*1_Friction!Q31</f>
        <v>0</v>
      </c>
      <c r="R31" s="0" t="n">
        <f aca="false">Offre!$E$17*(Offre!$C$17^Param!$B$3)*1_Friction!R31</f>
        <v>0</v>
      </c>
      <c r="S31" s="0" t="n">
        <f aca="false">Offre!$E$18*(Offre!$C$18^Param!$B$3)*1_Friction!S31</f>
        <v>0</v>
      </c>
      <c r="T31" s="0" t="n">
        <f aca="false">Offre!$E$19*(Offre!$C$19^Param!$B$3)*1_Friction!T31</f>
        <v>0</v>
      </c>
      <c r="U31" s="0" t="n">
        <f aca="false">Offre!$E$20*(Offre!$C$20^Param!$B$3)*1_Friction!U31</f>
        <v>0</v>
      </c>
      <c r="V31" s="0" t="n">
        <f aca="false">Offre!$E$21*(Offre!$C$21^Param!$B$3)*1_Friction!V31</f>
        <v>0</v>
      </c>
      <c r="W31" s="0" t="n">
        <f aca="false">Offre!$E$22*(Offre!$C$22^Param!$B$3)*1_Friction!W31</f>
        <v>0</v>
      </c>
      <c r="X31" s="0" t="n">
        <f aca="false">Offre!$E$23*(Offre!$C$23^Param!$B$3)*1_Friction!X31</f>
        <v>0</v>
      </c>
      <c r="Y31" s="0" t="n">
        <f aca="false">Offre!$E$24*(Offre!$C$24^Param!$B$3)*1_Friction!Y31</f>
        <v>0</v>
      </c>
      <c r="Z31" s="0" t="n">
        <f aca="false">Offre!$E$25*(Offre!$C$25^Param!$B$3)*1_Friction!Z31</f>
        <v>0</v>
      </c>
      <c r="AA31" s="0" t="n">
        <f aca="false">Offre!$E$26*(Offre!$C$26^Param!$B$3)*1_Friction!AA31</f>
        <v>0</v>
      </c>
      <c r="AB31" s="0" t="n">
        <f aca="false">Offre!$E$27*(Offre!$C$27^Param!$B$3)*1_Friction!AB31</f>
        <v>0</v>
      </c>
      <c r="AC31" s="0" t="n">
        <f aca="false">Offre!$E$28*(Offre!$C$28^Param!$B$3)*1_Friction!AC31</f>
        <v>0</v>
      </c>
      <c r="AD31" s="0" t="n">
        <f aca="false">Offre!$E$29*(Offre!$C$29^Param!$B$3)*1_Friction!AD31</f>
        <v>0</v>
      </c>
      <c r="AE31" s="0" t="n">
        <f aca="false">Offre!$E$30*(Offre!$C$30^Param!$B$3)*1_Friction!AE31</f>
        <v>0</v>
      </c>
      <c r="AF31" s="0" t="n">
        <f aca="false">Offre!$E$31*(Offre!$C$31^Param!$B$3)*1_Friction!AF31</f>
        <v>0</v>
      </c>
      <c r="AG31" s="0" t="n">
        <f aca="false">Offre!$E$32*(Offre!$C$32^Param!$B$3)*1_Friction!AG31</f>
        <v>11.664146273343</v>
      </c>
      <c r="AH31" s="0" t="n">
        <f aca="false">Offre!$E$33*(Offre!$C$33^Param!$B$3)*1_Friction!AH31</f>
        <v>0</v>
      </c>
      <c r="AI31" s="0" t="n">
        <f aca="false">Offre!$E$34*(Offre!$C$34^Param!$B$3)*1_Friction!AI31</f>
        <v>0</v>
      </c>
      <c r="AJ31" s="0" t="n">
        <f aca="false">Offre!$E$35*(Offre!$C$35^Param!$B$3)*1_Friction!AJ31</f>
        <v>0</v>
      </c>
      <c r="AK31" s="0" t="n">
        <f aca="false">Offre!$E$36*(Offre!$C$36^Param!$B$3)*1_Friction!AK31</f>
        <v>0</v>
      </c>
      <c r="AL31" s="0" t="n">
        <f aca="false">Offre!$E$37*(Offre!$C$37^Param!$B$3)*1_Friction!AL31</f>
        <v>0</v>
      </c>
      <c r="AM31" s="0" t="n">
        <f aca="false">Offre!$E$38*(Offre!$C$38^Param!$B$3)*1_Friction!AM31</f>
        <v>0</v>
      </c>
      <c r="AN31" s="0" t="n">
        <f aca="false">Offre!$E$39*(Offre!$C$39^Param!$B$3)*1_Friction!AN31</f>
        <v>1.92045323155061</v>
      </c>
      <c r="AO31" s="0" t="n">
        <f aca="false">SUM(C31:AN31)</f>
        <v>13.5845995048936</v>
      </c>
    </row>
    <row r="32" customFormat="false" ht="15" hidden="false" customHeight="true" outlineLevel="0" collapsed="false">
      <c r="A32" s="0" t="s">
        <v>162</v>
      </c>
      <c r="B32" s="0" t="s">
        <v>163</v>
      </c>
      <c r="C32" s="0" t="n">
        <f aca="false">Offre!$E$2*(Offre!$C$2^Param!$B$3)*1_Friction!C32</f>
        <v>0</v>
      </c>
      <c r="D32" s="0" t="n">
        <f aca="false">Offre!$E$3*(Offre!$C$3^Param!$B$3)*1_Friction!D32</f>
        <v>0</v>
      </c>
      <c r="E32" s="0" t="n">
        <f aca="false">Offre!$E$4*(Offre!$C$4^Param!$B$3)*1_Friction!E32</f>
        <v>0</v>
      </c>
      <c r="F32" s="0" t="n">
        <f aca="false">Offre!$E$5*(Offre!$C$5^Param!$B$3)*1_Friction!F32</f>
        <v>0</v>
      </c>
      <c r="G32" s="0" t="n">
        <f aca="false">Offre!$E$6*(Offre!$C$6^Param!$B$3)*1_Friction!G32</f>
        <v>0</v>
      </c>
      <c r="H32" s="0" t="n">
        <f aca="false">Offre!$E$7*(Offre!$C$7^Param!$B$3)*1_Friction!H32</f>
        <v>0</v>
      </c>
      <c r="I32" s="0" t="n">
        <f aca="false">Offre!$E$8*(Offre!$C$8^Param!$B$3)*1_Friction!I32</f>
        <v>0</v>
      </c>
      <c r="J32" s="0" t="n">
        <f aca="false">Offre!$E$9*(Offre!$C$9^Param!$B$3)*1_Friction!J32</f>
        <v>0</v>
      </c>
      <c r="K32" s="0" t="n">
        <f aca="false">Offre!$E$10*(Offre!$C$10^Param!$B$3)*1_Friction!K32</f>
        <v>0</v>
      </c>
      <c r="L32" s="0" t="n">
        <f aca="false">Offre!$E$11*(Offre!$C$11^Param!$B$3)*1_Friction!L32</f>
        <v>0</v>
      </c>
      <c r="M32" s="0" t="n">
        <f aca="false">Offre!$E$12*(Offre!$C$12^Param!$B$3)*1_Friction!M32</f>
        <v>0</v>
      </c>
      <c r="N32" s="0" t="n">
        <f aca="false">Offre!$E$13*(Offre!$C$13^Param!$B$3)*1_Friction!N32</f>
        <v>0</v>
      </c>
      <c r="O32" s="0" t="n">
        <f aca="false">Offre!$E$14*(Offre!$C$14^Param!$B$3)*1_Friction!O32</f>
        <v>0</v>
      </c>
      <c r="P32" s="0" t="n">
        <f aca="false">Offre!$E$15*(Offre!$C$15^Param!$B$3)*1_Friction!P32</f>
        <v>0</v>
      </c>
      <c r="Q32" s="0" t="n">
        <f aca="false">Offre!$E$16*(Offre!$C$16^Param!$B$3)*1_Friction!Q32</f>
        <v>0</v>
      </c>
      <c r="R32" s="0" t="n">
        <f aca="false">Offre!$E$17*(Offre!$C$17^Param!$B$3)*1_Friction!R32</f>
        <v>0</v>
      </c>
      <c r="S32" s="0" t="n">
        <f aca="false">Offre!$E$18*(Offre!$C$18^Param!$B$3)*1_Friction!S32</f>
        <v>0</v>
      </c>
      <c r="T32" s="0" t="n">
        <f aca="false">Offre!$E$19*(Offre!$C$19^Param!$B$3)*1_Friction!T32</f>
        <v>0</v>
      </c>
      <c r="U32" s="0" t="n">
        <f aca="false">Offre!$E$20*(Offre!$C$20^Param!$B$3)*1_Friction!U32</f>
        <v>0</v>
      </c>
      <c r="V32" s="0" t="n">
        <f aca="false">Offre!$E$21*(Offre!$C$21^Param!$B$3)*1_Friction!V32</f>
        <v>0</v>
      </c>
      <c r="W32" s="0" t="n">
        <f aca="false">Offre!$E$22*(Offre!$C$22^Param!$B$3)*1_Friction!W32</f>
        <v>0</v>
      </c>
      <c r="X32" s="0" t="n">
        <f aca="false">Offre!$E$23*(Offre!$C$23^Param!$B$3)*1_Friction!X32</f>
        <v>0</v>
      </c>
      <c r="Y32" s="0" t="n">
        <f aca="false">Offre!$E$24*(Offre!$C$24^Param!$B$3)*1_Friction!Y32</f>
        <v>0</v>
      </c>
      <c r="Z32" s="0" t="n">
        <f aca="false">Offre!$E$25*(Offre!$C$25^Param!$B$3)*1_Friction!Z32</f>
        <v>0</v>
      </c>
      <c r="AA32" s="0" t="n">
        <f aca="false">Offre!$E$26*(Offre!$C$26^Param!$B$3)*1_Friction!AA32</f>
        <v>0</v>
      </c>
      <c r="AB32" s="0" t="n">
        <f aca="false">Offre!$E$27*(Offre!$C$27^Param!$B$3)*1_Friction!AB32</f>
        <v>0</v>
      </c>
      <c r="AC32" s="0" t="n">
        <f aca="false">Offre!$E$28*(Offre!$C$28^Param!$B$3)*1_Friction!AC32</f>
        <v>0</v>
      </c>
      <c r="AD32" s="0" t="n">
        <f aca="false">Offre!$E$29*(Offre!$C$29^Param!$B$3)*1_Friction!AD32</f>
        <v>0</v>
      </c>
      <c r="AE32" s="0" t="n">
        <f aca="false">Offre!$E$30*(Offre!$C$30^Param!$B$3)*1_Friction!AE32</f>
        <v>0</v>
      </c>
      <c r="AF32" s="0" t="n">
        <f aca="false">Offre!$E$31*(Offre!$C$31^Param!$B$3)*1_Friction!AF32</f>
        <v>0</v>
      </c>
      <c r="AG32" s="0" t="n">
        <f aca="false">Offre!$E$32*(Offre!$C$32^Param!$B$3)*1_Friction!AG32</f>
        <v>0</v>
      </c>
      <c r="AH32" s="0" t="n">
        <f aca="false">Offre!$E$33*(Offre!$C$33^Param!$B$3)*1_Friction!AH32</f>
        <v>0</v>
      </c>
      <c r="AI32" s="0" t="n">
        <f aca="false">Offre!$E$34*(Offre!$C$34^Param!$B$3)*1_Friction!AI32</f>
        <v>0</v>
      </c>
      <c r="AJ32" s="0" t="n">
        <f aca="false">Offre!$E$35*(Offre!$C$35^Param!$B$3)*1_Friction!AJ32</f>
        <v>0</v>
      </c>
      <c r="AK32" s="0" t="n">
        <f aca="false">Offre!$E$36*(Offre!$C$36^Param!$B$3)*1_Friction!AK32</f>
        <v>0</v>
      </c>
      <c r="AL32" s="0" t="n">
        <f aca="false">Offre!$E$37*(Offre!$C$37^Param!$B$3)*1_Friction!AL32</f>
        <v>0</v>
      </c>
      <c r="AM32" s="0" t="n">
        <f aca="false">Offre!$E$38*(Offre!$C$38^Param!$B$3)*1_Friction!AM32</f>
        <v>0</v>
      </c>
      <c r="AN32" s="0" t="n">
        <f aca="false">Offre!$E$39*(Offre!$C$39^Param!$B$3)*1_Friction!AN32</f>
        <v>0</v>
      </c>
      <c r="AO32" s="0" t="n">
        <f aca="false">SUM(C32:AN32)</f>
        <v>0</v>
      </c>
    </row>
    <row r="33" customFormat="false" ht="15" hidden="false" customHeight="true" outlineLevel="0" collapsed="false">
      <c r="A33" s="0" t="s">
        <v>164</v>
      </c>
      <c r="B33" s="0" t="s">
        <v>165</v>
      </c>
      <c r="C33" s="0" t="n">
        <f aca="false">Offre!$E$2*(Offre!$C$2^Param!$B$3)*1_Friction!C33</f>
        <v>3.18589606283765</v>
      </c>
      <c r="D33" s="0" t="n">
        <f aca="false">Offre!$E$3*(Offre!$C$3^Param!$B$3)*1_Friction!D33</f>
        <v>0.286433310059713</v>
      </c>
      <c r="E33" s="0" t="n">
        <f aca="false">Offre!$E$4*(Offre!$C$4^Param!$B$3)*1_Friction!E33</f>
        <v>2.76539307485648</v>
      </c>
      <c r="F33" s="0" t="n">
        <f aca="false">Offre!$E$5*(Offre!$C$5^Param!$B$3)*1_Friction!F33</f>
        <v>0.493339834872341</v>
      </c>
      <c r="G33" s="0" t="n">
        <f aca="false">Offre!$E$6*(Offre!$C$6^Param!$B$3)*1_Friction!G33</f>
        <v>1.33999694907028</v>
      </c>
      <c r="H33" s="0" t="n">
        <f aca="false">Offre!$E$7*(Offre!$C$7^Param!$B$3)*1_Friction!H33</f>
        <v>0.287982769343559</v>
      </c>
      <c r="I33" s="0" t="n">
        <f aca="false">Offre!$E$8*(Offre!$C$8^Param!$B$3)*1_Friction!I33</f>
        <v>0.656686681968619</v>
      </c>
      <c r="J33" s="0" t="n">
        <f aca="false">Offre!$E$9*(Offre!$C$9^Param!$B$3)*1_Friction!J33</f>
        <v>0.510560756285359</v>
      </c>
      <c r="K33" s="0" t="n">
        <f aca="false">Offre!$E$10*(Offre!$C$10^Param!$B$3)*1_Friction!K33</f>
        <v>0.313547629380606</v>
      </c>
      <c r="L33" s="0" t="n">
        <f aca="false">Offre!$E$11*(Offre!$C$11^Param!$B$3)*1_Friction!L33</f>
        <v>0.31123477384777</v>
      </c>
      <c r="M33" s="0" t="n">
        <f aca="false">Offre!$E$12*(Offre!$C$12^Param!$B$3)*1_Friction!M33</f>
        <v>1.65531347155871</v>
      </c>
      <c r="N33" s="0" t="n">
        <f aca="false">Offre!$E$13*(Offre!$C$13^Param!$B$3)*1_Friction!N33</f>
        <v>0.22156252491934</v>
      </c>
      <c r="O33" s="0" t="n">
        <f aca="false">Offre!$E$14*(Offre!$C$14^Param!$B$3)*1_Friction!O33</f>
        <v>0.700397406228947</v>
      </c>
      <c r="P33" s="0" t="n">
        <f aca="false">Offre!$E$15*(Offre!$C$15^Param!$B$3)*1_Friction!P33</f>
        <v>0.337354852709291</v>
      </c>
      <c r="Q33" s="0" t="n">
        <f aca="false">Offre!$E$16*(Offre!$C$16^Param!$B$3)*1_Friction!Q33</f>
        <v>2.88638403799065</v>
      </c>
      <c r="R33" s="0" t="n">
        <f aca="false">Offre!$E$17*(Offre!$C$17^Param!$B$3)*1_Friction!R33</f>
        <v>0.380197339078978</v>
      </c>
      <c r="S33" s="0" t="n">
        <f aca="false">Offre!$E$18*(Offre!$C$18^Param!$B$3)*1_Friction!S33</f>
        <v>0.277493857019523</v>
      </c>
      <c r="T33" s="0" t="n">
        <f aca="false">Offre!$E$19*(Offre!$C$19^Param!$B$3)*1_Friction!T33</f>
        <v>0.388996065023006</v>
      </c>
      <c r="U33" s="0" t="n">
        <f aca="false">Offre!$E$20*(Offre!$C$20^Param!$B$3)*1_Friction!U33</f>
        <v>0</v>
      </c>
      <c r="V33" s="0" t="n">
        <f aca="false">Offre!$E$21*(Offre!$C$21^Param!$B$3)*1_Friction!V33</f>
        <v>0</v>
      </c>
      <c r="W33" s="0" t="n">
        <f aca="false">Offre!$E$22*(Offre!$C$22^Param!$B$3)*1_Friction!W33</f>
        <v>0</v>
      </c>
      <c r="X33" s="0" t="n">
        <f aca="false">Offre!$E$23*(Offre!$C$23^Param!$B$3)*1_Friction!X33</f>
        <v>0</v>
      </c>
      <c r="Y33" s="0" t="n">
        <f aca="false">Offre!$E$24*(Offre!$C$24^Param!$B$3)*1_Friction!Y33</f>
        <v>0</v>
      </c>
      <c r="Z33" s="0" t="n">
        <f aca="false">Offre!$E$25*(Offre!$C$25^Param!$B$3)*1_Friction!Z33</f>
        <v>0</v>
      </c>
      <c r="AA33" s="0" t="n">
        <f aca="false">Offre!$E$26*(Offre!$C$26^Param!$B$3)*1_Friction!AA33</f>
        <v>0</v>
      </c>
      <c r="AB33" s="0" t="n">
        <f aca="false">Offre!$E$27*(Offre!$C$27^Param!$B$3)*1_Friction!AB33</f>
        <v>0</v>
      </c>
      <c r="AC33" s="0" t="n">
        <f aca="false">Offre!$E$28*(Offre!$C$28^Param!$B$3)*1_Friction!AC33</f>
        <v>0</v>
      </c>
      <c r="AD33" s="0" t="n">
        <f aca="false">Offre!$E$29*(Offre!$C$29^Param!$B$3)*1_Friction!AD33</f>
        <v>0</v>
      </c>
      <c r="AE33" s="0" t="n">
        <f aca="false">Offre!$E$30*(Offre!$C$30^Param!$B$3)*1_Friction!AE33</f>
        <v>0</v>
      </c>
      <c r="AF33" s="0" t="n">
        <f aca="false">Offre!$E$31*(Offre!$C$31^Param!$B$3)*1_Friction!AF33</f>
        <v>0</v>
      </c>
      <c r="AG33" s="0" t="n">
        <f aca="false">Offre!$E$32*(Offre!$C$32^Param!$B$3)*1_Friction!AG33</f>
        <v>0.273816365584683</v>
      </c>
      <c r="AH33" s="0" t="n">
        <f aca="false">Offre!$E$33*(Offre!$C$33^Param!$B$3)*1_Friction!AH33</f>
        <v>0.850554234340841</v>
      </c>
      <c r="AI33" s="0" t="n">
        <f aca="false">Offre!$E$34*(Offre!$C$34^Param!$B$3)*1_Friction!AI33</f>
        <v>0.199675951538537</v>
      </c>
      <c r="AJ33" s="0" t="n">
        <f aca="false">Offre!$E$35*(Offre!$C$35^Param!$B$3)*1_Friction!AJ33</f>
        <v>0</v>
      </c>
      <c r="AK33" s="0" t="n">
        <f aca="false">Offre!$E$36*(Offre!$C$36^Param!$B$3)*1_Friction!AK33</f>
        <v>0</v>
      </c>
      <c r="AL33" s="0" t="n">
        <f aca="false">Offre!$E$37*(Offre!$C$37^Param!$B$3)*1_Friction!AL33</f>
        <v>0</v>
      </c>
      <c r="AM33" s="0" t="n">
        <f aca="false">Offre!$E$38*(Offre!$C$38^Param!$B$3)*1_Friction!AM33</f>
        <v>7.20240949065791</v>
      </c>
      <c r="AN33" s="0" t="n">
        <f aca="false">Offre!$E$39*(Offre!$C$39^Param!$B$3)*1_Friction!AN33</f>
        <v>0</v>
      </c>
      <c r="AO33" s="0" t="n">
        <f aca="false">SUM(C33:AN33)</f>
        <v>25.5252274391728</v>
      </c>
    </row>
    <row r="34" customFormat="false" ht="15" hidden="false" customHeight="true" outlineLevel="0" collapsed="false">
      <c r="A34" s="0" t="s">
        <v>166</v>
      </c>
      <c r="B34" s="0" t="s">
        <v>167</v>
      </c>
      <c r="C34" s="0" t="n">
        <f aca="false">Offre!$E$2*(Offre!$C$2^Param!$B$3)*1_Friction!C34</f>
        <v>2.01146151022674</v>
      </c>
      <c r="D34" s="0" t="n">
        <f aca="false">Offre!$E$3*(Offre!$C$3^Param!$B$3)*1_Friction!D34</f>
        <v>0.611661195456893</v>
      </c>
      <c r="E34" s="0" t="n">
        <f aca="false">Offre!$E$4*(Offre!$C$4^Param!$B$3)*1_Friction!E34</f>
        <v>6.00142867086968</v>
      </c>
      <c r="F34" s="0" t="n">
        <f aca="false">Offre!$E$5*(Offre!$C$5^Param!$B$3)*1_Friction!F34</f>
        <v>1.07186053998741</v>
      </c>
      <c r="G34" s="0" t="n">
        <f aca="false">Offre!$E$6*(Offre!$C$6^Param!$B$3)*1_Friction!G34</f>
        <v>2.92737012735679</v>
      </c>
      <c r="H34" s="0" t="n">
        <f aca="false">Offre!$E$7*(Offre!$C$7^Param!$B$3)*1_Friction!H34</f>
        <v>0.633375585165057</v>
      </c>
      <c r="I34" s="0" t="n">
        <f aca="false">Offre!$E$8*(Offre!$C$8^Param!$B$3)*1_Friction!I34</f>
        <v>1.44622951658013</v>
      </c>
      <c r="J34" s="0" t="n">
        <f aca="false">Offre!$E$9*(Offre!$C$9^Param!$B$3)*1_Friction!J34</f>
        <v>1.12802708846451</v>
      </c>
      <c r="K34" s="0" t="n">
        <f aca="false">Offre!$E$10*(Offre!$C$10^Param!$B$3)*1_Friction!K34</f>
        <v>0.694111831923236</v>
      </c>
      <c r="L34" s="0" t="n">
        <f aca="false">Offre!$E$11*(Offre!$C$11^Param!$B$3)*1_Friction!L34</f>
        <v>0.689562358291081</v>
      </c>
      <c r="M34" s="0" t="n">
        <f aca="false">Offre!$E$12*(Offre!$C$12^Param!$B$3)*1_Friction!M34</f>
        <v>3.66860113789814</v>
      </c>
      <c r="N34" s="0" t="n">
        <f aca="false">Offre!$E$13*(Offre!$C$13^Param!$B$3)*1_Friction!N34</f>
        <v>0.492515340924485</v>
      </c>
      <c r="O34" s="0" t="n">
        <f aca="false">Offre!$E$14*(Offre!$C$14^Param!$B$3)*1_Friction!O34</f>
        <v>1.55805417272347</v>
      </c>
      <c r="P34" s="0" t="n">
        <f aca="false">Offre!$E$15*(Offre!$C$15^Param!$B$3)*1_Friction!P34</f>
        <v>0.75115477235386</v>
      </c>
      <c r="Q34" s="0" t="n">
        <f aca="false">Offre!$E$16*(Offre!$C$16^Param!$B$3)*1_Friction!Q34</f>
        <v>6.44344812428504</v>
      </c>
      <c r="R34" s="0" t="n">
        <f aca="false">Offre!$E$17*(Offre!$C$17^Param!$B$3)*1_Friction!R34</f>
        <v>0.850586925129608</v>
      </c>
      <c r="S34" s="0" t="n">
        <f aca="false">Offre!$E$18*(Offre!$C$18^Param!$B$3)*1_Friction!S34</f>
        <v>0.622681858455778</v>
      </c>
      <c r="T34" s="0" t="n">
        <f aca="false">Offre!$E$19*(Offre!$C$19^Param!$B$3)*1_Friction!T34</f>
        <v>0.193978988163176</v>
      </c>
      <c r="U34" s="0" t="n">
        <f aca="false">Offre!$E$20*(Offre!$C$20^Param!$B$3)*1_Friction!U34</f>
        <v>0</v>
      </c>
      <c r="V34" s="0" t="n">
        <f aca="false">Offre!$E$21*(Offre!$C$21^Param!$B$3)*1_Friction!V34</f>
        <v>0</v>
      </c>
      <c r="W34" s="0" t="n">
        <f aca="false">Offre!$E$22*(Offre!$C$22^Param!$B$3)*1_Friction!W34</f>
        <v>0</v>
      </c>
      <c r="X34" s="0" t="n">
        <f aca="false">Offre!$E$23*(Offre!$C$23^Param!$B$3)*1_Friction!X34</f>
        <v>0</v>
      </c>
      <c r="Y34" s="0" t="n">
        <f aca="false">Offre!$E$24*(Offre!$C$24^Param!$B$3)*1_Friction!Y34</f>
        <v>0</v>
      </c>
      <c r="Z34" s="0" t="n">
        <f aca="false">Offre!$E$25*(Offre!$C$25^Param!$B$3)*1_Friction!Z34</f>
        <v>0</v>
      </c>
      <c r="AA34" s="0" t="n">
        <f aca="false">Offre!$E$26*(Offre!$C$26^Param!$B$3)*1_Friction!AA34</f>
        <v>0</v>
      </c>
      <c r="AB34" s="0" t="n">
        <f aca="false">Offre!$E$27*(Offre!$C$27^Param!$B$3)*1_Friction!AB34</f>
        <v>0</v>
      </c>
      <c r="AC34" s="0" t="n">
        <f aca="false">Offre!$E$28*(Offre!$C$28^Param!$B$3)*1_Friction!AC34</f>
        <v>0</v>
      </c>
      <c r="AD34" s="0" t="n">
        <f aca="false">Offre!$E$29*(Offre!$C$29^Param!$B$3)*1_Friction!AD34</f>
        <v>0</v>
      </c>
      <c r="AE34" s="0" t="n">
        <f aca="false">Offre!$E$30*(Offre!$C$30^Param!$B$3)*1_Friction!AE34</f>
        <v>0</v>
      </c>
      <c r="AF34" s="0" t="n">
        <f aca="false">Offre!$E$31*(Offre!$C$31^Param!$B$3)*1_Friction!AF34</f>
        <v>0</v>
      </c>
      <c r="AG34" s="0" t="n">
        <f aca="false">Offre!$E$32*(Offre!$C$32^Param!$B$3)*1_Friction!AG34</f>
        <v>1.3848278748251</v>
      </c>
      <c r="AH34" s="0" t="n">
        <f aca="false">Offre!$E$33*(Offre!$C$33^Param!$B$3)*1_Friction!AH34</f>
        <v>1.92386723094087</v>
      </c>
      <c r="AI34" s="0" t="n">
        <f aca="false">Offre!$E$34*(Offre!$C$34^Param!$B$3)*1_Friction!AI34</f>
        <v>0.100624180238381</v>
      </c>
      <c r="AJ34" s="0" t="n">
        <f aca="false">Offre!$E$35*(Offre!$C$35^Param!$B$3)*1_Friction!AJ34</f>
        <v>0</v>
      </c>
      <c r="AK34" s="0" t="n">
        <f aca="false">Offre!$E$36*(Offre!$C$36^Param!$B$3)*1_Friction!AK34</f>
        <v>0</v>
      </c>
      <c r="AL34" s="0" t="n">
        <f aca="false">Offre!$E$37*(Offre!$C$37^Param!$B$3)*1_Friction!AL34</f>
        <v>0</v>
      </c>
      <c r="AM34" s="0" t="n">
        <f aca="false">Offre!$E$38*(Offre!$C$38^Param!$B$3)*1_Friction!AM34</f>
        <v>4.49300672537072</v>
      </c>
      <c r="AN34" s="0" t="n">
        <f aca="false">Offre!$E$39*(Offre!$C$39^Param!$B$3)*1_Friction!AN34</f>
        <v>0</v>
      </c>
      <c r="AO34" s="0" t="n">
        <f aca="false">SUM(C34:AN34)</f>
        <v>39.6984357556302</v>
      </c>
    </row>
    <row r="35" customFormat="false" ht="15" hidden="false" customHeight="true" outlineLevel="0" collapsed="false">
      <c r="A35" s="0" t="s">
        <v>168</v>
      </c>
      <c r="B35" s="0" t="s">
        <v>169</v>
      </c>
      <c r="C35" s="0" t="n">
        <f aca="false">Offre!$E$2*(Offre!$C$2^Param!$B$3)*1_Friction!C35</f>
        <v>5.26697919917593</v>
      </c>
      <c r="D35" s="0" t="n">
        <f aca="false">Offre!$E$3*(Offre!$C$3^Param!$B$3)*1_Friction!D35</f>
        <v>0.628100232094397</v>
      </c>
      <c r="E35" s="0" t="n">
        <f aca="false">Offre!$E$4*(Offre!$C$4^Param!$B$3)*1_Friction!E35</f>
        <v>6.16644126658227</v>
      </c>
      <c r="F35" s="0" t="n">
        <f aca="false">Offre!$E$5*(Offre!$C$5^Param!$B$3)*1_Friction!F35</f>
        <v>1.10137877456178</v>
      </c>
      <c r="G35" s="0" t="n">
        <f aca="false">Offre!$E$6*(Offre!$C$6^Param!$B$3)*1_Friction!G35</f>
        <v>3.00860410772907</v>
      </c>
      <c r="H35" s="0" t="n">
        <f aca="false">Offre!$E$7*(Offre!$C$7^Param!$B$3)*1_Friction!H35</f>
        <v>0.651643154038435</v>
      </c>
      <c r="I35" s="0" t="n">
        <f aca="false">Offre!$E$8*(Offre!$C$8^Param!$B$3)*1_Friction!I35</f>
        <v>1.48801808176174</v>
      </c>
      <c r="J35" s="0" t="n">
        <f aca="false">Offre!$E$9*(Offre!$C$9^Param!$B$3)*1_Friction!J35</f>
        <v>1.16076444481354</v>
      </c>
      <c r="K35" s="0" t="n">
        <f aca="false">Offre!$E$10*(Offre!$C$10^Param!$B$3)*1_Friction!K35</f>
        <v>0.713726412059528</v>
      </c>
      <c r="L35" s="0" t="n">
        <f aca="false">Offre!$E$11*(Offre!$C$11^Param!$B$3)*1_Friction!L35</f>
        <v>0.709650937502891</v>
      </c>
      <c r="M35" s="0" t="n">
        <f aca="false">Offre!$E$12*(Offre!$C$12^Param!$B$3)*1_Friction!M35</f>
        <v>3.7755212257184</v>
      </c>
      <c r="N35" s="0" t="n">
        <f aca="false">Offre!$E$13*(Offre!$C$13^Param!$B$3)*1_Friction!N35</f>
        <v>0.506511422804053</v>
      </c>
      <c r="O35" s="0" t="n">
        <f aca="false">Offre!$E$14*(Offre!$C$14^Param!$B$3)*1_Friction!O35</f>
        <v>1.60369286049226</v>
      </c>
      <c r="P35" s="0" t="n">
        <f aca="false">Offre!$E$15*(Offre!$C$15^Param!$B$3)*1_Friction!P35</f>
        <v>0.773185370915849</v>
      </c>
      <c r="Q35" s="0" t="n">
        <f aca="false">Offre!$E$16*(Offre!$C$16^Param!$B$3)*1_Friction!Q35</f>
        <v>6.63332535535379</v>
      </c>
      <c r="R35" s="0" t="n">
        <f aca="false">Offre!$E$17*(Offre!$C$17^Param!$B$3)*1_Friction!R35</f>
        <v>0.874968227496271</v>
      </c>
      <c r="S35" s="0" t="n">
        <f aca="false">Offre!$E$18*(Offre!$C$18^Param!$B$3)*1_Friction!S35</f>
        <v>0.641135818052241</v>
      </c>
      <c r="T35" s="0" t="n">
        <f aca="false">Offre!$E$19*(Offre!$C$19^Param!$B$3)*1_Friction!T35</f>
        <v>0.870619803282328</v>
      </c>
      <c r="U35" s="0" t="n">
        <f aca="false">Offre!$E$20*(Offre!$C$20^Param!$B$3)*1_Friction!U35</f>
        <v>0</v>
      </c>
      <c r="V35" s="0" t="n">
        <f aca="false">Offre!$E$21*(Offre!$C$21^Param!$B$3)*1_Friction!V35</f>
        <v>0</v>
      </c>
      <c r="W35" s="0" t="n">
        <f aca="false">Offre!$E$22*(Offre!$C$22^Param!$B$3)*1_Friction!W35</f>
        <v>0</v>
      </c>
      <c r="X35" s="0" t="n">
        <f aca="false">Offre!$E$23*(Offre!$C$23^Param!$B$3)*1_Friction!X35</f>
        <v>0</v>
      </c>
      <c r="Y35" s="0" t="n">
        <f aca="false">Offre!$E$24*(Offre!$C$24^Param!$B$3)*1_Friction!Y35</f>
        <v>0</v>
      </c>
      <c r="Z35" s="0" t="n">
        <f aca="false">Offre!$E$25*(Offre!$C$25^Param!$B$3)*1_Friction!Z35</f>
        <v>0</v>
      </c>
      <c r="AA35" s="0" t="n">
        <f aca="false">Offre!$E$26*(Offre!$C$26^Param!$B$3)*1_Friction!AA35</f>
        <v>0</v>
      </c>
      <c r="AB35" s="0" t="n">
        <f aca="false">Offre!$E$27*(Offre!$C$27^Param!$B$3)*1_Friction!AB35</f>
        <v>0</v>
      </c>
      <c r="AC35" s="0" t="n">
        <f aca="false">Offre!$E$28*(Offre!$C$28^Param!$B$3)*1_Friction!AC35</f>
        <v>0</v>
      </c>
      <c r="AD35" s="0" t="n">
        <f aca="false">Offre!$E$29*(Offre!$C$29^Param!$B$3)*1_Friction!AD35</f>
        <v>0</v>
      </c>
      <c r="AE35" s="0" t="n">
        <f aca="false">Offre!$E$30*(Offre!$C$30^Param!$B$3)*1_Friction!AE35</f>
        <v>0</v>
      </c>
      <c r="AF35" s="0" t="n">
        <f aca="false">Offre!$E$31*(Offre!$C$31^Param!$B$3)*1_Friction!AF35</f>
        <v>0</v>
      </c>
      <c r="AG35" s="0" t="n">
        <f aca="false">Offre!$E$32*(Offre!$C$32^Param!$B$3)*1_Friction!AG35</f>
        <v>0.940930989135596</v>
      </c>
      <c r="AH35" s="0" t="n">
        <f aca="false">Offre!$E$33*(Offre!$C$33^Param!$B$3)*1_Friction!AH35</f>
        <v>1.97982431165413</v>
      </c>
      <c r="AI35" s="0" t="n">
        <f aca="false">Offre!$E$34*(Offre!$C$34^Param!$B$3)*1_Friction!AI35</f>
        <v>0.440888830000982</v>
      </c>
      <c r="AJ35" s="0" t="n">
        <f aca="false">Offre!$E$35*(Offre!$C$35^Param!$B$3)*1_Friction!AJ35</f>
        <v>0</v>
      </c>
      <c r="AK35" s="0" t="n">
        <f aca="false">Offre!$E$36*(Offre!$C$36^Param!$B$3)*1_Friction!AK35</f>
        <v>0</v>
      </c>
      <c r="AL35" s="0" t="n">
        <f aca="false">Offre!$E$37*(Offre!$C$37^Param!$B$3)*1_Friction!AL35</f>
        <v>0</v>
      </c>
      <c r="AM35" s="0" t="n">
        <f aca="false">Offre!$E$38*(Offre!$C$38^Param!$B$3)*1_Friction!AM35</f>
        <v>12.1555357713341</v>
      </c>
      <c r="AN35" s="0" t="n">
        <f aca="false">Offre!$E$39*(Offre!$C$39^Param!$B$3)*1_Friction!AN35</f>
        <v>0</v>
      </c>
      <c r="AO35" s="0" t="n">
        <f aca="false">SUM(C35:AN35)</f>
        <v>52.0914465965596</v>
      </c>
    </row>
    <row r="36" customFormat="false" ht="15" hidden="false" customHeight="true" outlineLevel="0" collapsed="false">
      <c r="A36" s="0" t="s">
        <v>170</v>
      </c>
      <c r="B36" s="0" t="s">
        <v>171</v>
      </c>
      <c r="C36" s="0" t="n">
        <f aca="false">Offre!$E$2*(Offre!$C$2^Param!$B$3)*1_Friction!C36</f>
        <v>6.07542846790793</v>
      </c>
      <c r="D36" s="0" t="n">
        <f aca="false">Offre!$E$3*(Offre!$C$3^Param!$B$3)*1_Friction!D36</f>
        <v>0.795084251660975</v>
      </c>
      <c r="E36" s="0" t="n">
        <f aca="false">Offre!$E$4*(Offre!$C$4^Param!$B$3)*1_Friction!E36</f>
        <v>7.84886654895901</v>
      </c>
      <c r="F36" s="0" t="n">
        <f aca="false">Offre!$E$5*(Offre!$C$5^Param!$B$3)*1_Friction!F36</f>
        <v>1.40241789051305</v>
      </c>
      <c r="G36" s="0" t="n">
        <f aca="false">Offre!$E$6*(Offre!$C$6^Param!$B$3)*1_Friction!G36</f>
        <v>3.83810757371743</v>
      </c>
      <c r="H36" s="0" t="n">
        <f aca="false">Offre!$E$7*(Offre!$C$7^Param!$B$3)*1_Friction!H36</f>
        <v>0.832539834296555</v>
      </c>
      <c r="I36" s="0" t="n">
        <f aca="false">Offre!$E$8*(Offre!$C$8^Param!$B$3)*1_Friction!I36</f>
        <v>1.90196168643499</v>
      </c>
      <c r="J36" s="0" t="n">
        <f aca="false">Offre!$E$9*(Offre!$C$9^Param!$B$3)*1_Friction!J36</f>
        <v>1.48528805857467</v>
      </c>
      <c r="K36" s="0" t="n">
        <f aca="false">Offre!$E$10*(Offre!$C$10^Param!$B$3)*1_Friction!K36</f>
        <v>0.914625643155994</v>
      </c>
      <c r="L36" s="0" t="n">
        <f aca="false">Offre!$E$11*(Offre!$C$11^Param!$B$3)*1_Friction!L36</f>
        <v>0.908915214947198</v>
      </c>
      <c r="M36" s="0" t="n">
        <f aca="false">Offre!$E$12*(Offre!$C$12^Param!$B$3)*1_Friction!M36</f>
        <v>4.83616696966862</v>
      </c>
      <c r="N36" s="0" t="n">
        <f aca="false">Offre!$E$13*(Offre!$C$13^Param!$B$3)*1_Friction!N36</f>
        <v>0.649999757470028</v>
      </c>
      <c r="O36" s="0" t="n">
        <f aca="false">Offre!$E$14*(Offre!$C$14^Param!$B$3)*1_Friction!O36</f>
        <v>2.0584342443427</v>
      </c>
      <c r="P36" s="0" t="n">
        <f aca="false">Offre!$E$15*(Offre!$C$15^Param!$B$3)*1_Friction!P36</f>
        <v>0.991961154504807</v>
      </c>
      <c r="Q36" s="0" t="n">
        <f aca="false">Offre!$E$16*(Offre!$C$16^Param!$B$3)*1_Friction!Q36</f>
        <v>8.52717887775466</v>
      </c>
      <c r="R36" s="0" t="n">
        <f aca="false">Offre!$E$17*(Offre!$C$17^Param!$B$3)*1_Friction!R36</f>
        <v>1.12529235739923</v>
      </c>
      <c r="S36" s="0" t="n">
        <f aca="false">Offre!$E$18*(Offre!$C$18^Param!$B$3)*1_Friction!S36</f>
        <v>0.825375870834297</v>
      </c>
      <c r="T36" s="0" t="n">
        <f aca="false">Offre!$E$19*(Offre!$C$19^Param!$B$3)*1_Friction!T36</f>
        <v>1.10832538965046</v>
      </c>
      <c r="U36" s="0" t="n">
        <f aca="false">Offre!$E$20*(Offre!$C$20^Param!$B$3)*1_Friction!U36</f>
        <v>0</v>
      </c>
      <c r="V36" s="0" t="n">
        <f aca="false">Offre!$E$21*(Offre!$C$21^Param!$B$3)*1_Friction!V36</f>
        <v>0</v>
      </c>
      <c r="W36" s="0" t="n">
        <f aca="false">Offre!$E$22*(Offre!$C$22^Param!$B$3)*1_Friction!W36</f>
        <v>0</v>
      </c>
      <c r="X36" s="0" t="n">
        <f aca="false">Offre!$E$23*(Offre!$C$23^Param!$B$3)*1_Friction!X36</f>
        <v>0</v>
      </c>
      <c r="Y36" s="0" t="n">
        <f aca="false">Offre!$E$24*(Offre!$C$24^Param!$B$3)*1_Friction!Y36</f>
        <v>0</v>
      </c>
      <c r="Z36" s="0" t="n">
        <f aca="false">Offre!$E$25*(Offre!$C$25^Param!$B$3)*1_Friction!Z36</f>
        <v>0</v>
      </c>
      <c r="AA36" s="0" t="n">
        <f aca="false">Offre!$E$26*(Offre!$C$26^Param!$B$3)*1_Friction!AA36</f>
        <v>0</v>
      </c>
      <c r="AB36" s="0" t="n">
        <f aca="false">Offre!$E$27*(Offre!$C$27^Param!$B$3)*1_Friction!AB36</f>
        <v>0</v>
      </c>
      <c r="AC36" s="0" t="n">
        <f aca="false">Offre!$E$28*(Offre!$C$28^Param!$B$3)*1_Friction!AC36</f>
        <v>0</v>
      </c>
      <c r="AD36" s="0" t="n">
        <f aca="false">Offre!$E$29*(Offre!$C$29^Param!$B$3)*1_Friction!AD36</f>
        <v>0</v>
      </c>
      <c r="AE36" s="0" t="n">
        <f aca="false">Offre!$E$30*(Offre!$C$30^Param!$B$3)*1_Friction!AE36</f>
        <v>0</v>
      </c>
      <c r="AF36" s="0" t="n">
        <f aca="false">Offre!$E$31*(Offre!$C$31^Param!$B$3)*1_Friction!AF36</f>
        <v>0</v>
      </c>
      <c r="AG36" s="0" t="n">
        <f aca="false">Offre!$E$32*(Offre!$C$32^Param!$B$3)*1_Friction!AG36</f>
        <v>0</v>
      </c>
      <c r="AH36" s="0" t="n">
        <f aca="false">Offre!$E$33*(Offre!$C$33^Param!$B$3)*1_Friction!AH36</f>
        <v>2.55577404529358</v>
      </c>
      <c r="AI36" s="0" t="n">
        <f aca="false">Offre!$E$34*(Offre!$C$34^Param!$B$3)*1_Friction!AI36</f>
        <v>0.558785554151624</v>
      </c>
      <c r="AJ36" s="0" t="n">
        <f aca="false">Offre!$E$35*(Offre!$C$35^Param!$B$3)*1_Friction!AJ36</f>
        <v>0</v>
      </c>
      <c r="AK36" s="0" t="n">
        <f aca="false">Offre!$E$36*(Offre!$C$36^Param!$B$3)*1_Friction!AK36</f>
        <v>0</v>
      </c>
      <c r="AL36" s="0" t="n">
        <f aca="false">Offre!$E$37*(Offre!$C$37^Param!$B$3)*1_Friction!AL36</f>
        <v>0</v>
      </c>
      <c r="AM36" s="0" t="n">
        <f aca="false">Offre!$E$38*(Offre!$C$38^Param!$B$3)*1_Friction!AM36</f>
        <v>14.1026273966409</v>
      </c>
      <c r="AN36" s="0" t="n">
        <f aca="false">Offre!$E$39*(Offre!$C$39^Param!$B$3)*1_Friction!AN36</f>
        <v>1.8282718496414</v>
      </c>
      <c r="AO36" s="0" t="n">
        <f aca="false">SUM(C36:AN36)</f>
        <v>65.1714286375201</v>
      </c>
    </row>
    <row r="37" customFormat="false" ht="15" hidden="false" customHeight="true" outlineLevel="0" collapsed="false">
      <c r="A37" s="0" t="s">
        <v>172</v>
      </c>
      <c r="B37" s="0" t="s">
        <v>173</v>
      </c>
      <c r="C37" s="0" t="n">
        <f aca="false">Offre!$E$2*(Offre!$C$2^Param!$B$3)*1_Friction!C37</f>
        <v>6.44042448011464</v>
      </c>
      <c r="D37" s="0" t="n">
        <f aca="false">Offre!$E$3*(Offre!$C$3^Param!$B$3)*1_Friction!D37</f>
        <v>0.878044414865554</v>
      </c>
      <c r="E37" s="0" t="n">
        <f aca="false">Offre!$E$4*(Offre!$C$4^Param!$B$3)*1_Friction!E37</f>
        <v>8.68860949151483</v>
      </c>
      <c r="F37" s="0" t="n">
        <f aca="false">Offre!$E$5*(Offre!$C$5^Param!$B$3)*1_Friction!F37</f>
        <v>1.55156469110809</v>
      </c>
      <c r="G37" s="0" t="n">
        <f aca="false">Offre!$E$6*(Offre!$C$6^Param!$B$3)*1_Friction!G37</f>
        <v>4.25291930903496</v>
      </c>
      <c r="H37" s="0" t="n">
        <f aca="false">Offre!$E$7*(Offre!$C$7^Param!$B$3)*1_Friction!H37</f>
        <v>0.923439304535862</v>
      </c>
      <c r="I37" s="0" t="n">
        <f aca="false">Offre!$E$8*(Offre!$C$8^Param!$B$3)*1_Friction!I37</f>
        <v>2.11004522716419</v>
      </c>
      <c r="J37" s="0" t="n">
        <f aca="false">Offre!$E$9*(Offre!$C$9^Param!$B$3)*1_Friction!J37</f>
        <v>1.64856986191118</v>
      </c>
      <c r="K37" s="0" t="n">
        <f aca="false">Offre!$E$10*(Offre!$C$10^Param!$B$3)*1_Friction!K37</f>
        <v>1.01469038772201</v>
      </c>
      <c r="L37" s="0" t="n">
        <f aca="false">Offre!$E$11*(Offre!$C$11^Param!$B$3)*1_Friction!L37</f>
        <v>1.00925297926457</v>
      </c>
      <c r="M37" s="0" t="n">
        <f aca="false">Offre!$E$12*(Offre!$C$12^Param!$B$3)*1_Friction!M37</f>
        <v>5.37029265408778</v>
      </c>
      <c r="N37" s="0" t="n">
        <f aca="false">Offre!$E$13*(Offre!$C$13^Param!$B$3)*1_Friction!N37</f>
        <v>0.721552704432549</v>
      </c>
      <c r="O37" s="0" t="n">
        <f aca="false">Offre!$E$14*(Offre!$C$14^Param!$B$3)*1_Friction!O37</f>
        <v>2.28523867898252</v>
      </c>
      <c r="P37" s="0" t="n">
        <f aca="false">Offre!$E$15*(Offre!$C$15^Param!$B$3)*1_Friction!P37</f>
        <v>1.1022784885598</v>
      </c>
      <c r="Q37" s="0" t="n">
        <f aca="false">Offre!$E$16*(Offre!$C$16^Param!$B$3)*1_Friction!Q37</f>
        <v>9.47293341222918</v>
      </c>
      <c r="R37" s="0" t="n">
        <f aca="false">Offre!$E$17*(Offre!$C$17^Param!$B$3)*1_Friction!R37</f>
        <v>1.25034685224162</v>
      </c>
      <c r="S37" s="0" t="n">
        <f aca="false">Offre!$E$18*(Offre!$C$18^Param!$B$3)*1_Friction!S37</f>
        <v>0.91749179318534</v>
      </c>
      <c r="T37" s="0" t="n">
        <f aca="false">Offre!$E$19*(Offre!$C$19^Param!$B$3)*1_Friction!T37</f>
        <v>1.22741270833664</v>
      </c>
      <c r="U37" s="0" t="n">
        <f aca="false">Offre!$E$20*(Offre!$C$20^Param!$B$3)*1_Friction!U37</f>
        <v>0</v>
      </c>
      <c r="V37" s="0" t="n">
        <f aca="false">Offre!$E$21*(Offre!$C$21^Param!$B$3)*1_Friction!V37</f>
        <v>0</v>
      </c>
      <c r="W37" s="0" t="n">
        <f aca="false">Offre!$E$22*(Offre!$C$22^Param!$B$3)*1_Friction!W37</f>
        <v>0</v>
      </c>
      <c r="X37" s="0" t="n">
        <f aca="false">Offre!$E$23*(Offre!$C$23^Param!$B$3)*1_Friction!X37</f>
        <v>0</v>
      </c>
      <c r="Y37" s="0" t="n">
        <f aca="false">Offre!$E$24*(Offre!$C$24^Param!$B$3)*1_Friction!Y37</f>
        <v>0</v>
      </c>
      <c r="Z37" s="0" t="n">
        <f aca="false">Offre!$E$25*(Offre!$C$25^Param!$B$3)*1_Friction!Z37</f>
        <v>0</v>
      </c>
      <c r="AA37" s="0" t="n">
        <f aca="false">Offre!$E$26*(Offre!$C$26^Param!$B$3)*1_Friction!AA37</f>
        <v>0</v>
      </c>
      <c r="AB37" s="0" t="n">
        <f aca="false">Offre!$E$27*(Offre!$C$27^Param!$B$3)*1_Friction!AB37</f>
        <v>0</v>
      </c>
      <c r="AC37" s="0" t="n">
        <f aca="false">Offre!$E$28*(Offre!$C$28^Param!$B$3)*1_Friction!AC37</f>
        <v>0</v>
      </c>
      <c r="AD37" s="0" t="n">
        <f aca="false">Offre!$E$29*(Offre!$C$29^Param!$B$3)*1_Friction!AD37</f>
        <v>0</v>
      </c>
      <c r="AE37" s="0" t="n">
        <f aca="false">Offre!$E$30*(Offre!$C$30^Param!$B$3)*1_Friction!AE37</f>
        <v>0</v>
      </c>
      <c r="AF37" s="0" t="n">
        <f aca="false">Offre!$E$31*(Offre!$C$31^Param!$B$3)*1_Friction!AF37</f>
        <v>0</v>
      </c>
      <c r="AG37" s="0" t="n">
        <f aca="false">Offre!$E$32*(Offre!$C$32^Param!$B$3)*1_Friction!AG37</f>
        <v>0</v>
      </c>
      <c r="AH37" s="0" t="n">
        <f aca="false">Offre!$E$33*(Offre!$C$33^Param!$B$3)*1_Friction!AH37</f>
        <v>2.84438921538556</v>
      </c>
      <c r="AI37" s="0" t="n">
        <f aca="false">Offre!$E$34*(Offre!$C$34^Param!$B$3)*1_Friction!AI37</f>
        <v>0.617630171677265</v>
      </c>
      <c r="AJ37" s="0" t="n">
        <f aca="false">Offre!$E$35*(Offre!$C$35^Param!$B$3)*1_Friction!AJ37</f>
        <v>0</v>
      </c>
      <c r="AK37" s="0" t="n">
        <f aca="false">Offre!$E$36*(Offre!$C$36^Param!$B$3)*1_Friction!AK37</f>
        <v>0</v>
      </c>
      <c r="AL37" s="0" t="n">
        <f aca="false">Offre!$E$37*(Offre!$C$37^Param!$B$3)*1_Friction!AL37</f>
        <v>0</v>
      </c>
      <c r="AM37" s="0" t="n">
        <f aca="false">Offre!$E$38*(Offre!$C$38^Param!$B$3)*1_Friction!AM37</f>
        <v>14.9605288237607</v>
      </c>
      <c r="AN37" s="0" t="n">
        <f aca="false">Offre!$E$39*(Offre!$C$39^Param!$B$3)*1_Friction!AN37</f>
        <v>0</v>
      </c>
      <c r="AO37" s="0" t="n">
        <f aca="false">SUM(C37:AN37)</f>
        <v>69.2876556501148</v>
      </c>
    </row>
    <row r="38" customFormat="false" ht="15" hidden="false" customHeight="true" outlineLevel="0" collapsed="false">
      <c r="A38" s="0" t="s">
        <v>174</v>
      </c>
      <c r="B38" s="0" t="s">
        <v>175</v>
      </c>
      <c r="C38" s="0" t="n">
        <f aca="false">Offre!$E$2*(Offre!$C$2^Param!$B$3)*1_Friction!C38</f>
        <v>0.306444339170924</v>
      </c>
      <c r="D38" s="0" t="n">
        <f aca="false">Offre!$E$3*(Offre!$C$3^Param!$B$3)*1_Friction!D38</f>
        <v>0</v>
      </c>
      <c r="E38" s="0" t="n">
        <f aca="false">Offre!$E$4*(Offre!$C$4^Param!$B$3)*1_Friction!E38</f>
        <v>0</v>
      </c>
      <c r="F38" s="0" t="n">
        <f aca="false">Offre!$E$5*(Offre!$C$5^Param!$B$3)*1_Friction!F38</f>
        <v>0</v>
      </c>
      <c r="G38" s="0" t="n">
        <f aca="false">Offre!$E$6*(Offre!$C$6^Param!$B$3)*1_Friction!G38</f>
        <v>0</v>
      </c>
      <c r="H38" s="0" t="n">
        <f aca="false">Offre!$E$7*(Offre!$C$7^Param!$B$3)*1_Friction!H38</f>
        <v>0</v>
      </c>
      <c r="I38" s="0" t="n">
        <f aca="false">Offre!$E$8*(Offre!$C$8^Param!$B$3)*1_Friction!I38</f>
        <v>0</v>
      </c>
      <c r="J38" s="0" t="n">
        <f aca="false">Offre!$E$9*(Offre!$C$9^Param!$B$3)*1_Friction!J38</f>
        <v>0</v>
      </c>
      <c r="K38" s="0" t="n">
        <f aca="false">Offre!$E$10*(Offre!$C$10^Param!$B$3)*1_Friction!K38</f>
        <v>0</v>
      </c>
      <c r="L38" s="0" t="n">
        <f aca="false">Offre!$E$11*(Offre!$C$11^Param!$B$3)*1_Friction!L38</f>
        <v>0</v>
      </c>
      <c r="M38" s="0" t="n">
        <f aca="false">Offre!$E$12*(Offre!$C$12^Param!$B$3)*1_Friction!M38</f>
        <v>0</v>
      </c>
      <c r="N38" s="0" t="n">
        <f aca="false">Offre!$E$13*(Offre!$C$13^Param!$B$3)*1_Friction!N38</f>
        <v>0</v>
      </c>
      <c r="O38" s="0" t="n">
        <f aca="false">Offre!$E$14*(Offre!$C$14^Param!$B$3)*1_Friction!O38</f>
        <v>0</v>
      </c>
      <c r="P38" s="0" t="n">
        <f aca="false">Offre!$E$15*(Offre!$C$15^Param!$B$3)*1_Friction!P38</f>
        <v>0</v>
      </c>
      <c r="Q38" s="0" t="n">
        <f aca="false">Offre!$E$16*(Offre!$C$16^Param!$B$3)*1_Friction!Q38</f>
        <v>0</v>
      </c>
      <c r="R38" s="0" t="n">
        <f aca="false">Offre!$E$17*(Offre!$C$17^Param!$B$3)*1_Friction!R38</f>
        <v>0</v>
      </c>
      <c r="S38" s="0" t="n">
        <f aca="false">Offre!$E$18*(Offre!$C$18^Param!$B$3)*1_Friction!S38</f>
        <v>0</v>
      </c>
      <c r="T38" s="0" t="n">
        <f aca="false">Offre!$E$19*(Offre!$C$19^Param!$B$3)*1_Friction!T38</f>
        <v>0</v>
      </c>
      <c r="U38" s="0" t="n">
        <f aca="false">Offre!$E$20*(Offre!$C$20^Param!$B$3)*1_Friction!U38</f>
        <v>0</v>
      </c>
      <c r="V38" s="0" t="n">
        <f aca="false">Offre!$E$21*(Offre!$C$21^Param!$B$3)*1_Friction!V38</f>
        <v>0</v>
      </c>
      <c r="W38" s="0" t="n">
        <f aca="false">Offre!$E$22*(Offre!$C$22^Param!$B$3)*1_Friction!W38</f>
        <v>0</v>
      </c>
      <c r="X38" s="0" t="n">
        <f aca="false">Offre!$E$23*(Offre!$C$23^Param!$B$3)*1_Friction!X38</f>
        <v>0</v>
      </c>
      <c r="Y38" s="0" t="n">
        <f aca="false">Offre!$E$24*(Offre!$C$24^Param!$B$3)*1_Friction!Y38</f>
        <v>0</v>
      </c>
      <c r="Z38" s="0" t="n">
        <f aca="false">Offre!$E$25*(Offre!$C$25^Param!$B$3)*1_Friction!Z38</f>
        <v>0</v>
      </c>
      <c r="AA38" s="0" t="n">
        <f aca="false">Offre!$E$26*(Offre!$C$26^Param!$B$3)*1_Friction!AA38</f>
        <v>0</v>
      </c>
      <c r="AB38" s="0" t="n">
        <f aca="false">Offre!$E$27*(Offre!$C$27^Param!$B$3)*1_Friction!AB38</f>
        <v>0</v>
      </c>
      <c r="AC38" s="0" t="n">
        <f aca="false">Offre!$E$28*(Offre!$C$28^Param!$B$3)*1_Friction!AC38</f>
        <v>0</v>
      </c>
      <c r="AD38" s="0" t="n">
        <f aca="false">Offre!$E$29*(Offre!$C$29^Param!$B$3)*1_Friction!AD38</f>
        <v>0</v>
      </c>
      <c r="AE38" s="0" t="n">
        <f aca="false">Offre!$E$30*(Offre!$C$30^Param!$B$3)*1_Friction!AE38</f>
        <v>0</v>
      </c>
      <c r="AF38" s="0" t="n">
        <f aca="false">Offre!$E$31*(Offre!$C$31^Param!$B$3)*1_Friction!AF38</f>
        <v>0</v>
      </c>
      <c r="AG38" s="0" t="n">
        <f aca="false">Offre!$E$32*(Offre!$C$32^Param!$B$3)*1_Friction!AG38</f>
        <v>7.50111922559216</v>
      </c>
      <c r="AH38" s="0" t="n">
        <f aca="false">Offre!$E$33*(Offre!$C$33^Param!$B$3)*1_Friction!AH38</f>
        <v>0</v>
      </c>
      <c r="AI38" s="0" t="n">
        <f aca="false">Offre!$E$34*(Offre!$C$34^Param!$B$3)*1_Friction!AI38</f>
        <v>0</v>
      </c>
      <c r="AJ38" s="0" t="n">
        <f aca="false">Offre!$E$35*(Offre!$C$35^Param!$B$3)*1_Friction!AJ38</f>
        <v>0</v>
      </c>
      <c r="AK38" s="0" t="n">
        <f aca="false">Offre!$E$36*(Offre!$C$36^Param!$B$3)*1_Friction!AK38</f>
        <v>0</v>
      </c>
      <c r="AL38" s="0" t="n">
        <f aca="false">Offre!$E$37*(Offre!$C$37^Param!$B$3)*1_Friction!AL38</f>
        <v>0</v>
      </c>
      <c r="AM38" s="0" t="n">
        <f aca="false">Offre!$E$38*(Offre!$C$38^Param!$B$3)*1_Friction!AM38</f>
        <v>0.658000096880799</v>
      </c>
      <c r="AN38" s="0" t="n">
        <f aca="false">Offre!$E$39*(Offre!$C$39^Param!$B$3)*1_Friction!AN38</f>
        <v>4.31044644766642</v>
      </c>
      <c r="AO38" s="0" t="n">
        <f aca="false">SUM(C38:AN38)</f>
        <v>12.7760101093103</v>
      </c>
    </row>
    <row r="39" customFormat="false" ht="15" hidden="false" customHeight="true" outlineLevel="0" collapsed="false">
      <c r="A39" s="0" t="s">
        <v>176</v>
      </c>
      <c r="B39" s="0" t="s">
        <v>177</v>
      </c>
      <c r="C39" s="0" t="n">
        <f aca="false">Offre!$E$2*(Offre!$C$2^Param!$B$3)*1_Friction!C39</f>
        <v>0.216563670300469</v>
      </c>
      <c r="D39" s="0" t="n">
        <f aca="false">Offre!$E$3*(Offre!$C$3^Param!$B$3)*1_Friction!D39</f>
        <v>0</v>
      </c>
      <c r="E39" s="0" t="n">
        <f aca="false">Offre!$E$4*(Offre!$C$4^Param!$B$3)*1_Friction!E39</f>
        <v>0</v>
      </c>
      <c r="F39" s="0" t="n">
        <f aca="false">Offre!$E$5*(Offre!$C$5^Param!$B$3)*1_Friction!F39</f>
        <v>0</v>
      </c>
      <c r="G39" s="0" t="n">
        <f aca="false">Offre!$E$6*(Offre!$C$6^Param!$B$3)*1_Friction!G39</f>
        <v>0</v>
      </c>
      <c r="H39" s="0" t="n">
        <f aca="false">Offre!$E$7*(Offre!$C$7^Param!$B$3)*1_Friction!H39</f>
        <v>0</v>
      </c>
      <c r="I39" s="0" t="n">
        <f aca="false">Offre!$E$8*(Offre!$C$8^Param!$B$3)*1_Friction!I39</f>
        <v>0</v>
      </c>
      <c r="J39" s="0" t="n">
        <f aca="false">Offre!$E$9*(Offre!$C$9^Param!$B$3)*1_Friction!J39</f>
        <v>0</v>
      </c>
      <c r="K39" s="0" t="n">
        <f aca="false">Offre!$E$10*(Offre!$C$10^Param!$B$3)*1_Friction!K39</f>
        <v>0</v>
      </c>
      <c r="L39" s="0" t="n">
        <f aca="false">Offre!$E$11*(Offre!$C$11^Param!$B$3)*1_Friction!L39</f>
        <v>0</v>
      </c>
      <c r="M39" s="0" t="n">
        <f aca="false">Offre!$E$12*(Offre!$C$12^Param!$B$3)*1_Friction!M39</f>
        <v>0</v>
      </c>
      <c r="N39" s="0" t="n">
        <f aca="false">Offre!$E$13*(Offre!$C$13^Param!$B$3)*1_Friction!N39</f>
        <v>0</v>
      </c>
      <c r="O39" s="0" t="n">
        <f aca="false">Offre!$E$14*(Offre!$C$14^Param!$B$3)*1_Friction!O39</f>
        <v>0</v>
      </c>
      <c r="P39" s="0" t="n">
        <f aca="false">Offre!$E$15*(Offre!$C$15^Param!$B$3)*1_Friction!P39</f>
        <v>0</v>
      </c>
      <c r="Q39" s="0" t="n">
        <f aca="false">Offre!$E$16*(Offre!$C$16^Param!$B$3)*1_Friction!Q39</f>
        <v>0</v>
      </c>
      <c r="R39" s="0" t="n">
        <f aca="false">Offre!$E$17*(Offre!$C$17^Param!$B$3)*1_Friction!R39</f>
        <v>0</v>
      </c>
      <c r="S39" s="0" t="n">
        <f aca="false">Offre!$E$18*(Offre!$C$18^Param!$B$3)*1_Friction!S39</f>
        <v>0</v>
      </c>
      <c r="T39" s="0" t="n">
        <f aca="false">Offre!$E$19*(Offre!$C$19^Param!$B$3)*1_Friction!T39</f>
        <v>0</v>
      </c>
      <c r="U39" s="0" t="n">
        <f aca="false">Offre!$E$20*(Offre!$C$20^Param!$B$3)*1_Friction!U39</f>
        <v>0</v>
      </c>
      <c r="V39" s="0" t="n">
        <f aca="false">Offre!$E$21*(Offre!$C$21^Param!$B$3)*1_Friction!V39</f>
        <v>0</v>
      </c>
      <c r="W39" s="0" t="n">
        <f aca="false">Offre!$E$22*(Offre!$C$22^Param!$B$3)*1_Friction!W39</f>
        <v>0</v>
      </c>
      <c r="X39" s="0" t="n">
        <f aca="false">Offre!$E$23*(Offre!$C$23^Param!$B$3)*1_Friction!X39</f>
        <v>0</v>
      </c>
      <c r="Y39" s="0" t="n">
        <f aca="false">Offre!$E$24*(Offre!$C$24^Param!$B$3)*1_Friction!Y39</f>
        <v>0</v>
      </c>
      <c r="Z39" s="0" t="n">
        <f aca="false">Offre!$E$25*(Offre!$C$25^Param!$B$3)*1_Friction!Z39</f>
        <v>0</v>
      </c>
      <c r="AA39" s="0" t="n">
        <f aca="false">Offre!$E$26*(Offre!$C$26^Param!$B$3)*1_Friction!AA39</f>
        <v>0</v>
      </c>
      <c r="AB39" s="0" t="n">
        <f aca="false">Offre!$E$27*(Offre!$C$27^Param!$B$3)*1_Friction!AB39</f>
        <v>0</v>
      </c>
      <c r="AC39" s="0" t="n">
        <f aca="false">Offre!$E$28*(Offre!$C$28^Param!$B$3)*1_Friction!AC39</f>
        <v>0</v>
      </c>
      <c r="AD39" s="0" t="n">
        <f aca="false">Offre!$E$29*(Offre!$C$29^Param!$B$3)*1_Friction!AD39</f>
        <v>0</v>
      </c>
      <c r="AE39" s="0" t="n">
        <f aca="false">Offre!$E$30*(Offre!$C$30^Param!$B$3)*1_Friction!AE39</f>
        <v>0</v>
      </c>
      <c r="AF39" s="0" t="n">
        <f aca="false">Offre!$E$31*(Offre!$C$31^Param!$B$3)*1_Friction!AF39</f>
        <v>0</v>
      </c>
      <c r="AG39" s="0" t="n">
        <f aca="false">Offre!$E$32*(Offre!$C$32^Param!$B$3)*1_Friction!AG39</f>
        <v>1.37693934293862</v>
      </c>
      <c r="AH39" s="0" t="n">
        <f aca="false">Offre!$E$33*(Offre!$C$33^Param!$B$3)*1_Friction!AH39</f>
        <v>0</v>
      </c>
      <c r="AI39" s="0" t="n">
        <f aca="false">Offre!$E$34*(Offre!$C$34^Param!$B$3)*1_Friction!AI39</f>
        <v>0</v>
      </c>
      <c r="AJ39" s="0" t="n">
        <f aca="false">Offre!$E$35*(Offre!$C$35^Param!$B$3)*1_Friction!AJ39</f>
        <v>0</v>
      </c>
      <c r="AK39" s="0" t="n">
        <f aca="false">Offre!$E$36*(Offre!$C$36^Param!$B$3)*1_Friction!AK39</f>
        <v>0</v>
      </c>
      <c r="AL39" s="0" t="n">
        <f aca="false">Offre!$E$37*(Offre!$C$37^Param!$B$3)*1_Friction!AL39</f>
        <v>0</v>
      </c>
      <c r="AM39" s="0" t="n">
        <f aca="false">Offre!$E$38*(Offre!$C$38^Param!$B$3)*1_Friction!AM39</f>
        <v>0.45871922853146</v>
      </c>
      <c r="AN39" s="0" t="n">
        <f aca="false">Offre!$E$39*(Offre!$C$39^Param!$B$3)*1_Friction!AN39</f>
        <v>9.14199064146937</v>
      </c>
      <c r="AO39" s="0" t="n">
        <f aca="false">SUM(C39:AN39)</f>
        <v>11.1942128832399</v>
      </c>
    </row>
    <row r="40" customFormat="false" ht="15" hidden="false" customHeight="true" outlineLevel="0" collapsed="false">
      <c r="A40" s="0" t="s">
        <v>178</v>
      </c>
      <c r="B40" s="0" t="s">
        <v>179</v>
      </c>
      <c r="C40" s="0" t="n">
        <f aca="false">Offre!$E$2*(Offre!$C$2^Param!$B$3)*1_Friction!C40</f>
        <v>1.40896392889597</v>
      </c>
      <c r="D40" s="0" t="n">
        <f aca="false">Offre!$E$3*(Offre!$C$3^Param!$B$3)*1_Friction!D40</f>
        <v>0</v>
      </c>
      <c r="E40" s="0" t="n">
        <f aca="false">Offre!$E$4*(Offre!$C$4^Param!$B$3)*1_Friction!E40</f>
        <v>0</v>
      </c>
      <c r="F40" s="0" t="n">
        <f aca="false">Offre!$E$5*(Offre!$C$5^Param!$B$3)*1_Friction!F40</f>
        <v>0</v>
      </c>
      <c r="G40" s="0" t="n">
        <f aca="false">Offre!$E$6*(Offre!$C$6^Param!$B$3)*1_Friction!G40</f>
        <v>0</v>
      </c>
      <c r="H40" s="0" t="n">
        <f aca="false">Offre!$E$7*(Offre!$C$7^Param!$B$3)*1_Friction!H40</f>
        <v>0</v>
      </c>
      <c r="I40" s="0" t="n">
        <f aca="false">Offre!$E$8*(Offre!$C$8^Param!$B$3)*1_Friction!I40</f>
        <v>0</v>
      </c>
      <c r="J40" s="0" t="n">
        <f aca="false">Offre!$E$9*(Offre!$C$9^Param!$B$3)*1_Friction!J40</f>
        <v>0</v>
      </c>
      <c r="K40" s="0" t="n">
        <f aca="false">Offre!$E$10*(Offre!$C$10^Param!$B$3)*1_Friction!K40</f>
        <v>0</v>
      </c>
      <c r="L40" s="0" t="n">
        <f aca="false">Offre!$E$11*(Offre!$C$11^Param!$B$3)*1_Friction!L40</f>
        <v>0</v>
      </c>
      <c r="M40" s="0" t="n">
        <f aca="false">Offre!$E$12*(Offre!$C$12^Param!$B$3)*1_Friction!M40</f>
        <v>0</v>
      </c>
      <c r="N40" s="0" t="n">
        <f aca="false">Offre!$E$13*(Offre!$C$13^Param!$B$3)*1_Friction!N40</f>
        <v>0</v>
      </c>
      <c r="O40" s="0" t="n">
        <f aca="false">Offre!$E$14*(Offre!$C$14^Param!$B$3)*1_Friction!O40</f>
        <v>0</v>
      </c>
      <c r="P40" s="0" t="n">
        <f aca="false">Offre!$E$15*(Offre!$C$15^Param!$B$3)*1_Friction!P40</f>
        <v>0</v>
      </c>
      <c r="Q40" s="0" t="n">
        <f aca="false">Offre!$E$16*(Offre!$C$16^Param!$B$3)*1_Friction!Q40</f>
        <v>0</v>
      </c>
      <c r="R40" s="0" t="n">
        <f aca="false">Offre!$E$17*(Offre!$C$17^Param!$B$3)*1_Friction!R40</f>
        <v>0</v>
      </c>
      <c r="S40" s="0" t="n">
        <f aca="false">Offre!$E$18*(Offre!$C$18^Param!$B$3)*1_Friction!S40</f>
        <v>0</v>
      </c>
      <c r="T40" s="0" t="n">
        <f aca="false">Offre!$E$19*(Offre!$C$19^Param!$B$3)*1_Friction!T40</f>
        <v>0</v>
      </c>
      <c r="U40" s="0" t="n">
        <f aca="false">Offre!$E$20*(Offre!$C$20^Param!$B$3)*1_Friction!U40</f>
        <v>0</v>
      </c>
      <c r="V40" s="0" t="n">
        <f aca="false">Offre!$E$21*(Offre!$C$21^Param!$B$3)*1_Friction!V40</f>
        <v>0</v>
      </c>
      <c r="W40" s="0" t="n">
        <f aca="false">Offre!$E$22*(Offre!$C$22^Param!$B$3)*1_Friction!W40</f>
        <v>0</v>
      </c>
      <c r="X40" s="0" t="n">
        <f aca="false">Offre!$E$23*(Offre!$C$23^Param!$B$3)*1_Friction!X40</f>
        <v>0</v>
      </c>
      <c r="Y40" s="0" t="n">
        <f aca="false">Offre!$E$24*(Offre!$C$24^Param!$B$3)*1_Friction!Y40</f>
        <v>0</v>
      </c>
      <c r="Z40" s="0" t="n">
        <f aca="false">Offre!$E$25*(Offre!$C$25^Param!$B$3)*1_Friction!Z40</f>
        <v>0</v>
      </c>
      <c r="AA40" s="0" t="n">
        <f aca="false">Offre!$E$26*(Offre!$C$26^Param!$B$3)*1_Friction!AA40</f>
        <v>0</v>
      </c>
      <c r="AB40" s="0" t="n">
        <f aca="false">Offre!$E$27*(Offre!$C$27^Param!$B$3)*1_Friction!AB40</f>
        <v>0</v>
      </c>
      <c r="AC40" s="0" t="n">
        <f aca="false">Offre!$E$28*(Offre!$C$28^Param!$B$3)*1_Friction!AC40</f>
        <v>0</v>
      </c>
      <c r="AD40" s="0" t="n">
        <f aca="false">Offre!$E$29*(Offre!$C$29^Param!$B$3)*1_Friction!AD40</f>
        <v>0</v>
      </c>
      <c r="AE40" s="0" t="n">
        <f aca="false">Offre!$E$30*(Offre!$C$30^Param!$B$3)*1_Friction!AE40</f>
        <v>0</v>
      </c>
      <c r="AF40" s="0" t="n">
        <f aca="false">Offre!$E$31*(Offre!$C$31^Param!$B$3)*1_Friction!AF40</f>
        <v>0</v>
      </c>
      <c r="AG40" s="0" t="n">
        <f aca="false">Offre!$E$32*(Offre!$C$32^Param!$B$3)*1_Friction!AG40</f>
        <v>0.827009950598382</v>
      </c>
      <c r="AH40" s="0" t="n">
        <f aca="false">Offre!$E$33*(Offre!$C$33^Param!$B$3)*1_Friction!AH40</f>
        <v>0</v>
      </c>
      <c r="AI40" s="0" t="n">
        <f aca="false">Offre!$E$34*(Offre!$C$34^Param!$B$3)*1_Friction!AI40</f>
        <v>0</v>
      </c>
      <c r="AJ40" s="0" t="n">
        <f aca="false">Offre!$E$35*(Offre!$C$35^Param!$B$3)*1_Friction!AJ40</f>
        <v>0</v>
      </c>
      <c r="AK40" s="0" t="n">
        <f aca="false">Offre!$E$36*(Offre!$C$36^Param!$B$3)*1_Friction!AK40</f>
        <v>0</v>
      </c>
      <c r="AL40" s="0" t="n">
        <f aca="false">Offre!$E$37*(Offre!$C$37^Param!$B$3)*1_Friction!AL40</f>
        <v>0</v>
      </c>
      <c r="AM40" s="0" t="n">
        <f aca="false">Offre!$E$38*(Offre!$C$38^Param!$B$3)*1_Friction!AM40</f>
        <v>3.11705507655308</v>
      </c>
      <c r="AN40" s="0" t="n">
        <f aca="false">Offre!$E$39*(Offre!$C$39^Param!$B$3)*1_Friction!AN40</f>
        <v>6.73411112174807</v>
      </c>
      <c r="AO40" s="0" t="n">
        <f aca="false">SUM(C40:AN40)</f>
        <v>12.0871400777955</v>
      </c>
    </row>
    <row r="41" customFormat="false" ht="15" hidden="false" customHeight="true" outlineLevel="0" collapsed="false">
      <c r="A41" s="0" t="s">
        <v>180</v>
      </c>
      <c r="B41" s="0" t="s">
        <v>181</v>
      </c>
      <c r="C41" s="0" t="n">
        <f aca="false">Offre!$E$2*(Offre!$C$2^Param!$B$3)*1_Friction!C41</f>
        <v>0.703464636082971</v>
      </c>
      <c r="D41" s="0" t="n">
        <f aca="false">Offre!$E$3*(Offre!$C$3^Param!$B$3)*1_Friction!D41</f>
        <v>0</v>
      </c>
      <c r="E41" s="0" t="n">
        <f aca="false">Offre!$E$4*(Offre!$C$4^Param!$B$3)*1_Friction!E41</f>
        <v>0</v>
      </c>
      <c r="F41" s="0" t="n">
        <f aca="false">Offre!$E$5*(Offre!$C$5^Param!$B$3)*1_Friction!F41</f>
        <v>0</v>
      </c>
      <c r="G41" s="0" t="n">
        <f aca="false">Offre!$E$6*(Offre!$C$6^Param!$B$3)*1_Friction!G41</f>
        <v>0</v>
      </c>
      <c r="H41" s="0" t="n">
        <f aca="false">Offre!$E$7*(Offre!$C$7^Param!$B$3)*1_Friction!H41</f>
        <v>0</v>
      </c>
      <c r="I41" s="0" t="n">
        <f aca="false">Offre!$E$8*(Offre!$C$8^Param!$B$3)*1_Friction!I41</f>
        <v>0</v>
      </c>
      <c r="J41" s="0" t="n">
        <f aca="false">Offre!$E$9*(Offre!$C$9^Param!$B$3)*1_Friction!J41</f>
        <v>0</v>
      </c>
      <c r="K41" s="0" t="n">
        <f aca="false">Offre!$E$10*(Offre!$C$10^Param!$B$3)*1_Friction!K41</f>
        <v>0</v>
      </c>
      <c r="L41" s="0" t="n">
        <f aca="false">Offre!$E$11*(Offre!$C$11^Param!$B$3)*1_Friction!L41</f>
        <v>0</v>
      </c>
      <c r="M41" s="0" t="n">
        <f aca="false">Offre!$E$12*(Offre!$C$12^Param!$B$3)*1_Friction!M41</f>
        <v>0</v>
      </c>
      <c r="N41" s="0" t="n">
        <f aca="false">Offre!$E$13*(Offre!$C$13^Param!$B$3)*1_Friction!N41</f>
        <v>0</v>
      </c>
      <c r="O41" s="0" t="n">
        <f aca="false">Offre!$E$14*(Offre!$C$14^Param!$B$3)*1_Friction!O41</f>
        <v>0</v>
      </c>
      <c r="P41" s="0" t="n">
        <f aca="false">Offre!$E$15*(Offre!$C$15^Param!$B$3)*1_Friction!P41</f>
        <v>0</v>
      </c>
      <c r="Q41" s="0" t="n">
        <f aca="false">Offre!$E$16*(Offre!$C$16^Param!$B$3)*1_Friction!Q41</f>
        <v>0</v>
      </c>
      <c r="R41" s="0" t="n">
        <f aca="false">Offre!$E$17*(Offre!$C$17^Param!$B$3)*1_Friction!R41</f>
        <v>0</v>
      </c>
      <c r="S41" s="0" t="n">
        <f aca="false">Offre!$E$18*(Offre!$C$18^Param!$B$3)*1_Friction!S41</f>
        <v>0</v>
      </c>
      <c r="T41" s="0" t="n">
        <f aca="false">Offre!$E$19*(Offre!$C$19^Param!$B$3)*1_Friction!T41</f>
        <v>0</v>
      </c>
      <c r="U41" s="0" t="n">
        <f aca="false">Offre!$E$20*(Offre!$C$20^Param!$B$3)*1_Friction!U41</f>
        <v>0</v>
      </c>
      <c r="V41" s="0" t="n">
        <f aca="false">Offre!$E$21*(Offre!$C$21^Param!$B$3)*1_Friction!V41</f>
        <v>0</v>
      </c>
      <c r="W41" s="0" t="n">
        <f aca="false">Offre!$E$22*(Offre!$C$22^Param!$B$3)*1_Friction!W41</f>
        <v>0</v>
      </c>
      <c r="X41" s="0" t="n">
        <f aca="false">Offre!$E$23*(Offre!$C$23^Param!$B$3)*1_Friction!X41</f>
        <v>0</v>
      </c>
      <c r="Y41" s="0" t="n">
        <f aca="false">Offre!$E$24*(Offre!$C$24^Param!$B$3)*1_Friction!Y41</f>
        <v>0</v>
      </c>
      <c r="Z41" s="0" t="n">
        <f aca="false">Offre!$E$25*(Offre!$C$25^Param!$B$3)*1_Friction!Z41</f>
        <v>0</v>
      </c>
      <c r="AA41" s="0" t="n">
        <f aca="false">Offre!$E$26*(Offre!$C$26^Param!$B$3)*1_Friction!AA41</f>
        <v>0</v>
      </c>
      <c r="AB41" s="0" t="n">
        <f aca="false">Offre!$E$27*(Offre!$C$27^Param!$B$3)*1_Friction!AB41</f>
        <v>0</v>
      </c>
      <c r="AC41" s="0" t="n">
        <f aca="false">Offre!$E$28*(Offre!$C$28^Param!$B$3)*1_Friction!AC41</f>
        <v>0</v>
      </c>
      <c r="AD41" s="0" t="n">
        <f aca="false">Offre!$E$29*(Offre!$C$29^Param!$B$3)*1_Friction!AD41</f>
        <v>0</v>
      </c>
      <c r="AE41" s="0" t="n">
        <f aca="false">Offre!$E$30*(Offre!$C$30^Param!$B$3)*1_Friction!AE41</f>
        <v>0</v>
      </c>
      <c r="AF41" s="0" t="n">
        <f aca="false">Offre!$E$31*(Offre!$C$31^Param!$B$3)*1_Friction!AF41</f>
        <v>0</v>
      </c>
      <c r="AG41" s="0" t="n">
        <f aca="false">Offre!$E$32*(Offre!$C$32^Param!$B$3)*1_Friction!AG41</f>
        <v>0.519287827389428</v>
      </c>
      <c r="AH41" s="0" t="n">
        <f aca="false">Offre!$E$33*(Offre!$C$33^Param!$B$3)*1_Friction!AH41</f>
        <v>0</v>
      </c>
      <c r="AI41" s="0" t="n">
        <f aca="false">Offre!$E$34*(Offre!$C$34^Param!$B$3)*1_Friction!AI41</f>
        <v>0</v>
      </c>
      <c r="AJ41" s="0" t="n">
        <f aca="false">Offre!$E$35*(Offre!$C$35^Param!$B$3)*1_Friction!AJ41</f>
        <v>0</v>
      </c>
      <c r="AK41" s="0" t="n">
        <f aca="false">Offre!$E$36*(Offre!$C$36^Param!$B$3)*1_Friction!AK41</f>
        <v>0</v>
      </c>
      <c r="AL41" s="0" t="n">
        <f aca="false">Offre!$E$37*(Offre!$C$37^Param!$B$3)*1_Friction!AL41</f>
        <v>0</v>
      </c>
      <c r="AM41" s="0" t="n">
        <f aca="false">Offre!$E$38*(Offre!$C$38^Param!$B$3)*1_Friction!AM41</f>
        <v>1.53415910542414</v>
      </c>
      <c r="AN41" s="0" t="n">
        <f aca="false">Offre!$E$39*(Offre!$C$39^Param!$B$3)*1_Friction!AN41</f>
        <v>0.816984113969799</v>
      </c>
      <c r="AO41" s="0" t="n">
        <f aca="false">SUM(C41:AN41)</f>
        <v>3.57389568286634</v>
      </c>
    </row>
    <row r="42" customFormat="false" ht="15" hidden="false" customHeight="true" outlineLevel="0" collapsed="false">
      <c r="A42" s="0" t="s">
        <v>182</v>
      </c>
      <c r="B42" s="0" t="s">
        <v>183</v>
      </c>
      <c r="C42" s="0" t="n">
        <f aca="false">Offre!$E$2*(Offre!$C$2^Param!$B$3)*1_Friction!C42</f>
        <v>0.654256837225074</v>
      </c>
      <c r="D42" s="0" t="n">
        <f aca="false">Offre!$E$3*(Offre!$C$3^Param!$B$3)*1_Friction!D42</f>
        <v>0</v>
      </c>
      <c r="E42" s="0" t="n">
        <f aca="false">Offre!$E$4*(Offre!$C$4^Param!$B$3)*1_Friction!E42</f>
        <v>0</v>
      </c>
      <c r="F42" s="0" t="n">
        <f aca="false">Offre!$E$5*(Offre!$C$5^Param!$B$3)*1_Friction!F42</f>
        <v>0</v>
      </c>
      <c r="G42" s="0" t="n">
        <f aca="false">Offre!$E$6*(Offre!$C$6^Param!$B$3)*1_Friction!G42</f>
        <v>0</v>
      </c>
      <c r="H42" s="0" t="n">
        <f aca="false">Offre!$E$7*(Offre!$C$7^Param!$B$3)*1_Friction!H42</f>
        <v>0</v>
      </c>
      <c r="I42" s="0" t="n">
        <f aca="false">Offre!$E$8*(Offre!$C$8^Param!$B$3)*1_Friction!I42</f>
        <v>0</v>
      </c>
      <c r="J42" s="0" t="n">
        <f aca="false">Offre!$E$9*(Offre!$C$9^Param!$B$3)*1_Friction!J42</f>
        <v>0</v>
      </c>
      <c r="K42" s="0" t="n">
        <f aca="false">Offre!$E$10*(Offre!$C$10^Param!$B$3)*1_Friction!K42</f>
        <v>0</v>
      </c>
      <c r="L42" s="0" t="n">
        <f aca="false">Offre!$E$11*(Offre!$C$11^Param!$B$3)*1_Friction!L42</f>
        <v>0</v>
      </c>
      <c r="M42" s="0" t="n">
        <f aca="false">Offre!$E$12*(Offre!$C$12^Param!$B$3)*1_Friction!M42</f>
        <v>0</v>
      </c>
      <c r="N42" s="0" t="n">
        <f aca="false">Offre!$E$13*(Offre!$C$13^Param!$B$3)*1_Friction!N42</f>
        <v>0</v>
      </c>
      <c r="O42" s="0" t="n">
        <f aca="false">Offre!$E$14*(Offre!$C$14^Param!$B$3)*1_Friction!O42</f>
        <v>0</v>
      </c>
      <c r="P42" s="0" t="n">
        <f aca="false">Offre!$E$15*(Offre!$C$15^Param!$B$3)*1_Friction!P42</f>
        <v>0</v>
      </c>
      <c r="Q42" s="0" t="n">
        <f aca="false">Offre!$E$16*(Offre!$C$16^Param!$B$3)*1_Friction!Q42</f>
        <v>0</v>
      </c>
      <c r="R42" s="0" t="n">
        <f aca="false">Offre!$E$17*(Offre!$C$17^Param!$B$3)*1_Friction!R42</f>
        <v>0</v>
      </c>
      <c r="S42" s="0" t="n">
        <f aca="false">Offre!$E$18*(Offre!$C$18^Param!$B$3)*1_Friction!S42</f>
        <v>0</v>
      </c>
      <c r="T42" s="0" t="n">
        <f aca="false">Offre!$E$19*(Offre!$C$19^Param!$B$3)*1_Friction!T42</f>
        <v>0</v>
      </c>
      <c r="U42" s="0" t="n">
        <f aca="false">Offre!$E$20*(Offre!$C$20^Param!$B$3)*1_Friction!U42</f>
        <v>0</v>
      </c>
      <c r="V42" s="0" t="n">
        <f aca="false">Offre!$E$21*(Offre!$C$21^Param!$B$3)*1_Friction!V42</f>
        <v>0</v>
      </c>
      <c r="W42" s="0" t="n">
        <f aca="false">Offre!$E$22*(Offre!$C$22^Param!$B$3)*1_Friction!W42</f>
        <v>0</v>
      </c>
      <c r="X42" s="0" t="n">
        <f aca="false">Offre!$E$23*(Offre!$C$23^Param!$B$3)*1_Friction!X42</f>
        <v>0</v>
      </c>
      <c r="Y42" s="0" t="n">
        <f aca="false">Offre!$E$24*(Offre!$C$24^Param!$B$3)*1_Friction!Y42</f>
        <v>0</v>
      </c>
      <c r="Z42" s="0" t="n">
        <f aca="false">Offre!$E$25*(Offre!$C$25^Param!$B$3)*1_Friction!Z42</f>
        <v>0</v>
      </c>
      <c r="AA42" s="0" t="n">
        <f aca="false">Offre!$E$26*(Offre!$C$26^Param!$B$3)*1_Friction!AA42</f>
        <v>0</v>
      </c>
      <c r="AB42" s="0" t="n">
        <f aca="false">Offre!$E$27*(Offre!$C$27^Param!$B$3)*1_Friction!AB42</f>
        <v>0</v>
      </c>
      <c r="AC42" s="0" t="n">
        <f aca="false">Offre!$E$28*(Offre!$C$28^Param!$B$3)*1_Friction!AC42</f>
        <v>0</v>
      </c>
      <c r="AD42" s="0" t="n">
        <f aca="false">Offre!$E$29*(Offre!$C$29^Param!$B$3)*1_Friction!AD42</f>
        <v>0</v>
      </c>
      <c r="AE42" s="0" t="n">
        <f aca="false">Offre!$E$30*(Offre!$C$30^Param!$B$3)*1_Friction!AE42</f>
        <v>0</v>
      </c>
      <c r="AF42" s="0" t="n">
        <f aca="false">Offre!$E$31*(Offre!$C$31^Param!$B$3)*1_Friction!AF42</f>
        <v>0</v>
      </c>
      <c r="AG42" s="0" t="n">
        <f aca="false">Offre!$E$32*(Offre!$C$32^Param!$B$3)*1_Friction!AG42</f>
        <v>0.248476517897324</v>
      </c>
      <c r="AH42" s="0" t="n">
        <f aca="false">Offre!$E$33*(Offre!$C$33^Param!$B$3)*1_Friction!AH42</f>
        <v>0</v>
      </c>
      <c r="AI42" s="0" t="n">
        <f aca="false">Offre!$E$34*(Offre!$C$34^Param!$B$3)*1_Friction!AI42</f>
        <v>0</v>
      </c>
      <c r="AJ42" s="0" t="n">
        <f aca="false">Offre!$E$35*(Offre!$C$35^Param!$B$3)*1_Friction!AJ42</f>
        <v>0</v>
      </c>
      <c r="AK42" s="0" t="n">
        <f aca="false">Offre!$E$36*(Offre!$C$36^Param!$B$3)*1_Friction!AK42</f>
        <v>0</v>
      </c>
      <c r="AL42" s="0" t="n">
        <f aca="false">Offre!$E$37*(Offre!$C$37^Param!$B$3)*1_Friction!AL42</f>
        <v>0</v>
      </c>
      <c r="AM42" s="0" t="n">
        <f aca="false">Offre!$E$38*(Offre!$C$38^Param!$B$3)*1_Friction!AM42</f>
        <v>1.42088618229904</v>
      </c>
      <c r="AN42" s="0" t="n">
        <f aca="false">Offre!$E$39*(Offre!$C$39^Param!$B$3)*1_Friction!AN42</f>
        <v>2.47934560382322</v>
      </c>
      <c r="AO42" s="0" t="n">
        <f aca="false">SUM(C42:AN42)</f>
        <v>4.80296514124466</v>
      </c>
    </row>
    <row r="43" customFormat="false" ht="15" hidden="false" customHeight="true" outlineLevel="0" collapsed="false">
      <c r="A43" s="0" t="s">
        <v>184</v>
      </c>
      <c r="B43" s="0" t="s">
        <v>185</v>
      </c>
      <c r="C43" s="0" t="n">
        <f aca="false">Offre!$E$2*(Offre!$C$2^Param!$B$3)*1_Friction!C43</f>
        <v>0</v>
      </c>
      <c r="D43" s="0" t="n">
        <f aca="false">Offre!$E$3*(Offre!$C$3^Param!$B$3)*1_Friction!D43</f>
        <v>0</v>
      </c>
      <c r="E43" s="0" t="n">
        <f aca="false">Offre!$E$4*(Offre!$C$4^Param!$B$3)*1_Friction!E43</f>
        <v>0</v>
      </c>
      <c r="F43" s="0" t="n">
        <f aca="false">Offre!$E$5*(Offre!$C$5^Param!$B$3)*1_Friction!F43</f>
        <v>0</v>
      </c>
      <c r="G43" s="0" t="n">
        <f aca="false">Offre!$E$6*(Offre!$C$6^Param!$B$3)*1_Friction!G43</f>
        <v>0</v>
      </c>
      <c r="H43" s="0" t="n">
        <f aca="false">Offre!$E$7*(Offre!$C$7^Param!$B$3)*1_Friction!H43</f>
        <v>0</v>
      </c>
      <c r="I43" s="0" t="n">
        <f aca="false">Offre!$E$8*(Offre!$C$8^Param!$B$3)*1_Friction!I43</f>
        <v>0</v>
      </c>
      <c r="J43" s="0" t="n">
        <f aca="false">Offre!$E$9*(Offre!$C$9^Param!$B$3)*1_Friction!J43</f>
        <v>0</v>
      </c>
      <c r="K43" s="0" t="n">
        <f aca="false">Offre!$E$10*(Offre!$C$10^Param!$B$3)*1_Friction!K43</f>
        <v>0</v>
      </c>
      <c r="L43" s="0" t="n">
        <f aca="false">Offre!$E$11*(Offre!$C$11^Param!$B$3)*1_Friction!L43</f>
        <v>0</v>
      </c>
      <c r="M43" s="0" t="n">
        <f aca="false">Offre!$E$12*(Offre!$C$12^Param!$B$3)*1_Friction!M43</f>
        <v>0</v>
      </c>
      <c r="N43" s="0" t="n">
        <f aca="false">Offre!$E$13*(Offre!$C$13^Param!$B$3)*1_Friction!N43</f>
        <v>0</v>
      </c>
      <c r="O43" s="0" t="n">
        <f aca="false">Offre!$E$14*(Offre!$C$14^Param!$B$3)*1_Friction!O43</f>
        <v>0</v>
      </c>
      <c r="P43" s="0" t="n">
        <f aca="false">Offre!$E$15*(Offre!$C$15^Param!$B$3)*1_Friction!P43</f>
        <v>0</v>
      </c>
      <c r="Q43" s="0" t="n">
        <f aca="false">Offre!$E$16*(Offre!$C$16^Param!$B$3)*1_Friction!Q43</f>
        <v>0</v>
      </c>
      <c r="R43" s="0" t="n">
        <f aca="false">Offre!$E$17*(Offre!$C$17^Param!$B$3)*1_Friction!R43</f>
        <v>0</v>
      </c>
      <c r="S43" s="0" t="n">
        <f aca="false">Offre!$E$18*(Offre!$C$18^Param!$B$3)*1_Friction!S43</f>
        <v>0</v>
      </c>
      <c r="T43" s="0" t="n">
        <f aca="false">Offre!$E$19*(Offre!$C$19^Param!$B$3)*1_Friction!T43</f>
        <v>0</v>
      </c>
      <c r="U43" s="0" t="n">
        <f aca="false">Offre!$E$20*(Offre!$C$20^Param!$B$3)*1_Friction!U43</f>
        <v>0</v>
      </c>
      <c r="V43" s="0" t="n">
        <f aca="false">Offre!$E$21*(Offre!$C$21^Param!$B$3)*1_Friction!V43</f>
        <v>0</v>
      </c>
      <c r="W43" s="0" t="n">
        <f aca="false">Offre!$E$22*(Offre!$C$22^Param!$B$3)*1_Friction!W43</f>
        <v>0</v>
      </c>
      <c r="X43" s="0" t="n">
        <f aca="false">Offre!$E$23*(Offre!$C$23^Param!$B$3)*1_Friction!X43</f>
        <v>0</v>
      </c>
      <c r="Y43" s="0" t="n">
        <f aca="false">Offre!$E$24*(Offre!$C$24^Param!$B$3)*1_Friction!Y43</f>
        <v>0</v>
      </c>
      <c r="Z43" s="0" t="n">
        <f aca="false">Offre!$E$25*(Offre!$C$25^Param!$B$3)*1_Friction!Z43</f>
        <v>0</v>
      </c>
      <c r="AA43" s="0" t="n">
        <f aca="false">Offre!$E$26*(Offre!$C$26^Param!$B$3)*1_Friction!AA43</f>
        <v>0</v>
      </c>
      <c r="AB43" s="0" t="n">
        <f aca="false">Offre!$E$27*(Offre!$C$27^Param!$B$3)*1_Friction!AB43</f>
        <v>0</v>
      </c>
      <c r="AC43" s="0" t="n">
        <f aca="false">Offre!$E$28*(Offre!$C$28^Param!$B$3)*1_Friction!AC43</f>
        <v>0</v>
      </c>
      <c r="AD43" s="0" t="n">
        <f aca="false">Offre!$E$29*(Offre!$C$29^Param!$B$3)*1_Friction!AD43</f>
        <v>0</v>
      </c>
      <c r="AE43" s="0" t="n">
        <f aca="false">Offre!$E$30*(Offre!$C$30^Param!$B$3)*1_Friction!AE43</f>
        <v>0</v>
      </c>
      <c r="AF43" s="0" t="n">
        <f aca="false">Offre!$E$31*(Offre!$C$31^Param!$B$3)*1_Friction!AF43</f>
        <v>0</v>
      </c>
      <c r="AG43" s="0" t="n">
        <f aca="false">Offre!$E$32*(Offre!$C$32^Param!$B$3)*1_Friction!AG43</f>
        <v>2.06984486725308</v>
      </c>
      <c r="AH43" s="0" t="n">
        <f aca="false">Offre!$E$33*(Offre!$C$33^Param!$B$3)*1_Friction!AH43</f>
        <v>0</v>
      </c>
      <c r="AI43" s="0" t="n">
        <f aca="false">Offre!$E$34*(Offre!$C$34^Param!$B$3)*1_Friction!AI43</f>
        <v>0</v>
      </c>
      <c r="AJ43" s="0" t="n">
        <f aca="false">Offre!$E$35*(Offre!$C$35^Param!$B$3)*1_Friction!AJ43</f>
        <v>0</v>
      </c>
      <c r="AK43" s="0" t="n">
        <f aca="false">Offre!$E$36*(Offre!$C$36^Param!$B$3)*1_Friction!AK43</f>
        <v>0</v>
      </c>
      <c r="AL43" s="0" t="n">
        <f aca="false">Offre!$E$37*(Offre!$C$37^Param!$B$3)*1_Friction!AL43</f>
        <v>0</v>
      </c>
      <c r="AM43" s="0" t="n">
        <f aca="false">Offre!$E$38*(Offre!$C$38^Param!$B$3)*1_Friction!AM43</f>
        <v>0</v>
      </c>
      <c r="AN43" s="0" t="n">
        <f aca="false">Offre!$E$39*(Offre!$C$39^Param!$B$3)*1_Friction!AN43</f>
        <v>2.91332489849529</v>
      </c>
      <c r="AO43" s="0" t="n">
        <f aca="false">SUM(C43:AN43)</f>
        <v>4.98316976574836</v>
      </c>
    </row>
    <row r="44" customFormat="false" ht="15" hidden="false" customHeight="true" outlineLevel="0" collapsed="false">
      <c r="A44" s="0" t="s">
        <v>186</v>
      </c>
      <c r="B44" s="0" t="s">
        <v>187</v>
      </c>
      <c r="C44" s="0" t="n">
        <f aca="false">Offre!$E$2*(Offre!$C$2^Param!$B$3)*1_Friction!C44</f>
        <v>0</v>
      </c>
      <c r="D44" s="0" t="n">
        <f aca="false">Offre!$E$3*(Offre!$C$3^Param!$B$3)*1_Friction!D44</f>
        <v>0</v>
      </c>
      <c r="E44" s="0" t="n">
        <f aca="false">Offre!$E$4*(Offre!$C$4^Param!$B$3)*1_Friction!E44</f>
        <v>0</v>
      </c>
      <c r="F44" s="0" t="n">
        <f aca="false">Offre!$E$5*(Offre!$C$5^Param!$B$3)*1_Friction!F44</f>
        <v>0</v>
      </c>
      <c r="G44" s="0" t="n">
        <f aca="false">Offre!$E$6*(Offre!$C$6^Param!$B$3)*1_Friction!G44</f>
        <v>0</v>
      </c>
      <c r="H44" s="0" t="n">
        <f aca="false">Offre!$E$7*(Offre!$C$7^Param!$B$3)*1_Friction!H44</f>
        <v>0</v>
      </c>
      <c r="I44" s="0" t="n">
        <f aca="false">Offre!$E$8*(Offre!$C$8^Param!$B$3)*1_Friction!I44</f>
        <v>0</v>
      </c>
      <c r="J44" s="0" t="n">
        <f aca="false">Offre!$E$9*(Offre!$C$9^Param!$B$3)*1_Friction!J44</f>
        <v>0</v>
      </c>
      <c r="K44" s="0" t="n">
        <f aca="false">Offre!$E$10*(Offre!$C$10^Param!$B$3)*1_Friction!K44</f>
        <v>0</v>
      </c>
      <c r="L44" s="0" t="n">
        <f aca="false">Offre!$E$11*(Offre!$C$11^Param!$B$3)*1_Friction!L44</f>
        <v>0</v>
      </c>
      <c r="M44" s="0" t="n">
        <f aca="false">Offre!$E$12*(Offre!$C$12^Param!$B$3)*1_Friction!M44</f>
        <v>0</v>
      </c>
      <c r="N44" s="0" t="n">
        <f aca="false">Offre!$E$13*(Offre!$C$13^Param!$B$3)*1_Friction!N44</f>
        <v>0</v>
      </c>
      <c r="O44" s="0" t="n">
        <f aca="false">Offre!$E$14*(Offre!$C$14^Param!$B$3)*1_Friction!O44</f>
        <v>0</v>
      </c>
      <c r="P44" s="0" t="n">
        <f aca="false">Offre!$E$15*(Offre!$C$15^Param!$B$3)*1_Friction!P44</f>
        <v>0</v>
      </c>
      <c r="Q44" s="0" t="n">
        <f aca="false">Offre!$E$16*(Offre!$C$16^Param!$B$3)*1_Friction!Q44</f>
        <v>0</v>
      </c>
      <c r="R44" s="0" t="n">
        <f aca="false">Offre!$E$17*(Offre!$C$17^Param!$B$3)*1_Friction!R44</f>
        <v>0</v>
      </c>
      <c r="S44" s="0" t="n">
        <f aca="false">Offre!$E$18*(Offre!$C$18^Param!$B$3)*1_Friction!S44</f>
        <v>0</v>
      </c>
      <c r="T44" s="0" t="n">
        <f aca="false">Offre!$E$19*(Offre!$C$19^Param!$B$3)*1_Friction!T44</f>
        <v>0</v>
      </c>
      <c r="U44" s="0" t="n">
        <f aca="false">Offre!$E$20*(Offre!$C$20^Param!$B$3)*1_Friction!U44</f>
        <v>0</v>
      </c>
      <c r="V44" s="0" t="n">
        <f aca="false">Offre!$E$21*(Offre!$C$21^Param!$B$3)*1_Friction!V44</f>
        <v>0</v>
      </c>
      <c r="W44" s="0" t="n">
        <f aca="false">Offre!$E$22*(Offre!$C$22^Param!$B$3)*1_Friction!W44</f>
        <v>0</v>
      </c>
      <c r="X44" s="0" t="n">
        <f aca="false">Offre!$E$23*(Offre!$C$23^Param!$B$3)*1_Friction!X44</f>
        <v>0</v>
      </c>
      <c r="Y44" s="0" t="n">
        <f aca="false">Offre!$E$24*(Offre!$C$24^Param!$B$3)*1_Friction!Y44</f>
        <v>0</v>
      </c>
      <c r="Z44" s="0" t="n">
        <f aca="false">Offre!$E$25*(Offre!$C$25^Param!$B$3)*1_Friction!Z44</f>
        <v>0</v>
      </c>
      <c r="AA44" s="0" t="n">
        <f aca="false">Offre!$E$26*(Offre!$C$26^Param!$B$3)*1_Friction!AA44</f>
        <v>0</v>
      </c>
      <c r="AB44" s="0" t="n">
        <f aca="false">Offre!$E$27*(Offre!$C$27^Param!$B$3)*1_Friction!AB44</f>
        <v>0</v>
      </c>
      <c r="AC44" s="0" t="n">
        <f aca="false">Offre!$E$28*(Offre!$C$28^Param!$B$3)*1_Friction!AC44</f>
        <v>0</v>
      </c>
      <c r="AD44" s="0" t="n">
        <f aca="false">Offre!$E$29*(Offre!$C$29^Param!$B$3)*1_Friction!AD44</f>
        <v>0</v>
      </c>
      <c r="AE44" s="0" t="n">
        <f aca="false">Offre!$E$30*(Offre!$C$30^Param!$B$3)*1_Friction!AE44</f>
        <v>0</v>
      </c>
      <c r="AF44" s="0" t="n">
        <f aca="false">Offre!$E$31*(Offre!$C$31^Param!$B$3)*1_Friction!AF44</f>
        <v>0</v>
      </c>
      <c r="AG44" s="0" t="n">
        <f aca="false">Offre!$E$32*(Offre!$C$32^Param!$B$3)*1_Friction!AG44</f>
        <v>1.28871324052393</v>
      </c>
      <c r="AH44" s="0" t="n">
        <f aca="false">Offre!$E$33*(Offre!$C$33^Param!$B$3)*1_Friction!AH44</f>
        <v>0</v>
      </c>
      <c r="AI44" s="0" t="n">
        <f aca="false">Offre!$E$34*(Offre!$C$34^Param!$B$3)*1_Friction!AI44</f>
        <v>0</v>
      </c>
      <c r="AJ44" s="0" t="n">
        <f aca="false">Offre!$E$35*(Offre!$C$35^Param!$B$3)*1_Friction!AJ44</f>
        <v>0</v>
      </c>
      <c r="AK44" s="0" t="n">
        <f aca="false">Offre!$E$36*(Offre!$C$36^Param!$B$3)*1_Friction!AK44</f>
        <v>0</v>
      </c>
      <c r="AL44" s="0" t="n">
        <f aca="false">Offre!$E$37*(Offre!$C$37^Param!$B$3)*1_Friction!AL44</f>
        <v>0</v>
      </c>
      <c r="AM44" s="0" t="n">
        <f aca="false">Offre!$E$38*(Offre!$C$38^Param!$B$3)*1_Friction!AM44</f>
        <v>0</v>
      </c>
      <c r="AN44" s="0" t="n">
        <f aca="false">Offre!$E$39*(Offre!$C$39^Param!$B$3)*1_Friction!AN44</f>
        <v>13.8433363928037</v>
      </c>
      <c r="AO44" s="0" t="n">
        <f aca="false">SUM(C44:AN44)</f>
        <v>15.1320496333276</v>
      </c>
    </row>
    <row r="45" customFormat="false" ht="15" hidden="false" customHeight="true" outlineLevel="0" collapsed="false">
      <c r="A45" s="0" t="s">
        <v>188</v>
      </c>
      <c r="B45" s="0" t="s">
        <v>189</v>
      </c>
      <c r="C45" s="0" t="n">
        <f aca="false">Offre!$E$2*(Offre!$C$2^Param!$B$3)*1_Friction!C45</f>
        <v>0</v>
      </c>
      <c r="D45" s="0" t="n">
        <f aca="false">Offre!$E$3*(Offre!$C$3^Param!$B$3)*1_Friction!D45</f>
        <v>0</v>
      </c>
      <c r="E45" s="0" t="n">
        <f aca="false">Offre!$E$4*(Offre!$C$4^Param!$B$3)*1_Friction!E45</f>
        <v>0</v>
      </c>
      <c r="F45" s="0" t="n">
        <f aca="false">Offre!$E$5*(Offre!$C$5^Param!$B$3)*1_Friction!F45</f>
        <v>0</v>
      </c>
      <c r="G45" s="0" t="n">
        <f aca="false">Offre!$E$6*(Offre!$C$6^Param!$B$3)*1_Friction!G45</f>
        <v>0</v>
      </c>
      <c r="H45" s="0" t="n">
        <f aca="false">Offre!$E$7*(Offre!$C$7^Param!$B$3)*1_Friction!H45</f>
        <v>0</v>
      </c>
      <c r="I45" s="0" t="n">
        <f aca="false">Offre!$E$8*(Offre!$C$8^Param!$B$3)*1_Friction!I45</f>
        <v>0</v>
      </c>
      <c r="J45" s="0" t="n">
        <f aca="false">Offre!$E$9*(Offre!$C$9^Param!$B$3)*1_Friction!J45</f>
        <v>0</v>
      </c>
      <c r="K45" s="0" t="n">
        <f aca="false">Offre!$E$10*(Offre!$C$10^Param!$B$3)*1_Friction!K45</f>
        <v>0</v>
      </c>
      <c r="L45" s="0" t="n">
        <f aca="false">Offre!$E$11*(Offre!$C$11^Param!$B$3)*1_Friction!L45</f>
        <v>0</v>
      </c>
      <c r="M45" s="0" t="n">
        <f aca="false">Offre!$E$12*(Offre!$C$12^Param!$B$3)*1_Friction!M45</f>
        <v>0</v>
      </c>
      <c r="N45" s="0" t="n">
        <f aca="false">Offre!$E$13*(Offre!$C$13^Param!$B$3)*1_Friction!N45</f>
        <v>0</v>
      </c>
      <c r="O45" s="0" t="n">
        <f aca="false">Offre!$E$14*(Offre!$C$14^Param!$B$3)*1_Friction!O45</f>
        <v>0</v>
      </c>
      <c r="P45" s="0" t="n">
        <f aca="false">Offre!$E$15*(Offre!$C$15^Param!$B$3)*1_Friction!P45</f>
        <v>0</v>
      </c>
      <c r="Q45" s="0" t="n">
        <f aca="false">Offre!$E$16*(Offre!$C$16^Param!$B$3)*1_Friction!Q45</f>
        <v>0</v>
      </c>
      <c r="R45" s="0" t="n">
        <f aca="false">Offre!$E$17*(Offre!$C$17^Param!$B$3)*1_Friction!R45</f>
        <v>0</v>
      </c>
      <c r="S45" s="0" t="n">
        <f aca="false">Offre!$E$18*(Offre!$C$18^Param!$B$3)*1_Friction!S45</f>
        <v>0</v>
      </c>
      <c r="T45" s="0" t="n">
        <f aca="false">Offre!$E$19*(Offre!$C$19^Param!$B$3)*1_Friction!T45</f>
        <v>0</v>
      </c>
      <c r="U45" s="0" t="n">
        <f aca="false">Offre!$E$20*(Offre!$C$20^Param!$B$3)*1_Friction!U45</f>
        <v>0</v>
      </c>
      <c r="V45" s="0" t="n">
        <f aca="false">Offre!$E$21*(Offre!$C$21^Param!$B$3)*1_Friction!V45</f>
        <v>0</v>
      </c>
      <c r="W45" s="0" t="n">
        <f aca="false">Offre!$E$22*(Offre!$C$22^Param!$B$3)*1_Friction!W45</f>
        <v>0</v>
      </c>
      <c r="X45" s="0" t="n">
        <f aca="false">Offre!$E$23*(Offre!$C$23^Param!$B$3)*1_Friction!X45</f>
        <v>0</v>
      </c>
      <c r="Y45" s="0" t="n">
        <f aca="false">Offre!$E$24*(Offre!$C$24^Param!$B$3)*1_Friction!Y45</f>
        <v>0</v>
      </c>
      <c r="Z45" s="0" t="n">
        <f aca="false">Offre!$E$25*(Offre!$C$25^Param!$B$3)*1_Friction!Z45</f>
        <v>0</v>
      </c>
      <c r="AA45" s="0" t="n">
        <f aca="false">Offre!$E$26*(Offre!$C$26^Param!$B$3)*1_Friction!AA45</f>
        <v>0</v>
      </c>
      <c r="AB45" s="0" t="n">
        <f aca="false">Offre!$E$27*(Offre!$C$27^Param!$B$3)*1_Friction!AB45</f>
        <v>0</v>
      </c>
      <c r="AC45" s="0" t="n">
        <f aca="false">Offre!$E$28*(Offre!$C$28^Param!$B$3)*1_Friction!AC45</f>
        <v>0</v>
      </c>
      <c r="AD45" s="0" t="n">
        <f aca="false">Offre!$E$29*(Offre!$C$29^Param!$B$3)*1_Friction!AD45</f>
        <v>0</v>
      </c>
      <c r="AE45" s="0" t="n">
        <f aca="false">Offre!$E$30*(Offre!$C$30^Param!$B$3)*1_Friction!AE45</f>
        <v>0</v>
      </c>
      <c r="AF45" s="0" t="n">
        <f aca="false">Offre!$E$31*(Offre!$C$31^Param!$B$3)*1_Friction!AF45</f>
        <v>0</v>
      </c>
      <c r="AG45" s="0" t="n">
        <f aca="false">Offre!$E$32*(Offre!$C$32^Param!$B$3)*1_Friction!AG45</f>
        <v>0</v>
      </c>
      <c r="AH45" s="0" t="n">
        <f aca="false">Offre!$E$33*(Offre!$C$33^Param!$B$3)*1_Friction!AH45</f>
        <v>0</v>
      </c>
      <c r="AI45" s="0" t="n">
        <f aca="false">Offre!$E$34*(Offre!$C$34^Param!$B$3)*1_Friction!AI45</f>
        <v>0</v>
      </c>
      <c r="AJ45" s="0" t="n">
        <f aca="false">Offre!$E$35*(Offre!$C$35^Param!$B$3)*1_Friction!AJ45</f>
        <v>0</v>
      </c>
      <c r="AK45" s="0" t="n">
        <f aca="false">Offre!$E$36*(Offre!$C$36^Param!$B$3)*1_Friction!AK45</f>
        <v>0</v>
      </c>
      <c r="AL45" s="0" t="n">
        <f aca="false">Offre!$E$37*(Offre!$C$37^Param!$B$3)*1_Friction!AL45</f>
        <v>0</v>
      </c>
      <c r="AM45" s="0" t="n">
        <f aca="false">Offre!$E$38*(Offre!$C$38^Param!$B$3)*1_Friction!AM45</f>
        <v>0</v>
      </c>
      <c r="AN45" s="0" t="n">
        <f aca="false">Offre!$E$39*(Offre!$C$39^Param!$B$3)*1_Friction!AN45</f>
        <v>25.7337158244755</v>
      </c>
      <c r="AO45" s="0" t="n">
        <f aca="false">SUM(C45:AN45)</f>
        <v>25.7337158244755</v>
      </c>
    </row>
    <row r="46" customFormat="false" ht="15" hidden="false" customHeight="true" outlineLevel="0" collapsed="false">
      <c r="A46" s="0" t="s">
        <v>190</v>
      </c>
      <c r="B46" s="0" t="s">
        <v>191</v>
      </c>
      <c r="C46" s="0" t="n">
        <f aca="false">Offre!$E$2*(Offre!$C$2^Param!$B$3)*1_Friction!C46</f>
        <v>0</v>
      </c>
      <c r="D46" s="0" t="n">
        <f aca="false">Offre!$E$3*(Offre!$C$3^Param!$B$3)*1_Friction!D46</f>
        <v>0</v>
      </c>
      <c r="E46" s="0" t="n">
        <f aca="false">Offre!$E$4*(Offre!$C$4^Param!$B$3)*1_Friction!E46</f>
        <v>0</v>
      </c>
      <c r="F46" s="0" t="n">
        <f aca="false">Offre!$E$5*(Offre!$C$5^Param!$B$3)*1_Friction!F46</f>
        <v>0</v>
      </c>
      <c r="G46" s="0" t="n">
        <f aca="false">Offre!$E$6*(Offre!$C$6^Param!$B$3)*1_Friction!G46</f>
        <v>0</v>
      </c>
      <c r="H46" s="0" t="n">
        <f aca="false">Offre!$E$7*(Offre!$C$7^Param!$B$3)*1_Friction!H46</f>
        <v>0</v>
      </c>
      <c r="I46" s="0" t="n">
        <f aca="false">Offre!$E$8*(Offre!$C$8^Param!$B$3)*1_Friction!I46</f>
        <v>0</v>
      </c>
      <c r="J46" s="0" t="n">
        <f aca="false">Offre!$E$9*(Offre!$C$9^Param!$B$3)*1_Friction!J46</f>
        <v>0</v>
      </c>
      <c r="K46" s="0" t="n">
        <f aca="false">Offre!$E$10*(Offre!$C$10^Param!$B$3)*1_Friction!K46</f>
        <v>0</v>
      </c>
      <c r="L46" s="0" t="n">
        <f aca="false">Offre!$E$11*(Offre!$C$11^Param!$B$3)*1_Friction!L46</f>
        <v>0</v>
      </c>
      <c r="M46" s="0" t="n">
        <f aca="false">Offre!$E$12*(Offre!$C$12^Param!$B$3)*1_Friction!M46</f>
        <v>0</v>
      </c>
      <c r="N46" s="0" t="n">
        <f aca="false">Offre!$E$13*(Offre!$C$13^Param!$B$3)*1_Friction!N46</f>
        <v>0</v>
      </c>
      <c r="O46" s="0" t="n">
        <f aca="false">Offre!$E$14*(Offre!$C$14^Param!$B$3)*1_Friction!O46</f>
        <v>0</v>
      </c>
      <c r="P46" s="0" t="n">
        <f aca="false">Offre!$E$15*(Offre!$C$15^Param!$B$3)*1_Friction!P46</f>
        <v>0</v>
      </c>
      <c r="Q46" s="0" t="n">
        <f aca="false">Offre!$E$16*(Offre!$C$16^Param!$B$3)*1_Friction!Q46</f>
        <v>0</v>
      </c>
      <c r="R46" s="0" t="n">
        <f aca="false">Offre!$E$17*(Offre!$C$17^Param!$B$3)*1_Friction!R46</f>
        <v>0</v>
      </c>
      <c r="S46" s="0" t="n">
        <f aca="false">Offre!$E$18*(Offre!$C$18^Param!$B$3)*1_Friction!S46</f>
        <v>0</v>
      </c>
      <c r="T46" s="0" t="n">
        <f aca="false">Offre!$E$19*(Offre!$C$19^Param!$B$3)*1_Friction!T46</f>
        <v>0</v>
      </c>
      <c r="U46" s="0" t="n">
        <f aca="false">Offre!$E$20*(Offre!$C$20^Param!$B$3)*1_Friction!U46</f>
        <v>0</v>
      </c>
      <c r="V46" s="0" t="n">
        <f aca="false">Offre!$E$21*(Offre!$C$21^Param!$B$3)*1_Friction!V46</f>
        <v>0</v>
      </c>
      <c r="W46" s="0" t="n">
        <f aca="false">Offre!$E$22*(Offre!$C$22^Param!$B$3)*1_Friction!W46</f>
        <v>0</v>
      </c>
      <c r="X46" s="0" t="n">
        <f aca="false">Offre!$E$23*(Offre!$C$23^Param!$B$3)*1_Friction!X46</f>
        <v>0</v>
      </c>
      <c r="Y46" s="0" t="n">
        <f aca="false">Offre!$E$24*(Offre!$C$24^Param!$B$3)*1_Friction!Y46</f>
        <v>0</v>
      </c>
      <c r="Z46" s="0" t="n">
        <f aca="false">Offre!$E$25*(Offre!$C$25^Param!$B$3)*1_Friction!Z46</f>
        <v>0</v>
      </c>
      <c r="AA46" s="0" t="n">
        <f aca="false">Offre!$E$26*(Offre!$C$26^Param!$B$3)*1_Friction!AA46</f>
        <v>0</v>
      </c>
      <c r="AB46" s="0" t="n">
        <f aca="false">Offre!$E$27*(Offre!$C$27^Param!$B$3)*1_Friction!AB46</f>
        <v>0</v>
      </c>
      <c r="AC46" s="0" t="n">
        <f aca="false">Offre!$E$28*(Offre!$C$28^Param!$B$3)*1_Friction!AC46</f>
        <v>0</v>
      </c>
      <c r="AD46" s="0" t="n">
        <f aca="false">Offre!$E$29*(Offre!$C$29^Param!$B$3)*1_Friction!AD46</f>
        <v>0</v>
      </c>
      <c r="AE46" s="0" t="n">
        <f aca="false">Offre!$E$30*(Offre!$C$30^Param!$B$3)*1_Friction!AE46</f>
        <v>0</v>
      </c>
      <c r="AF46" s="0" t="n">
        <f aca="false">Offre!$E$31*(Offre!$C$31^Param!$B$3)*1_Friction!AF46</f>
        <v>0</v>
      </c>
      <c r="AG46" s="0" t="n">
        <f aca="false">Offre!$E$32*(Offre!$C$32^Param!$B$3)*1_Friction!AG46</f>
        <v>0.746028979523814</v>
      </c>
      <c r="AH46" s="0" t="n">
        <f aca="false">Offre!$E$33*(Offre!$C$33^Param!$B$3)*1_Friction!AH46</f>
        <v>0</v>
      </c>
      <c r="AI46" s="0" t="n">
        <f aca="false">Offre!$E$34*(Offre!$C$34^Param!$B$3)*1_Friction!AI46</f>
        <v>0</v>
      </c>
      <c r="AJ46" s="0" t="n">
        <f aca="false">Offre!$E$35*(Offre!$C$35^Param!$B$3)*1_Friction!AJ46</f>
        <v>0</v>
      </c>
      <c r="AK46" s="0" t="n">
        <f aca="false">Offre!$E$36*(Offre!$C$36^Param!$B$3)*1_Friction!AK46</f>
        <v>0</v>
      </c>
      <c r="AL46" s="0" t="n">
        <f aca="false">Offre!$E$37*(Offre!$C$37^Param!$B$3)*1_Friction!AL46</f>
        <v>0</v>
      </c>
      <c r="AM46" s="0" t="n">
        <f aca="false">Offre!$E$38*(Offre!$C$38^Param!$B$3)*1_Friction!AM46</f>
        <v>0</v>
      </c>
      <c r="AN46" s="0" t="n">
        <f aca="false">Offre!$E$39*(Offre!$C$39^Param!$B$3)*1_Friction!AN46</f>
        <v>34.6818695811246</v>
      </c>
      <c r="AO46" s="0" t="n">
        <f aca="false">SUM(C46:AN46)</f>
        <v>35.4278985606485</v>
      </c>
    </row>
    <row r="47" customFormat="false" ht="15" hidden="false" customHeight="true" outlineLevel="0" collapsed="false">
      <c r="A47" s="0" t="s">
        <v>192</v>
      </c>
      <c r="B47" s="0" t="s">
        <v>193</v>
      </c>
      <c r="C47" s="0" t="n">
        <f aca="false">Offre!$E$2*(Offre!$C$2^Param!$B$3)*1_Friction!C47</f>
        <v>0</v>
      </c>
      <c r="D47" s="0" t="n">
        <f aca="false">Offre!$E$3*(Offre!$C$3^Param!$B$3)*1_Friction!D47</f>
        <v>0</v>
      </c>
      <c r="E47" s="0" t="n">
        <f aca="false">Offre!$E$4*(Offre!$C$4^Param!$B$3)*1_Friction!E47</f>
        <v>0</v>
      </c>
      <c r="F47" s="0" t="n">
        <f aca="false">Offre!$E$5*(Offre!$C$5^Param!$B$3)*1_Friction!F47</f>
        <v>0</v>
      </c>
      <c r="G47" s="0" t="n">
        <f aca="false">Offre!$E$6*(Offre!$C$6^Param!$B$3)*1_Friction!G47</f>
        <v>0</v>
      </c>
      <c r="H47" s="0" t="n">
        <f aca="false">Offre!$E$7*(Offre!$C$7^Param!$B$3)*1_Friction!H47</f>
        <v>0</v>
      </c>
      <c r="I47" s="0" t="n">
        <f aca="false">Offre!$E$8*(Offre!$C$8^Param!$B$3)*1_Friction!I47</f>
        <v>0</v>
      </c>
      <c r="J47" s="0" t="n">
        <f aca="false">Offre!$E$9*(Offre!$C$9^Param!$B$3)*1_Friction!J47</f>
        <v>0</v>
      </c>
      <c r="K47" s="0" t="n">
        <f aca="false">Offre!$E$10*(Offre!$C$10^Param!$B$3)*1_Friction!K47</f>
        <v>0</v>
      </c>
      <c r="L47" s="0" t="n">
        <f aca="false">Offre!$E$11*(Offre!$C$11^Param!$B$3)*1_Friction!L47</f>
        <v>0</v>
      </c>
      <c r="M47" s="0" t="n">
        <f aca="false">Offre!$E$12*(Offre!$C$12^Param!$B$3)*1_Friction!M47</f>
        <v>0</v>
      </c>
      <c r="N47" s="0" t="n">
        <f aca="false">Offre!$E$13*(Offre!$C$13^Param!$B$3)*1_Friction!N47</f>
        <v>0</v>
      </c>
      <c r="O47" s="0" t="n">
        <f aca="false">Offre!$E$14*(Offre!$C$14^Param!$B$3)*1_Friction!O47</f>
        <v>0</v>
      </c>
      <c r="P47" s="0" t="n">
        <f aca="false">Offre!$E$15*(Offre!$C$15^Param!$B$3)*1_Friction!P47</f>
        <v>0</v>
      </c>
      <c r="Q47" s="0" t="n">
        <f aca="false">Offre!$E$16*(Offre!$C$16^Param!$B$3)*1_Friction!Q47</f>
        <v>0</v>
      </c>
      <c r="R47" s="0" t="n">
        <f aca="false">Offre!$E$17*(Offre!$C$17^Param!$B$3)*1_Friction!R47</f>
        <v>0</v>
      </c>
      <c r="S47" s="0" t="n">
        <f aca="false">Offre!$E$18*(Offre!$C$18^Param!$B$3)*1_Friction!S47</f>
        <v>0</v>
      </c>
      <c r="T47" s="0" t="n">
        <f aca="false">Offre!$E$19*(Offre!$C$19^Param!$B$3)*1_Friction!T47</f>
        <v>0</v>
      </c>
      <c r="U47" s="0" t="n">
        <f aca="false">Offre!$E$20*(Offre!$C$20^Param!$B$3)*1_Friction!U47</f>
        <v>0</v>
      </c>
      <c r="V47" s="0" t="n">
        <f aca="false">Offre!$E$21*(Offre!$C$21^Param!$B$3)*1_Friction!V47</f>
        <v>0</v>
      </c>
      <c r="W47" s="0" t="n">
        <f aca="false">Offre!$E$22*(Offre!$C$22^Param!$B$3)*1_Friction!W47</f>
        <v>0</v>
      </c>
      <c r="X47" s="0" t="n">
        <f aca="false">Offre!$E$23*(Offre!$C$23^Param!$B$3)*1_Friction!X47</f>
        <v>0</v>
      </c>
      <c r="Y47" s="0" t="n">
        <f aca="false">Offre!$E$24*(Offre!$C$24^Param!$B$3)*1_Friction!Y47</f>
        <v>0</v>
      </c>
      <c r="Z47" s="0" t="n">
        <f aca="false">Offre!$E$25*(Offre!$C$25^Param!$B$3)*1_Friction!Z47</f>
        <v>0</v>
      </c>
      <c r="AA47" s="0" t="n">
        <f aca="false">Offre!$E$26*(Offre!$C$26^Param!$B$3)*1_Friction!AA47</f>
        <v>0</v>
      </c>
      <c r="AB47" s="0" t="n">
        <f aca="false">Offre!$E$27*(Offre!$C$27^Param!$B$3)*1_Friction!AB47</f>
        <v>0</v>
      </c>
      <c r="AC47" s="0" t="n">
        <f aca="false">Offre!$E$28*(Offre!$C$28^Param!$B$3)*1_Friction!AC47</f>
        <v>0</v>
      </c>
      <c r="AD47" s="0" t="n">
        <f aca="false">Offre!$E$29*(Offre!$C$29^Param!$B$3)*1_Friction!AD47</f>
        <v>0</v>
      </c>
      <c r="AE47" s="0" t="n">
        <f aca="false">Offre!$E$30*(Offre!$C$30^Param!$B$3)*1_Friction!AE47</f>
        <v>0</v>
      </c>
      <c r="AF47" s="0" t="n">
        <f aca="false">Offre!$E$31*(Offre!$C$31^Param!$B$3)*1_Friction!AF47</f>
        <v>0</v>
      </c>
      <c r="AG47" s="0" t="n">
        <f aca="false">Offre!$E$32*(Offre!$C$32^Param!$B$3)*1_Friction!AG47</f>
        <v>0</v>
      </c>
      <c r="AH47" s="0" t="n">
        <f aca="false">Offre!$E$33*(Offre!$C$33^Param!$B$3)*1_Friction!AH47</f>
        <v>0</v>
      </c>
      <c r="AI47" s="0" t="n">
        <f aca="false">Offre!$E$34*(Offre!$C$34^Param!$B$3)*1_Friction!AI47</f>
        <v>0</v>
      </c>
      <c r="AJ47" s="0" t="n">
        <f aca="false">Offre!$E$35*(Offre!$C$35^Param!$B$3)*1_Friction!AJ47</f>
        <v>0</v>
      </c>
      <c r="AK47" s="0" t="n">
        <f aca="false">Offre!$E$36*(Offre!$C$36^Param!$B$3)*1_Friction!AK47</f>
        <v>0</v>
      </c>
      <c r="AL47" s="0" t="n">
        <f aca="false">Offre!$E$37*(Offre!$C$37^Param!$B$3)*1_Friction!AL47</f>
        <v>0</v>
      </c>
      <c r="AM47" s="0" t="n">
        <f aca="false">Offre!$E$38*(Offre!$C$38^Param!$B$3)*1_Friction!AM47</f>
        <v>0</v>
      </c>
      <c r="AN47" s="0" t="n">
        <f aca="false">Offre!$E$39*(Offre!$C$39^Param!$B$3)*1_Friction!AN47</f>
        <v>17.0898034792861</v>
      </c>
      <c r="AO47" s="0" t="n">
        <f aca="false">SUM(C47:AN47)</f>
        <v>17.0898034792861</v>
      </c>
    </row>
    <row r="48" customFormat="false" ht="15" hidden="false" customHeight="true" outlineLevel="0" collapsed="false">
      <c r="A48" s="0" t="s">
        <v>194</v>
      </c>
      <c r="B48" s="0" t="s">
        <v>195</v>
      </c>
      <c r="C48" s="0" t="n">
        <f aca="false">Offre!$E$2*(Offre!$C$2^Param!$B$3)*1_Friction!C48</f>
        <v>0</v>
      </c>
      <c r="D48" s="0" t="n">
        <f aca="false">Offre!$E$3*(Offre!$C$3^Param!$B$3)*1_Friction!D48</f>
        <v>0</v>
      </c>
      <c r="E48" s="0" t="n">
        <f aca="false">Offre!$E$4*(Offre!$C$4^Param!$B$3)*1_Friction!E48</f>
        <v>0</v>
      </c>
      <c r="F48" s="0" t="n">
        <f aca="false">Offre!$E$5*(Offre!$C$5^Param!$B$3)*1_Friction!F48</f>
        <v>0</v>
      </c>
      <c r="G48" s="0" t="n">
        <f aca="false">Offre!$E$6*(Offre!$C$6^Param!$B$3)*1_Friction!G48</f>
        <v>0</v>
      </c>
      <c r="H48" s="0" t="n">
        <f aca="false">Offre!$E$7*(Offre!$C$7^Param!$B$3)*1_Friction!H48</f>
        <v>0</v>
      </c>
      <c r="I48" s="0" t="n">
        <f aca="false">Offre!$E$8*(Offre!$C$8^Param!$B$3)*1_Friction!I48</f>
        <v>0</v>
      </c>
      <c r="J48" s="0" t="n">
        <f aca="false">Offre!$E$9*(Offre!$C$9^Param!$B$3)*1_Friction!J48</f>
        <v>0</v>
      </c>
      <c r="K48" s="0" t="n">
        <f aca="false">Offre!$E$10*(Offre!$C$10^Param!$B$3)*1_Friction!K48</f>
        <v>0</v>
      </c>
      <c r="L48" s="0" t="n">
        <f aca="false">Offre!$E$11*(Offre!$C$11^Param!$B$3)*1_Friction!L48</f>
        <v>0</v>
      </c>
      <c r="M48" s="0" t="n">
        <f aca="false">Offre!$E$12*(Offre!$C$12^Param!$B$3)*1_Friction!M48</f>
        <v>0</v>
      </c>
      <c r="N48" s="0" t="n">
        <f aca="false">Offre!$E$13*(Offre!$C$13^Param!$B$3)*1_Friction!N48</f>
        <v>0</v>
      </c>
      <c r="O48" s="0" t="n">
        <f aca="false">Offre!$E$14*(Offre!$C$14^Param!$B$3)*1_Friction!O48</f>
        <v>0</v>
      </c>
      <c r="P48" s="0" t="n">
        <f aca="false">Offre!$E$15*(Offre!$C$15^Param!$B$3)*1_Friction!P48</f>
        <v>0</v>
      </c>
      <c r="Q48" s="0" t="n">
        <f aca="false">Offre!$E$16*(Offre!$C$16^Param!$B$3)*1_Friction!Q48</f>
        <v>0</v>
      </c>
      <c r="R48" s="0" t="n">
        <f aca="false">Offre!$E$17*(Offre!$C$17^Param!$B$3)*1_Friction!R48</f>
        <v>0</v>
      </c>
      <c r="S48" s="0" t="n">
        <f aca="false">Offre!$E$18*(Offre!$C$18^Param!$B$3)*1_Friction!S48</f>
        <v>0</v>
      </c>
      <c r="T48" s="0" t="n">
        <f aca="false">Offre!$E$19*(Offre!$C$19^Param!$B$3)*1_Friction!T48</f>
        <v>0</v>
      </c>
      <c r="U48" s="0" t="n">
        <f aca="false">Offre!$E$20*(Offre!$C$20^Param!$B$3)*1_Friction!U48</f>
        <v>0</v>
      </c>
      <c r="V48" s="0" t="n">
        <f aca="false">Offre!$E$21*(Offre!$C$21^Param!$B$3)*1_Friction!V48</f>
        <v>0</v>
      </c>
      <c r="W48" s="0" t="n">
        <f aca="false">Offre!$E$22*(Offre!$C$22^Param!$B$3)*1_Friction!W48</f>
        <v>0</v>
      </c>
      <c r="X48" s="0" t="n">
        <f aca="false">Offre!$E$23*(Offre!$C$23^Param!$B$3)*1_Friction!X48</f>
        <v>0</v>
      </c>
      <c r="Y48" s="0" t="n">
        <f aca="false">Offre!$E$24*(Offre!$C$24^Param!$B$3)*1_Friction!Y48</f>
        <v>0</v>
      </c>
      <c r="Z48" s="0" t="n">
        <f aca="false">Offre!$E$25*(Offre!$C$25^Param!$B$3)*1_Friction!Z48</f>
        <v>0</v>
      </c>
      <c r="AA48" s="0" t="n">
        <f aca="false">Offre!$E$26*(Offre!$C$26^Param!$B$3)*1_Friction!AA48</f>
        <v>0</v>
      </c>
      <c r="AB48" s="0" t="n">
        <f aca="false">Offre!$E$27*(Offre!$C$27^Param!$B$3)*1_Friction!AB48</f>
        <v>0</v>
      </c>
      <c r="AC48" s="0" t="n">
        <f aca="false">Offre!$E$28*(Offre!$C$28^Param!$B$3)*1_Friction!AC48</f>
        <v>0</v>
      </c>
      <c r="AD48" s="0" t="n">
        <f aca="false">Offre!$E$29*(Offre!$C$29^Param!$B$3)*1_Friction!AD48</f>
        <v>0</v>
      </c>
      <c r="AE48" s="0" t="n">
        <f aca="false">Offre!$E$30*(Offre!$C$30^Param!$B$3)*1_Friction!AE48</f>
        <v>0</v>
      </c>
      <c r="AF48" s="0" t="n">
        <f aca="false">Offre!$E$31*(Offre!$C$31^Param!$B$3)*1_Friction!AF48</f>
        <v>0</v>
      </c>
      <c r="AG48" s="0" t="n">
        <f aca="false">Offre!$E$32*(Offre!$C$32^Param!$B$3)*1_Friction!AG48</f>
        <v>0</v>
      </c>
      <c r="AH48" s="0" t="n">
        <f aca="false">Offre!$E$33*(Offre!$C$33^Param!$B$3)*1_Friction!AH48</f>
        <v>0</v>
      </c>
      <c r="AI48" s="0" t="n">
        <f aca="false">Offre!$E$34*(Offre!$C$34^Param!$B$3)*1_Friction!AI48</f>
        <v>0</v>
      </c>
      <c r="AJ48" s="0" t="n">
        <f aca="false">Offre!$E$35*(Offre!$C$35^Param!$B$3)*1_Friction!AJ48</f>
        <v>0</v>
      </c>
      <c r="AK48" s="0" t="n">
        <f aca="false">Offre!$E$36*(Offre!$C$36^Param!$B$3)*1_Friction!AK48</f>
        <v>0</v>
      </c>
      <c r="AL48" s="0" t="n">
        <f aca="false">Offre!$E$37*(Offre!$C$37^Param!$B$3)*1_Friction!AL48</f>
        <v>0</v>
      </c>
      <c r="AM48" s="0" t="n">
        <f aca="false">Offre!$E$38*(Offre!$C$38^Param!$B$3)*1_Friction!AM48</f>
        <v>0</v>
      </c>
      <c r="AN48" s="0" t="n">
        <f aca="false">Offre!$E$39*(Offre!$C$39^Param!$B$3)*1_Friction!AN48</f>
        <v>5.24743352025546</v>
      </c>
      <c r="AO48" s="0" t="n">
        <f aca="false">SUM(C48:AN48)</f>
        <v>5.24743352025546</v>
      </c>
    </row>
    <row r="49" customFormat="false" ht="15" hidden="false" customHeight="true" outlineLevel="0" collapsed="false">
      <c r="A49" s="0" t="s">
        <v>196</v>
      </c>
      <c r="B49" s="0" t="s">
        <v>197</v>
      </c>
      <c r="C49" s="0" t="n">
        <f aca="false">Offre!$E$2*(Offre!$C$2^Param!$B$3)*1_Friction!C49</f>
        <v>0</v>
      </c>
      <c r="D49" s="0" t="n">
        <f aca="false">Offre!$E$3*(Offre!$C$3^Param!$B$3)*1_Friction!D49</f>
        <v>0</v>
      </c>
      <c r="E49" s="0" t="n">
        <f aca="false">Offre!$E$4*(Offre!$C$4^Param!$B$3)*1_Friction!E49</f>
        <v>0</v>
      </c>
      <c r="F49" s="0" t="n">
        <f aca="false">Offre!$E$5*(Offre!$C$5^Param!$B$3)*1_Friction!F49</f>
        <v>0</v>
      </c>
      <c r="G49" s="0" t="n">
        <f aca="false">Offre!$E$6*(Offre!$C$6^Param!$B$3)*1_Friction!G49</f>
        <v>0</v>
      </c>
      <c r="H49" s="0" t="n">
        <f aca="false">Offre!$E$7*(Offre!$C$7^Param!$B$3)*1_Friction!H49</f>
        <v>0</v>
      </c>
      <c r="I49" s="0" t="n">
        <f aca="false">Offre!$E$8*(Offre!$C$8^Param!$B$3)*1_Friction!I49</f>
        <v>0</v>
      </c>
      <c r="J49" s="0" t="n">
        <f aca="false">Offre!$E$9*(Offre!$C$9^Param!$B$3)*1_Friction!J49</f>
        <v>0</v>
      </c>
      <c r="K49" s="0" t="n">
        <f aca="false">Offre!$E$10*(Offre!$C$10^Param!$B$3)*1_Friction!K49</f>
        <v>0</v>
      </c>
      <c r="L49" s="0" t="n">
        <f aca="false">Offre!$E$11*(Offre!$C$11^Param!$B$3)*1_Friction!L49</f>
        <v>0</v>
      </c>
      <c r="M49" s="0" t="n">
        <f aca="false">Offre!$E$12*(Offre!$C$12^Param!$B$3)*1_Friction!M49</f>
        <v>0</v>
      </c>
      <c r="N49" s="0" t="n">
        <f aca="false">Offre!$E$13*(Offre!$C$13^Param!$B$3)*1_Friction!N49</f>
        <v>0</v>
      </c>
      <c r="O49" s="0" t="n">
        <f aca="false">Offre!$E$14*(Offre!$C$14^Param!$B$3)*1_Friction!O49</f>
        <v>0</v>
      </c>
      <c r="P49" s="0" t="n">
        <f aca="false">Offre!$E$15*(Offre!$C$15^Param!$B$3)*1_Friction!P49</f>
        <v>0</v>
      </c>
      <c r="Q49" s="0" t="n">
        <f aca="false">Offre!$E$16*(Offre!$C$16^Param!$B$3)*1_Friction!Q49</f>
        <v>0</v>
      </c>
      <c r="R49" s="0" t="n">
        <f aca="false">Offre!$E$17*(Offre!$C$17^Param!$B$3)*1_Friction!R49</f>
        <v>0</v>
      </c>
      <c r="S49" s="0" t="n">
        <f aca="false">Offre!$E$18*(Offre!$C$18^Param!$B$3)*1_Friction!S49</f>
        <v>0</v>
      </c>
      <c r="T49" s="0" t="n">
        <f aca="false">Offre!$E$19*(Offre!$C$19^Param!$B$3)*1_Friction!T49</f>
        <v>0</v>
      </c>
      <c r="U49" s="0" t="n">
        <f aca="false">Offre!$E$20*(Offre!$C$20^Param!$B$3)*1_Friction!U49</f>
        <v>0</v>
      </c>
      <c r="V49" s="0" t="n">
        <f aca="false">Offre!$E$21*(Offre!$C$21^Param!$B$3)*1_Friction!V49</f>
        <v>0</v>
      </c>
      <c r="W49" s="0" t="n">
        <f aca="false">Offre!$E$22*(Offre!$C$22^Param!$B$3)*1_Friction!W49</f>
        <v>0</v>
      </c>
      <c r="X49" s="0" t="n">
        <f aca="false">Offre!$E$23*(Offre!$C$23^Param!$B$3)*1_Friction!X49</f>
        <v>0</v>
      </c>
      <c r="Y49" s="0" t="n">
        <f aca="false">Offre!$E$24*(Offre!$C$24^Param!$B$3)*1_Friction!Y49</f>
        <v>0</v>
      </c>
      <c r="Z49" s="0" t="n">
        <f aca="false">Offre!$E$25*(Offre!$C$25^Param!$B$3)*1_Friction!Z49</f>
        <v>0</v>
      </c>
      <c r="AA49" s="0" t="n">
        <f aca="false">Offre!$E$26*(Offre!$C$26^Param!$B$3)*1_Friction!AA49</f>
        <v>0</v>
      </c>
      <c r="AB49" s="0" t="n">
        <f aca="false">Offre!$E$27*(Offre!$C$27^Param!$B$3)*1_Friction!AB49</f>
        <v>0</v>
      </c>
      <c r="AC49" s="0" t="n">
        <f aca="false">Offre!$E$28*(Offre!$C$28^Param!$B$3)*1_Friction!AC49</f>
        <v>0</v>
      </c>
      <c r="AD49" s="0" t="n">
        <f aca="false">Offre!$E$29*(Offre!$C$29^Param!$B$3)*1_Friction!AD49</f>
        <v>0</v>
      </c>
      <c r="AE49" s="0" t="n">
        <f aca="false">Offre!$E$30*(Offre!$C$30^Param!$B$3)*1_Friction!AE49</f>
        <v>0</v>
      </c>
      <c r="AF49" s="0" t="n">
        <f aca="false">Offre!$E$31*(Offre!$C$31^Param!$B$3)*1_Friction!AF49</f>
        <v>0</v>
      </c>
      <c r="AG49" s="0" t="n">
        <f aca="false">Offre!$E$32*(Offre!$C$32^Param!$B$3)*1_Friction!AG49</f>
        <v>0</v>
      </c>
      <c r="AH49" s="0" t="n">
        <f aca="false">Offre!$E$33*(Offre!$C$33^Param!$B$3)*1_Friction!AH49</f>
        <v>0</v>
      </c>
      <c r="AI49" s="0" t="n">
        <f aca="false">Offre!$E$34*(Offre!$C$34^Param!$B$3)*1_Friction!AI49</f>
        <v>0</v>
      </c>
      <c r="AJ49" s="0" t="n">
        <f aca="false">Offre!$E$35*(Offre!$C$35^Param!$B$3)*1_Friction!AJ49</f>
        <v>0</v>
      </c>
      <c r="AK49" s="0" t="n">
        <f aca="false">Offre!$E$36*(Offre!$C$36^Param!$B$3)*1_Friction!AK49</f>
        <v>0</v>
      </c>
      <c r="AL49" s="0" t="n">
        <f aca="false">Offre!$E$37*(Offre!$C$37^Param!$B$3)*1_Friction!AL49</f>
        <v>0</v>
      </c>
      <c r="AM49" s="0" t="n">
        <f aca="false">Offre!$E$38*(Offre!$C$38^Param!$B$3)*1_Friction!AM49</f>
        <v>0</v>
      </c>
      <c r="AN49" s="0" t="n">
        <f aca="false">Offre!$E$39*(Offre!$C$39^Param!$B$3)*1_Friction!AN49</f>
        <v>1.7983750908197</v>
      </c>
      <c r="AO49" s="0" t="n">
        <f aca="false">SUM(C49:AN49)</f>
        <v>1.7983750908197</v>
      </c>
    </row>
    <row r="50" customFormat="false" ht="15" hidden="false" customHeight="true" outlineLevel="0" collapsed="false">
      <c r="A50" s="0" t="s">
        <v>198</v>
      </c>
      <c r="B50" s="0" t="s">
        <v>199</v>
      </c>
      <c r="C50" s="0" t="n">
        <f aca="false">Offre!$E$2*(Offre!$C$2^Param!$B$3)*1_Friction!C50</f>
        <v>0</v>
      </c>
      <c r="D50" s="0" t="n">
        <f aca="false">Offre!$E$3*(Offre!$C$3^Param!$B$3)*1_Friction!D50</f>
        <v>0</v>
      </c>
      <c r="E50" s="0" t="n">
        <f aca="false">Offre!$E$4*(Offre!$C$4^Param!$B$3)*1_Friction!E50</f>
        <v>0</v>
      </c>
      <c r="F50" s="0" t="n">
        <f aca="false">Offre!$E$5*(Offre!$C$5^Param!$B$3)*1_Friction!F50</f>
        <v>0</v>
      </c>
      <c r="G50" s="0" t="n">
        <f aca="false">Offre!$E$6*(Offre!$C$6^Param!$B$3)*1_Friction!G50</f>
        <v>0</v>
      </c>
      <c r="H50" s="0" t="n">
        <f aca="false">Offre!$E$7*(Offre!$C$7^Param!$B$3)*1_Friction!H50</f>
        <v>0</v>
      </c>
      <c r="I50" s="0" t="n">
        <f aca="false">Offre!$E$8*(Offre!$C$8^Param!$B$3)*1_Friction!I50</f>
        <v>0</v>
      </c>
      <c r="J50" s="0" t="n">
        <f aca="false">Offre!$E$9*(Offre!$C$9^Param!$B$3)*1_Friction!J50</f>
        <v>0</v>
      </c>
      <c r="K50" s="0" t="n">
        <f aca="false">Offre!$E$10*(Offre!$C$10^Param!$B$3)*1_Friction!K50</f>
        <v>0</v>
      </c>
      <c r="L50" s="0" t="n">
        <f aca="false">Offre!$E$11*(Offre!$C$11^Param!$B$3)*1_Friction!L50</f>
        <v>0</v>
      </c>
      <c r="M50" s="0" t="n">
        <f aca="false">Offre!$E$12*(Offre!$C$12^Param!$B$3)*1_Friction!M50</f>
        <v>0</v>
      </c>
      <c r="N50" s="0" t="n">
        <f aca="false">Offre!$E$13*(Offre!$C$13^Param!$B$3)*1_Friction!N50</f>
        <v>0</v>
      </c>
      <c r="O50" s="0" t="n">
        <f aca="false">Offre!$E$14*(Offre!$C$14^Param!$B$3)*1_Friction!O50</f>
        <v>0</v>
      </c>
      <c r="P50" s="0" t="n">
        <f aca="false">Offre!$E$15*(Offre!$C$15^Param!$B$3)*1_Friction!P50</f>
        <v>0</v>
      </c>
      <c r="Q50" s="0" t="n">
        <f aca="false">Offre!$E$16*(Offre!$C$16^Param!$B$3)*1_Friction!Q50</f>
        <v>0</v>
      </c>
      <c r="R50" s="0" t="n">
        <f aca="false">Offre!$E$17*(Offre!$C$17^Param!$B$3)*1_Friction!R50</f>
        <v>0</v>
      </c>
      <c r="S50" s="0" t="n">
        <f aca="false">Offre!$E$18*(Offre!$C$18^Param!$B$3)*1_Friction!S50</f>
        <v>0</v>
      </c>
      <c r="T50" s="0" t="n">
        <f aca="false">Offre!$E$19*(Offre!$C$19^Param!$B$3)*1_Friction!T50</f>
        <v>0</v>
      </c>
      <c r="U50" s="0" t="n">
        <f aca="false">Offre!$E$20*(Offre!$C$20^Param!$B$3)*1_Friction!U50</f>
        <v>0</v>
      </c>
      <c r="V50" s="0" t="n">
        <f aca="false">Offre!$E$21*(Offre!$C$21^Param!$B$3)*1_Friction!V50</f>
        <v>0</v>
      </c>
      <c r="W50" s="0" t="n">
        <f aca="false">Offre!$E$22*(Offre!$C$22^Param!$B$3)*1_Friction!W50</f>
        <v>0</v>
      </c>
      <c r="X50" s="0" t="n">
        <f aca="false">Offre!$E$23*(Offre!$C$23^Param!$B$3)*1_Friction!X50</f>
        <v>0</v>
      </c>
      <c r="Y50" s="0" t="n">
        <f aca="false">Offre!$E$24*(Offre!$C$24^Param!$B$3)*1_Friction!Y50</f>
        <v>0</v>
      </c>
      <c r="Z50" s="0" t="n">
        <f aca="false">Offre!$E$25*(Offre!$C$25^Param!$B$3)*1_Friction!Z50</f>
        <v>0</v>
      </c>
      <c r="AA50" s="0" t="n">
        <f aca="false">Offre!$E$26*(Offre!$C$26^Param!$B$3)*1_Friction!AA50</f>
        <v>0</v>
      </c>
      <c r="AB50" s="0" t="n">
        <f aca="false">Offre!$E$27*(Offre!$C$27^Param!$B$3)*1_Friction!AB50</f>
        <v>0</v>
      </c>
      <c r="AC50" s="0" t="n">
        <f aca="false">Offre!$E$28*(Offre!$C$28^Param!$B$3)*1_Friction!AC50</f>
        <v>0</v>
      </c>
      <c r="AD50" s="0" t="n">
        <f aca="false">Offre!$E$29*(Offre!$C$29^Param!$B$3)*1_Friction!AD50</f>
        <v>0</v>
      </c>
      <c r="AE50" s="0" t="n">
        <f aca="false">Offre!$E$30*(Offre!$C$30^Param!$B$3)*1_Friction!AE50</f>
        <v>0</v>
      </c>
      <c r="AF50" s="0" t="n">
        <f aca="false">Offre!$E$31*(Offre!$C$31^Param!$B$3)*1_Friction!AF50</f>
        <v>0</v>
      </c>
      <c r="AG50" s="0" t="n">
        <f aca="false">Offre!$E$32*(Offre!$C$32^Param!$B$3)*1_Friction!AG50</f>
        <v>0</v>
      </c>
      <c r="AH50" s="0" t="n">
        <f aca="false">Offre!$E$33*(Offre!$C$33^Param!$B$3)*1_Friction!AH50</f>
        <v>0</v>
      </c>
      <c r="AI50" s="0" t="n">
        <f aca="false">Offre!$E$34*(Offre!$C$34^Param!$B$3)*1_Friction!AI50</f>
        <v>0</v>
      </c>
      <c r="AJ50" s="0" t="n">
        <f aca="false">Offre!$E$35*(Offre!$C$35^Param!$B$3)*1_Friction!AJ50</f>
        <v>0</v>
      </c>
      <c r="AK50" s="0" t="n">
        <f aca="false">Offre!$E$36*(Offre!$C$36^Param!$B$3)*1_Friction!AK50</f>
        <v>0</v>
      </c>
      <c r="AL50" s="0" t="n">
        <f aca="false">Offre!$E$37*(Offre!$C$37^Param!$B$3)*1_Friction!AL50</f>
        <v>0</v>
      </c>
      <c r="AM50" s="0" t="n">
        <f aca="false">Offre!$E$38*(Offre!$C$38^Param!$B$3)*1_Friction!AM50</f>
        <v>0</v>
      </c>
      <c r="AN50" s="0" t="n">
        <f aca="false">Offre!$E$39*(Offre!$C$39^Param!$B$3)*1_Friction!AN50</f>
        <v>0</v>
      </c>
      <c r="AO50" s="0" t="n">
        <f aca="false">SUM(C50:AN50)</f>
        <v>0</v>
      </c>
    </row>
    <row r="51" customFormat="false" ht="15" hidden="false" customHeight="true" outlineLevel="0" collapsed="false">
      <c r="A51" s="0" t="s">
        <v>200</v>
      </c>
      <c r="B51" s="0" t="s">
        <v>201</v>
      </c>
      <c r="C51" s="0" t="n">
        <f aca="false">Offre!$E$2*(Offre!$C$2^Param!$B$3)*1_Friction!C51</f>
        <v>0</v>
      </c>
      <c r="D51" s="0" t="n">
        <f aca="false">Offre!$E$3*(Offre!$C$3^Param!$B$3)*1_Friction!D51</f>
        <v>0</v>
      </c>
      <c r="E51" s="0" t="n">
        <f aca="false">Offre!$E$4*(Offre!$C$4^Param!$B$3)*1_Friction!E51</f>
        <v>0</v>
      </c>
      <c r="F51" s="0" t="n">
        <f aca="false">Offre!$E$5*(Offre!$C$5^Param!$B$3)*1_Friction!F51</f>
        <v>0</v>
      </c>
      <c r="G51" s="0" t="n">
        <f aca="false">Offre!$E$6*(Offre!$C$6^Param!$B$3)*1_Friction!G51</f>
        <v>0</v>
      </c>
      <c r="H51" s="0" t="n">
        <f aca="false">Offre!$E$7*(Offre!$C$7^Param!$B$3)*1_Friction!H51</f>
        <v>0</v>
      </c>
      <c r="I51" s="0" t="n">
        <f aca="false">Offre!$E$8*(Offre!$C$8^Param!$B$3)*1_Friction!I51</f>
        <v>0</v>
      </c>
      <c r="J51" s="0" t="n">
        <f aca="false">Offre!$E$9*(Offre!$C$9^Param!$B$3)*1_Friction!J51</f>
        <v>0</v>
      </c>
      <c r="K51" s="0" t="n">
        <f aca="false">Offre!$E$10*(Offre!$C$10^Param!$B$3)*1_Friction!K51</f>
        <v>0</v>
      </c>
      <c r="L51" s="0" t="n">
        <f aca="false">Offre!$E$11*(Offre!$C$11^Param!$B$3)*1_Friction!L51</f>
        <v>0</v>
      </c>
      <c r="M51" s="0" t="n">
        <f aca="false">Offre!$E$12*(Offre!$C$12^Param!$B$3)*1_Friction!M51</f>
        <v>0</v>
      </c>
      <c r="N51" s="0" t="n">
        <f aca="false">Offre!$E$13*(Offre!$C$13^Param!$B$3)*1_Friction!N51</f>
        <v>0</v>
      </c>
      <c r="O51" s="0" t="n">
        <f aca="false">Offre!$E$14*(Offre!$C$14^Param!$B$3)*1_Friction!O51</f>
        <v>0</v>
      </c>
      <c r="P51" s="0" t="n">
        <f aca="false">Offre!$E$15*(Offre!$C$15^Param!$B$3)*1_Friction!P51</f>
        <v>0</v>
      </c>
      <c r="Q51" s="0" t="n">
        <f aca="false">Offre!$E$16*(Offre!$C$16^Param!$B$3)*1_Friction!Q51</f>
        <v>0</v>
      </c>
      <c r="R51" s="0" t="n">
        <f aca="false">Offre!$E$17*(Offre!$C$17^Param!$B$3)*1_Friction!R51</f>
        <v>0</v>
      </c>
      <c r="S51" s="0" t="n">
        <f aca="false">Offre!$E$18*(Offre!$C$18^Param!$B$3)*1_Friction!S51</f>
        <v>0</v>
      </c>
      <c r="T51" s="0" t="n">
        <f aca="false">Offre!$E$19*(Offre!$C$19^Param!$B$3)*1_Friction!T51</f>
        <v>0</v>
      </c>
      <c r="U51" s="0" t="n">
        <f aca="false">Offre!$E$20*(Offre!$C$20^Param!$B$3)*1_Friction!U51</f>
        <v>0</v>
      </c>
      <c r="V51" s="0" t="n">
        <f aca="false">Offre!$E$21*(Offre!$C$21^Param!$B$3)*1_Friction!V51</f>
        <v>0</v>
      </c>
      <c r="W51" s="0" t="n">
        <f aca="false">Offre!$E$22*(Offre!$C$22^Param!$B$3)*1_Friction!W51</f>
        <v>0</v>
      </c>
      <c r="X51" s="0" t="n">
        <f aca="false">Offre!$E$23*(Offre!$C$23^Param!$B$3)*1_Friction!X51</f>
        <v>0</v>
      </c>
      <c r="Y51" s="0" t="n">
        <f aca="false">Offre!$E$24*(Offre!$C$24^Param!$B$3)*1_Friction!Y51</f>
        <v>0</v>
      </c>
      <c r="Z51" s="0" t="n">
        <f aca="false">Offre!$E$25*(Offre!$C$25^Param!$B$3)*1_Friction!Z51</f>
        <v>0</v>
      </c>
      <c r="AA51" s="0" t="n">
        <f aca="false">Offre!$E$26*(Offre!$C$26^Param!$B$3)*1_Friction!AA51</f>
        <v>0</v>
      </c>
      <c r="AB51" s="0" t="n">
        <f aca="false">Offre!$E$27*(Offre!$C$27^Param!$B$3)*1_Friction!AB51</f>
        <v>0</v>
      </c>
      <c r="AC51" s="0" t="n">
        <f aca="false">Offre!$E$28*(Offre!$C$28^Param!$B$3)*1_Friction!AC51</f>
        <v>0</v>
      </c>
      <c r="AD51" s="0" t="n">
        <f aca="false">Offre!$E$29*(Offre!$C$29^Param!$B$3)*1_Friction!AD51</f>
        <v>0</v>
      </c>
      <c r="AE51" s="0" t="n">
        <f aca="false">Offre!$E$30*(Offre!$C$30^Param!$B$3)*1_Friction!AE51</f>
        <v>0</v>
      </c>
      <c r="AF51" s="0" t="n">
        <f aca="false">Offre!$E$31*(Offre!$C$31^Param!$B$3)*1_Friction!AF51</f>
        <v>0</v>
      </c>
      <c r="AG51" s="0" t="n">
        <f aca="false">Offre!$E$32*(Offre!$C$32^Param!$B$3)*1_Friction!AG51</f>
        <v>0</v>
      </c>
      <c r="AH51" s="0" t="n">
        <f aca="false">Offre!$E$33*(Offre!$C$33^Param!$B$3)*1_Friction!AH51</f>
        <v>0</v>
      </c>
      <c r="AI51" s="0" t="n">
        <f aca="false">Offre!$E$34*(Offre!$C$34^Param!$B$3)*1_Friction!AI51</f>
        <v>0</v>
      </c>
      <c r="AJ51" s="0" t="n">
        <f aca="false">Offre!$E$35*(Offre!$C$35^Param!$B$3)*1_Friction!AJ51</f>
        <v>0</v>
      </c>
      <c r="AK51" s="0" t="n">
        <f aca="false">Offre!$E$36*(Offre!$C$36^Param!$B$3)*1_Friction!AK51</f>
        <v>0</v>
      </c>
      <c r="AL51" s="0" t="n">
        <f aca="false">Offre!$E$37*(Offre!$C$37^Param!$B$3)*1_Friction!AL51</f>
        <v>0</v>
      </c>
      <c r="AM51" s="0" t="n">
        <f aca="false">Offre!$E$38*(Offre!$C$38^Param!$B$3)*1_Friction!AM51</f>
        <v>0</v>
      </c>
      <c r="AN51" s="0" t="n">
        <f aca="false">Offre!$E$39*(Offre!$C$39^Param!$B$3)*1_Friction!AN51</f>
        <v>7.83022254976379</v>
      </c>
      <c r="AO51" s="0" t="n">
        <f aca="false">SUM(C51:AN51)</f>
        <v>7.83022254976379</v>
      </c>
    </row>
    <row r="52" customFormat="false" ht="15" hidden="false" customHeight="true" outlineLevel="0" collapsed="false">
      <c r="A52" s="0" t="s">
        <v>202</v>
      </c>
      <c r="B52" s="0" t="s">
        <v>203</v>
      </c>
      <c r="C52" s="0" t="n">
        <f aca="false">Offre!$E$2*(Offre!$C$2^Param!$B$3)*1_Friction!C52</f>
        <v>0</v>
      </c>
      <c r="D52" s="0" t="n">
        <f aca="false">Offre!$E$3*(Offre!$C$3^Param!$B$3)*1_Friction!D52</f>
        <v>0</v>
      </c>
      <c r="E52" s="0" t="n">
        <f aca="false">Offre!$E$4*(Offre!$C$4^Param!$B$3)*1_Friction!E52</f>
        <v>0</v>
      </c>
      <c r="F52" s="0" t="n">
        <f aca="false">Offre!$E$5*(Offre!$C$5^Param!$B$3)*1_Friction!F52</f>
        <v>0</v>
      </c>
      <c r="G52" s="0" t="n">
        <f aca="false">Offre!$E$6*(Offre!$C$6^Param!$B$3)*1_Friction!G52</f>
        <v>0</v>
      </c>
      <c r="H52" s="0" t="n">
        <f aca="false">Offre!$E$7*(Offre!$C$7^Param!$B$3)*1_Friction!H52</f>
        <v>0</v>
      </c>
      <c r="I52" s="0" t="n">
        <f aca="false">Offre!$E$8*(Offre!$C$8^Param!$B$3)*1_Friction!I52</f>
        <v>0</v>
      </c>
      <c r="J52" s="0" t="n">
        <f aca="false">Offre!$E$9*(Offre!$C$9^Param!$B$3)*1_Friction!J52</f>
        <v>0</v>
      </c>
      <c r="K52" s="0" t="n">
        <f aca="false">Offre!$E$10*(Offre!$C$10^Param!$B$3)*1_Friction!K52</f>
        <v>0</v>
      </c>
      <c r="L52" s="0" t="n">
        <f aca="false">Offre!$E$11*(Offre!$C$11^Param!$B$3)*1_Friction!L52</f>
        <v>0</v>
      </c>
      <c r="M52" s="0" t="n">
        <f aca="false">Offre!$E$12*(Offre!$C$12^Param!$B$3)*1_Friction!M52</f>
        <v>0</v>
      </c>
      <c r="N52" s="0" t="n">
        <f aca="false">Offre!$E$13*(Offre!$C$13^Param!$B$3)*1_Friction!N52</f>
        <v>0</v>
      </c>
      <c r="O52" s="0" t="n">
        <f aca="false">Offre!$E$14*(Offre!$C$14^Param!$B$3)*1_Friction!O52</f>
        <v>0</v>
      </c>
      <c r="P52" s="0" t="n">
        <f aca="false">Offre!$E$15*(Offre!$C$15^Param!$B$3)*1_Friction!P52</f>
        <v>0</v>
      </c>
      <c r="Q52" s="0" t="n">
        <f aca="false">Offre!$E$16*(Offre!$C$16^Param!$B$3)*1_Friction!Q52</f>
        <v>0</v>
      </c>
      <c r="R52" s="0" t="n">
        <f aca="false">Offre!$E$17*(Offre!$C$17^Param!$B$3)*1_Friction!R52</f>
        <v>0</v>
      </c>
      <c r="S52" s="0" t="n">
        <f aca="false">Offre!$E$18*(Offre!$C$18^Param!$B$3)*1_Friction!S52</f>
        <v>0</v>
      </c>
      <c r="T52" s="0" t="n">
        <f aca="false">Offre!$E$19*(Offre!$C$19^Param!$B$3)*1_Friction!T52</f>
        <v>0</v>
      </c>
      <c r="U52" s="0" t="n">
        <f aca="false">Offre!$E$20*(Offre!$C$20^Param!$B$3)*1_Friction!U52</f>
        <v>0</v>
      </c>
      <c r="V52" s="0" t="n">
        <f aca="false">Offre!$E$21*(Offre!$C$21^Param!$B$3)*1_Friction!V52</f>
        <v>0</v>
      </c>
      <c r="W52" s="0" t="n">
        <f aca="false">Offre!$E$22*(Offre!$C$22^Param!$B$3)*1_Friction!W52</f>
        <v>0</v>
      </c>
      <c r="X52" s="0" t="n">
        <f aca="false">Offre!$E$23*(Offre!$C$23^Param!$B$3)*1_Friction!X52</f>
        <v>0</v>
      </c>
      <c r="Y52" s="0" t="n">
        <f aca="false">Offre!$E$24*(Offre!$C$24^Param!$B$3)*1_Friction!Y52</f>
        <v>0</v>
      </c>
      <c r="Z52" s="0" t="n">
        <f aca="false">Offre!$E$25*(Offre!$C$25^Param!$B$3)*1_Friction!Z52</f>
        <v>0</v>
      </c>
      <c r="AA52" s="0" t="n">
        <f aca="false">Offre!$E$26*(Offre!$C$26^Param!$B$3)*1_Friction!AA52</f>
        <v>0</v>
      </c>
      <c r="AB52" s="0" t="n">
        <f aca="false">Offre!$E$27*(Offre!$C$27^Param!$B$3)*1_Friction!AB52</f>
        <v>0</v>
      </c>
      <c r="AC52" s="0" t="n">
        <f aca="false">Offre!$E$28*(Offre!$C$28^Param!$B$3)*1_Friction!AC52</f>
        <v>0</v>
      </c>
      <c r="AD52" s="0" t="n">
        <f aca="false">Offre!$E$29*(Offre!$C$29^Param!$B$3)*1_Friction!AD52</f>
        <v>0</v>
      </c>
      <c r="AE52" s="0" t="n">
        <f aca="false">Offre!$E$30*(Offre!$C$30^Param!$B$3)*1_Friction!AE52</f>
        <v>0</v>
      </c>
      <c r="AF52" s="0" t="n">
        <f aca="false">Offre!$E$31*(Offre!$C$31^Param!$B$3)*1_Friction!AF52</f>
        <v>0</v>
      </c>
      <c r="AG52" s="0" t="n">
        <f aca="false">Offre!$E$32*(Offre!$C$32^Param!$B$3)*1_Friction!AG52</f>
        <v>0</v>
      </c>
      <c r="AH52" s="0" t="n">
        <f aca="false">Offre!$E$33*(Offre!$C$33^Param!$B$3)*1_Friction!AH52</f>
        <v>0</v>
      </c>
      <c r="AI52" s="0" t="n">
        <f aca="false">Offre!$E$34*(Offre!$C$34^Param!$B$3)*1_Friction!AI52</f>
        <v>0</v>
      </c>
      <c r="AJ52" s="0" t="n">
        <f aca="false">Offre!$E$35*(Offre!$C$35^Param!$B$3)*1_Friction!AJ52</f>
        <v>0</v>
      </c>
      <c r="AK52" s="0" t="n">
        <f aca="false">Offre!$E$36*(Offre!$C$36^Param!$B$3)*1_Friction!AK52</f>
        <v>0</v>
      </c>
      <c r="AL52" s="0" t="n">
        <f aca="false">Offre!$E$37*(Offre!$C$37^Param!$B$3)*1_Friction!AL52</f>
        <v>0</v>
      </c>
      <c r="AM52" s="0" t="n">
        <f aca="false">Offre!$E$38*(Offre!$C$38^Param!$B$3)*1_Friction!AM52</f>
        <v>0</v>
      </c>
      <c r="AN52" s="0" t="n">
        <f aca="false">Offre!$E$39*(Offre!$C$39^Param!$B$3)*1_Friction!AN52</f>
        <v>24.2222014584039</v>
      </c>
      <c r="AO52" s="0" t="n">
        <f aca="false">SUM(C52:AN52)</f>
        <v>24.2222014584039</v>
      </c>
    </row>
    <row r="53" customFormat="false" ht="15" hidden="false" customHeight="true" outlineLevel="0" collapsed="false">
      <c r="A53" s="0" t="s">
        <v>204</v>
      </c>
      <c r="B53" s="0" t="s">
        <v>205</v>
      </c>
      <c r="C53" s="0" t="n">
        <f aca="false">Offre!$E$2*(Offre!$C$2^Param!$B$3)*1_Friction!C53</f>
        <v>0</v>
      </c>
      <c r="D53" s="0" t="n">
        <f aca="false">Offre!$E$3*(Offre!$C$3^Param!$B$3)*1_Friction!D53</f>
        <v>0</v>
      </c>
      <c r="E53" s="0" t="n">
        <f aca="false">Offre!$E$4*(Offre!$C$4^Param!$B$3)*1_Friction!E53</f>
        <v>0</v>
      </c>
      <c r="F53" s="0" t="n">
        <f aca="false">Offre!$E$5*(Offre!$C$5^Param!$B$3)*1_Friction!F53</f>
        <v>0</v>
      </c>
      <c r="G53" s="0" t="n">
        <f aca="false">Offre!$E$6*(Offre!$C$6^Param!$B$3)*1_Friction!G53</f>
        <v>0</v>
      </c>
      <c r="H53" s="0" t="n">
        <f aca="false">Offre!$E$7*(Offre!$C$7^Param!$B$3)*1_Friction!H53</f>
        <v>0</v>
      </c>
      <c r="I53" s="0" t="n">
        <f aca="false">Offre!$E$8*(Offre!$C$8^Param!$B$3)*1_Friction!I53</f>
        <v>0</v>
      </c>
      <c r="J53" s="0" t="n">
        <f aca="false">Offre!$E$9*(Offre!$C$9^Param!$B$3)*1_Friction!J53</f>
        <v>0</v>
      </c>
      <c r="K53" s="0" t="n">
        <f aca="false">Offre!$E$10*(Offre!$C$10^Param!$B$3)*1_Friction!K53</f>
        <v>0</v>
      </c>
      <c r="L53" s="0" t="n">
        <f aca="false">Offre!$E$11*(Offre!$C$11^Param!$B$3)*1_Friction!L53</f>
        <v>0</v>
      </c>
      <c r="M53" s="0" t="n">
        <f aca="false">Offre!$E$12*(Offre!$C$12^Param!$B$3)*1_Friction!M53</f>
        <v>0</v>
      </c>
      <c r="N53" s="0" t="n">
        <f aca="false">Offre!$E$13*(Offre!$C$13^Param!$B$3)*1_Friction!N53</f>
        <v>0</v>
      </c>
      <c r="O53" s="0" t="n">
        <f aca="false">Offre!$E$14*(Offre!$C$14^Param!$B$3)*1_Friction!O53</f>
        <v>0</v>
      </c>
      <c r="P53" s="0" t="n">
        <f aca="false">Offre!$E$15*(Offre!$C$15^Param!$B$3)*1_Friction!P53</f>
        <v>0</v>
      </c>
      <c r="Q53" s="0" t="n">
        <f aca="false">Offre!$E$16*(Offre!$C$16^Param!$B$3)*1_Friction!Q53</f>
        <v>0</v>
      </c>
      <c r="R53" s="0" t="n">
        <f aca="false">Offre!$E$17*(Offre!$C$17^Param!$B$3)*1_Friction!R53</f>
        <v>0</v>
      </c>
      <c r="S53" s="0" t="n">
        <f aca="false">Offre!$E$18*(Offre!$C$18^Param!$B$3)*1_Friction!S53</f>
        <v>0</v>
      </c>
      <c r="T53" s="0" t="n">
        <f aca="false">Offre!$E$19*(Offre!$C$19^Param!$B$3)*1_Friction!T53</f>
        <v>0</v>
      </c>
      <c r="U53" s="0" t="n">
        <f aca="false">Offre!$E$20*(Offre!$C$20^Param!$B$3)*1_Friction!U53</f>
        <v>0</v>
      </c>
      <c r="V53" s="0" t="n">
        <f aca="false">Offre!$E$21*(Offre!$C$21^Param!$B$3)*1_Friction!V53</f>
        <v>0</v>
      </c>
      <c r="W53" s="0" t="n">
        <f aca="false">Offre!$E$22*(Offre!$C$22^Param!$B$3)*1_Friction!W53</f>
        <v>0</v>
      </c>
      <c r="X53" s="0" t="n">
        <f aca="false">Offre!$E$23*(Offre!$C$23^Param!$B$3)*1_Friction!X53</f>
        <v>0</v>
      </c>
      <c r="Y53" s="0" t="n">
        <f aca="false">Offre!$E$24*(Offre!$C$24^Param!$B$3)*1_Friction!Y53</f>
        <v>0</v>
      </c>
      <c r="Z53" s="0" t="n">
        <f aca="false">Offre!$E$25*(Offre!$C$25^Param!$B$3)*1_Friction!Z53</f>
        <v>0</v>
      </c>
      <c r="AA53" s="0" t="n">
        <f aca="false">Offre!$E$26*(Offre!$C$26^Param!$B$3)*1_Friction!AA53</f>
        <v>0</v>
      </c>
      <c r="AB53" s="0" t="n">
        <f aca="false">Offre!$E$27*(Offre!$C$27^Param!$B$3)*1_Friction!AB53</f>
        <v>0</v>
      </c>
      <c r="AC53" s="0" t="n">
        <f aca="false">Offre!$E$28*(Offre!$C$28^Param!$B$3)*1_Friction!AC53</f>
        <v>0</v>
      </c>
      <c r="AD53" s="0" t="n">
        <f aca="false">Offre!$E$29*(Offre!$C$29^Param!$B$3)*1_Friction!AD53</f>
        <v>0</v>
      </c>
      <c r="AE53" s="0" t="n">
        <f aca="false">Offre!$E$30*(Offre!$C$30^Param!$B$3)*1_Friction!AE53</f>
        <v>0</v>
      </c>
      <c r="AF53" s="0" t="n">
        <f aca="false">Offre!$E$31*(Offre!$C$31^Param!$B$3)*1_Friction!AF53</f>
        <v>0</v>
      </c>
      <c r="AG53" s="0" t="n">
        <f aca="false">Offre!$E$32*(Offre!$C$32^Param!$B$3)*1_Friction!AG53</f>
        <v>0</v>
      </c>
      <c r="AH53" s="0" t="n">
        <f aca="false">Offre!$E$33*(Offre!$C$33^Param!$B$3)*1_Friction!AH53</f>
        <v>0</v>
      </c>
      <c r="AI53" s="0" t="n">
        <f aca="false">Offre!$E$34*(Offre!$C$34^Param!$B$3)*1_Friction!AI53</f>
        <v>0</v>
      </c>
      <c r="AJ53" s="0" t="n">
        <f aca="false">Offre!$E$35*(Offre!$C$35^Param!$B$3)*1_Friction!AJ53</f>
        <v>0</v>
      </c>
      <c r="AK53" s="0" t="n">
        <f aca="false">Offre!$E$36*(Offre!$C$36^Param!$B$3)*1_Friction!AK53</f>
        <v>0</v>
      </c>
      <c r="AL53" s="0" t="n">
        <f aca="false">Offre!$E$37*(Offre!$C$37^Param!$B$3)*1_Friction!AL53</f>
        <v>0</v>
      </c>
      <c r="AM53" s="0" t="n">
        <f aca="false">Offre!$E$38*(Offre!$C$38^Param!$B$3)*1_Friction!AM53</f>
        <v>0</v>
      </c>
      <c r="AN53" s="0" t="n">
        <f aca="false">Offre!$E$39*(Offre!$C$39^Param!$B$3)*1_Friction!AN53</f>
        <v>23.0527241678332</v>
      </c>
      <c r="AO53" s="0" t="n">
        <f aca="false">SUM(C53:AN53)</f>
        <v>23.0527241678332</v>
      </c>
    </row>
    <row r="54" customFormat="false" ht="15" hidden="false" customHeight="true" outlineLevel="0" collapsed="false">
      <c r="A54" s="0" t="s">
        <v>206</v>
      </c>
      <c r="B54" s="0" t="s">
        <v>207</v>
      </c>
      <c r="C54" s="0" t="n">
        <f aca="false">Offre!$E$2*(Offre!$C$2^Param!$B$3)*1_Friction!C54</f>
        <v>0</v>
      </c>
      <c r="D54" s="0" t="n">
        <f aca="false">Offre!$E$3*(Offre!$C$3^Param!$B$3)*1_Friction!D54</f>
        <v>0</v>
      </c>
      <c r="E54" s="0" t="n">
        <f aca="false">Offre!$E$4*(Offre!$C$4^Param!$B$3)*1_Friction!E54</f>
        <v>0</v>
      </c>
      <c r="F54" s="0" t="n">
        <f aca="false">Offre!$E$5*(Offre!$C$5^Param!$B$3)*1_Friction!F54</f>
        <v>0</v>
      </c>
      <c r="G54" s="0" t="n">
        <f aca="false">Offre!$E$6*(Offre!$C$6^Param!$B$3)*1_Friction!G54</f>
        <v>0</v>
      </c>
      <c r="H54" s="0" t="n">
        <f aca="false">Offre!$E$7*(Offre!$C$7^Param!$B$3)*1_Friction!H54</f>
        <v>0</v>
      </c>
      <c r="I54" s="0" t="n">
        <f aca="false">Offre!$E$8*(Offre!$C$8^Param!$B$3)*1_Friction!I54</f>
        <v>0</v>
      </c>
      <c r="J54" s="0" t="n">
        <f aca="false">Offre!$E$9*(Offre!$C$9^Param!$B$3)*1_Friction!J54</f>
        <v>0</v>
      </c>
      <c r="K54" s="0" t="n">
        <f aca="false">Offre!$E$10*(Offre!$C$10^Param!$B$3)*1_Friction!K54</f>
        <v>0</v>
      </c>
      <c r="L54" s="0" t="n">
        <f aca="false">Offre!$E$11*(Offre!$C$11^Param!$B$3)*1_Friction!L54</f>
        <v>0</v>
      </c>
      <c r="M54" s="0" t="n">
        <f aca="false">Offre!$E$12*(Offre!$C$12^Param!$B$3)*1_Friction!M54</f>
        <v>0</v>
      </c>
      <c r="N54" s="0" t="n">
        <f aca="false">Offre!$E$13*(Offre!$C$13^Param!$B$3)*1_Friction!N54</f>
        <v>0</v>
      </c>
      <c r="O54" s="0" t="n">
        <f aca="false">Offre!$E$14*(Offre!$C$14^Param!$B$3)*1_Friction!O54</f>
        <v>0</v>
      </c>
      <c r="P54" s="0" t="n">
        <f aca="false">Offre!$E$15*(Offre!$C$15^Param!$B$3)*1_Friction!P54</f>
        <v>0</v>
      </c>
      <c r="Q54" s="0" t="n">
        <f aca="false">Offre!$E$16*(Offre!$C$16^Param!$B$3)*1_Friction!Q54</f>
        <v>0</v>
      </c>
      <c r="R54" s="0" t="n">
        <f aca="false">Offre!$E$17*(Offre!$C$17^Param!$B$3)*1_Friction!R54</f>
        <v>0</v>
      </c>
      <c r="S54" s="0" t="n">
        <f aca="false">Offre!$E$18*(Offre!$C$18^Param!$B$3)*1_Friction!S54</f>
        <v>0</v>
      </c>
      <c r="T54" s="0" t="n">
        <f aca="false">Offre!$E$19*(Offre!$C$19^Param!$B$3)*1_Friction!T54</f>
        <v>0</v>
      </c>
      <c r="U54" s="0" t="n">
        <f aca="false">Offre!$E$20*(Offre!$C$20^Param!$B$3)*1_Friction!U54</f>
        <v>0</v>
      </c>
      <c r="V54" s="0" t="n">
        <f aca="false">Offre!$E$21*(Offre!$C$21^Param!$B$3)*1_Friction!V54</f>
        <v>0</v>
      </c>
      <c r="W54" s="0" t="n">
        <f aca="false">Offre!$E$22*(Offre!$C$22^Param!$B$3)*1_Friction!W54</f>
        <v>0</v>
      </c>
      <c r="X54" s="0" t="n">
        <f aca="false">Offre!$E$23*(Offre!$C$23^Param!$B$3)*1_Friction!X54</f>
        <v>0</v>
      </c>
      <c r="Y54" s="0" t="n">
        <f aca="false">Offre!$E$24*(Offre!$C$24^Param!$B$3)*1_Friction!Y54</f>
        <v>0</v>
      </c>
      <c r="Z54" s="0" t="n">
        <f aca="false">Offre!$E$25*(Offre!$C$25^Param!$B$3)*1_Friction!Z54</f>
        <v>0</v>
      </c>
      <c r="AA54" s="0" t="n">
        <f aca="false">Offre!$E$26*(Offre!$C$26^Param!$B$3)*1_Friction!AA54</f>
        <v>0</v>
      </c>
      <c r="AB54" s="0" t="n">
        <f aca="false">Offre!$E$27*(Offre!$C$27^Param!$B$3)*1_Friction!AB54</f>
        <v>0</v>
      </c>
      <c r="AC54" s="0" t="n">
        <f aca="false">Offre!$E$28*(Offre!$C$28^Param!$B$3)*1_Friction!AC54</f>
        <v>0</v>
      </c>
      <c r="AD54" s="0" t="n">
        <f aca="false">Offre!$E$29*(Offre!$C$29^Param!$B$3)*1_Friction!AD54</f>
        <v>0</v>
      </c>
      <c r="AE54" s="0" t="n">
        <f aca="false">Offre!$E$30*(Offre!$C$30^Param!$B$3)*1_Friction!AE54</f>
        <v>0</v>
      </c>
      <c r="AF54" s="0" t="n">
        <f aca="false">Offre!$E$31*(Offre!$C$31^Param!$B$3)*1_Friction!AF54</f>
        <v>0</v>
      </c>
      <c r="AG54" s="0" t="n">
        <f aca="false">Offre!$E$32*(Offre!$C$32^Param!$B$3)*1_Friction!AG54</f>
        <v>0</v>
      </c>
      <c r="AH54" s="0" t="n">
        <f aca="false">Offre!$E$33*(Offre!$C$33^Param!$B$3)*1_Friction!AH54</f>
        <v>0</v>
      </c>
      <c r="AI54" s="0" t="n">
        <f aca="false">Offre!$E$34*(Offre!$C$34^Param!$B$3)*1_Friction!AI54</f>
        <v>0</v>
      </c>
      <c r="AJ54" s="0" t="n">
        <f aca="false">Offre!$E$35*(Offre!$C$35^Param!$B$3)*1_Friction!AJ54</f>
        <v>0</v>
      </c>
      <c r="AK54" s="0" t="n">
        <f aca="false">Offre!$E$36*(Offre!$C$36^Param!$B$3)*1_Friction!AK54</f>
        <v>0</v>
      </c>
      <c r="AL54" s="0" t="n">
        <f aca="false">Offre!$E$37*(Offre!$C$37^Param!$B$3)*1_Friction!AL54</f>
        <v>0</v>
      </c>
      <c r="AM54" s="0" t="n">
        <f aca="false">Offre!$E$38*(Offre!$C$38^Param!$B$3)*1_Friction!AM54</f>
        <v>0</v>
      </c>
      <c r="AN54" s="0" t="n">
        <f aca="false">Offre!$E$39*(Offre!$C$39^Param!$B$3)*1_Friction!AN54</f>
        <v>0</v>
      </c>
      <c r="AO54" s="0" t="n">
        <f aca="false">SUM(C54:AN54)</f>
        <v>0</v>
      </c>
    </row>
    <row r="55" customFormat="false" ht="15" hidden="false" customHeight="true" outlineLevel="0" collapsed="false">
      <c r="A55" s="0" t="s">
        <v>208</v>
      </c>
      <c r="B55" s="0" t="s">
        <v>209</v>
      </c>
      <c r="C55" s="0" t="n">
        <f aca="false">Offre!$E$2*(Offre!$C$2^Param!$B$3)*1_Friction!C55</f>
        <v>2.22241158399197</v>
      </c>
      <c r="D55" s="0" t="n">
        <f aca="false">Offre!$E$3*(Offre!$C$3^Param!$B$3)*1_Friction!D55</f>
        <v>1.27917457304804</v>
      </c>
      <c r="E55" s="0" t="n">
        <f aca="false">Offre!$E$4*(Offre!$C$4^Param!$B$3)*1_Friction!E55</f>
        <v>12.7797868870631</v>
      </c>
      <c r="F55" s="0" t="n">
        <f aca="false">Offre!$E$5*(Offre!$C$5^Param!$B$3)*1_Friction!F55</f>
        <v>2.28539238891647</v>
      </c>
      <c r="G55" s="0" t="n">
        <f aca="false">Offre!$E$6*(Offre!$C$6^Param!$B$3)*1_Friction!G55</f>
        <v>6.2801084404376</v>
      </c>
      <c r="H55" s="0" t="n">
        <f aca="false">Offre!$E$7*(Offre!$C$7^Param!$B$3)*1_Friction!H55</f>
        <v>1.36905750048238</v>
      </c>
      <c r="I55" s="0" t="n">
        <f aca="false">Offre!$E$8*(Offre!$C$8^Param!$B$3)*1_Friction!I55</f>
        <v>3.13077432917369</v>
      </c>
      <c r="J55" s="0" t="n">
        <f aca="false">Offre!$E$9*(Offre!$C$9^Param!$B$3)*1_Friction!J55</f>
        <v>2.45072184944939</v>
      </c>
      <c r="K55" s="0" t="n">
        <f aca="false">Offre!$E$10*(Offre!$C$10^Param!$B$3)*1_Friction!K55</f>
        <v>1.51133256436066</v>
      </c>
      <c r="L55" s="0" t="n">
        <f aca="false">Offre!$E$11*(Offre!$C$11^Param!$B$3)*1_Friction!L55</f>
        <v>1.50281910241327</v>
      </c>
      <c r="M55" s="0" t="n">
        <f aca="false">Offre!$E$12*(Offre!$C$12^Param!$B$3)*1_Friction!M55</f>
        <v>7.99805930165088</v>
      </c>
      <c r="N55" s="0" t="n">
        <f aca="false">Offre!$E$13*(Offre!$C$13^Param!$B$3)*1_Friction!N55</f>
        <v>1.07736582345071</v>
      </c>
      <c r="O55" s="0" t="n">
        <f aca="false">Offre!$E$14*(Offre!$C$14^Param!$B$3)*1_Friction!O55</f>
        <v>3.41339853875598</v>
      </c>
      <c r="P55" s="0" t="n">
        <f aca="false">Offre!$E$15*(Offre!$C$15^Param!$B$3)*1_Friction!P55</f>
        <v>1.64618256889988</v>
      </c>
      <c r="Q55" s="0" t="n">
        <f aca="false">Offre!$E$16*(Offre!$C$16^Param!$B$3)*1_Friction!Q55</f>
        <v>14.1869391756256</v>
      </c>
      <c r="R55" s="0" t="n">
        <f aca="false">Offre!$E$17*(Offre!$C$17^Param!$B$3)*1_Friction!R55</f>
        <v>1.87405372055246</v>
      </c>
      <c r="S55" s="0" t="n">
        <f aca="false">Offre!$E$18*(Offre!$C$18^Param!$B$3)*1_Friction!S55</f>
        <v>1.37753222905684</v>
      </c>
      <c r="T55" s="0" t="n">
        <f aca="false">Offre!$E$19*(Offre!$C$19^Param!$B$3)*1_Friction!T55</f>
        <v>0.23934599848358</v>
      </c>
      <c r="U55" s="0" t="n">
        <f aca="false">Offre!$E$20*(Offre!$C$20^Param!$B$3)*1_Friction!U55</f>
        <v>0</v>
      </c>
      <c r="V55" s="0" t="n">
        <f aca="false">Offre!$E$21*(Offre!$C$21^Param!$B$3)*1_Friction!V55</f>
        <v>0</v>
      </c>
      <c r="W55" s="0" t="n">
        <f aca="false">Offre!$E$22*(Offre!$C$22^Param!$B$3)*1_Friction!W55</f>
        <v>0</v>
      </c>
      <c r="X55" s="0" t="n">
        <f aca="false">Offre!$E$23*(Offre!$C$23^Param!$B$3)*1_Friction!X55</f>
        <v>0</v>
      </c>
      <c r="Y55" s="0" t="n">
        <f aca="false">Offre!$E$24*(Offre!$C$24^Param!$B$3)*1_Friction!Y55</f>
        <v>0</v>
      </c>
      <c r="Z55" s="0" t="n">
        <f aca="false">Offre!$E$25*(Offre!$C$25^Param!$B$3)*1_Friction!Z55</f>
        <v>0</v>
      </c>
      <c r="AA55" s="0" t="n">
        <f aca="false">Offre!$E$26*(Offre!$C$26^Param!$B$3)*1_Friction!AA55</f>
        <v>0</v>
      </c>
      <c r="AB55" s="0" t="n">
        <f aca="false">Offre!$E$27*(Offre!$C$27^Param!$B$3)*1_Friction!AB55</f>
        <v>0</v>
      </c>
      <c r="AC55" s="0" t="n">
        <f aca="false">Offre!$E$28*(Offre!$C$28^Param!$B$3)*1_Friction!AC55</f>
        <v>0</v>
      </c>
      <c r="AD55" s="0" t="n">
        <f aca="false">Offre!$E$29*(Offre!$C$29^Param!$B$3)*1_Friction!AD55</f>
        <v>0</v>
      </c>
      <c r="AE55" s="0" t="n">
        <f aca="false">Offre!$E$30*(Offre!$C$30^Param!$B$3)*1_Friction!AE55</f>
        <v>0</v>
      </c>
      <c r="AF55" s="0" t="n">
        <f aca="false">Offre!$E$31*(Offre!$C$31^Param!$B$3)*1_Friction!AF55</f>
        <v>0</v>
      </c>
      <c r="AG55" s="0" t="n">
        <f aca="false">Offre!$E$32*(Offre!$C$32^Param!$B$3)*1_Friction!AG55</f>
        <v>8.66804445709719</v>
      </c>
      <c r="AH55" s="0" t="n">
        <f aca="false">Offre!$E$33*(Offre!$C$33^Param!$B$3)*1_Friction!AH55</f>
        <v>4.29113774370437</v>
      </c>
      <c r="AI55" s="0" t="n">
        <f aca="false">Offre!$E$34*(Offre!$C$34^Param!$B$3)*1_Friction!AI55</f>
        <v>0.123775890349532</v>
      </c>
      <c r="AJ55" s="0" t="n">
        <f aca="false">Offre!$E$35*(Offre!$C$35^Param!$B$3)*1_Friction!AJ55</f>
        <v>0</v>
      </c>
      <c r="AK55" s="0" t="n">
        <f aca="false">Offre!$E$36*(Offre!$C$36^Param!$B$3)*1_Friction!AK55</f>
        <v>0</v>
      </c>
      <c r="AL55" s="0" t="n">
        <f aca="false">Offre!$E$37*(Offre!$C$37^Param!$B$3)*1_Friction!AL55</f>
        <v>0</v>
      </c>
      <c r="AM55" s="0" t="n">
        <f aca="false">Offre!$E$38*(Offre!$C$38^Param!$B$3)*1_Friction!AM55</f>
        <v>4.97503714811018</v>
      </c>
      <c r="AN55" s="0" t="n">
        <f aca="false">Offre!$E$39*(Offre!$C$39^Param!$B$3)*1_Friction!AN55</f>
        <v>0</v>
      </c>
      <c r="AO55" s="0" t="n">
        <f aca="false">SUM(C55:AN55)</f>
        <v>84.6824518150738</v>
      </c>
    </row>
    <row r="56" customFormat="false" ht="15" hidden="false" customHeight="true" outlineLevel="0" collapsed="false">
      <c r="A56" s="0" t="s">
        <v>210</v>
      </c>
      <c r="B56" s="0" t="s">
        <v>211</v>
      </c>
      <c r="C56" s="0" t="n">
        <f aca="false">Offre!$E$2*(Offre!$C$2^Param!$B$3)*1_Friction!C56</f>
        <v>0.839783679763633</v>
      </c>
      <c r="D56" s="0" t="n">
        <f aca="false">Offre!$E$3*(Offre!$C$3^Param!$B$3)*1_Friction!D56</f>
        <v>2.00169983734636</v>
      </c>
      <c r="E56" s="0" t="n">
        <f aca="false">Offre!$E$4*(Offre!$C$4^Param!$B$3)*1_Friction!E56</f>
        <v>22.5977406016386</v>
      </c>
      <c r="F56" s="0" t="n">
        <f aca="false">Offre!$E$5*(Offre!$C$5^Param!$B$3)*1_Friction!F56</f>
        <v>4.34993014653043</v>
      </c>
      <c r="G56" s="0" t="n">
        <f aca="false">Offre!$E$6*(Offre!$C$6^Param!$B$3)*1_Friction!G56</f>
        <v>12.645482779325</v>
      </c>
      <c r="H56" s="0" t="n">
        <f aca="false">Offre!$E$7*(Offre!$C$7^Param!$B$3)*1_Friction!H56</f>
        <v>2.98443624827709</v>
      </c>
      <c r="I56" s="0" t="n">
        <f aca="false">Offre!$E$8*(Offre!$C$8^Param!$B$3)*1_Friction!I56</f>
        <v>7.35355540768172</v>
      </c>
      <c r="J56" s="0" t="n">
        <f aca="false">Offre!$E$9*(Offre!$C$9^Param!$B$3)*1_Friction!J56</f>
        <v>5.6615134222807</v>
      </c>
      <c r="K56" s="0" t="n">
        <f aca="false">Offre!$E$10*(Offre!$C$10^Param!$B$3)*1_Friction!K56</f>
        <v>3.40342173863985</v>
      </c>
      <c r="L56" s="0" t="n">
        <f aca="false">Offre!$E$11*(Offre!$C$11^Param!$B$3)*1_Friction!L56</f>
        <v>3.80612353123567</v>
      </c>
      <c r="M56" s="0" t="n">
        <f aca="false">Offre!$E$12*(Offre!$C$12^Param!$B$3)*1_Friction!M56</f>
        <v>17.9087637583159</v>
      </c>
      <c r="N56" s="0" t="n">
        <f aca="false">Offre!$E$13*(Offre!$C$13^Param!$B$3)*1_Friction!N56</f>
        <v>2.46661275183734</v>
      </c>
      <c r="O56" s="0" t="n">
        <f aca="false">Offre!$E$14*(Offre!$C$14^Param!$B$3)*1_Friction!O56</f>
        <v>8.86666563883028</v>
      </c>
      <c r="P56" s="0" t="n">
        <f aca="false">Offre!$E$15*(Offre!$C$15^Param!$B$3)*1_Friction!P56</f>
        <v>4.1897155815694</v>
      </c>
      <c r="Q56" s="0" t="n">
        <f aca="false">Offre!$E$16*(Offre!$C$16^Param!$B$3)*1_Friction!Q56</f>
        <v>38.8214227399416</v>
      </c>
      <c r="R56" s="0" t="n">
        <f aca="false">Offre!$E$17*(Offre!$C$17^Param!$B$3)*1_Friction!R56</f>
        <v>4.85187321102234</v>
      </c>
      <c r="S56" s="0" t="n">
        <f aca="false">Offre!$E$18*(Offre!$C$18^Param!$B$3)*1_Friction!S56</f>
        <v>3.8966258453415</v>
      </c>
      <c r="T56" s="0" t="n">
        <f aca="false">Offre!$E$19*(Offre!$C$19^Param!$B$3)*1_Friction!T56</f>
        <v>0.220616667062944</v>
      </c>
      <c r="U56" s="0" t="n">
        <f aca="false">Offre!$E$20*(Offre!$C$20^Param!$B$3)*1_Friction!U56</f>
        <v>0</v>
      </c>
      <c r="V56" s="0" t="n">
        <f aca="false">Offre!$E$21*(Offre!$C$21^Param!$B$3)*1_Friction!V56</f>
        <v>0</v>
      </c>
      <c r="W56" s="0" t="n">
        <f aca="false">Offre!$E$22*(Offre!$C$22^Param!$B$3)*1_Friction!W56</f>
        <v>0</v>
      </c>
      <c r="X56" s="0" t="n">
        <f aca="false">Offre!$E$23*(Offre!$C$23^Param!$B$3)*1_Friction!X56</f>
        <v>0</v>
      </c>
      <c r="Y56" s="0" t="n">
        <f aca="false">Offre!$E$24*(Offre!$C$24^Param!$B$3)*1_Friction!Y56</f>
        <v>0</v>
      </c>
      <c r="Z56" s="0" t="n">
        <f aca="false">Offre!$E$25*(Offre!$C$25^Param!$B$3)*1_Friction!Z56</f>
        <v>0</v>
      </c>
      <c r="AA56" s="0" t="n">
        <f aca="false">Offre!$E$26*(Offre!$C$26^Param!$B$3)*1_Friction!AA56</f>
        <v>0</v>
      </c>
      <c r="AB56" s="0" t="n">
        <f aca="false">Offre!$E$27*(Offre!$C$27^Param!$B$3)*1_Friction!AB56</f>
        <v>0</v>
      </c>
      <c r="AC56" s="0" t="n">
        <f aca="false">Offre!$E$28*(Offre!$C$28^Param!$B$3)*1_Friction!AC56</f>
        <v>0</v>
      </c>
      <c r="AD56" s="0" t="n">
        <f aca="false">Offre!$E$29*(Offre!$C$29^Param!$B$3)*1_Friction!AD56</f>
        <v>0</v>
      </c>
      <c r="AE56" s="0" t="n">
        <f aca="false">Offre!$E$30*(Offre!$C$30^Param!$B$3)*1_Friction!AE56</f>
        <v>0</v>
      </c>
      <c r="AF56" s="0" t="n">
        <f aca="false">Offre!$E$31*(Offre!$C$31^Param!$B$3)*1_Friction!AF56</f>
        <v>0</v>
      </c>
      <c r="AG56" s="0" t="n">
        <f aca="false">Offre!$E$32*(Offre!$C$32^Param!$B$3)*1_Friction!AG56</f>
        <v>0.902325239364662</v>
      </c>
      <c r="AH56" s="0" t="n">
        <f aca="false">Offre!$E$33*(Offre!$C$33^Param!$B$3)*1_Friction!AH56</f>
        <v>13.1608050325483</v>
      </c>
      <c r="AI56" s="0" t="n">
        <f aca="false">Offre!$E$34*(Offre!$C$34^Param!$B$3)*1_Friction!AI56</f>
        <v>0.0923978438324493</v>
      </c>
      <c r="AJ56" s="0" t="n">
        <f aca="false">Offre!$E$35*(Offre!$C$35^Param!$B$3)*1_Friction!AJ56</f>
        <v>0</v>
      </c>
      <c r="AK56" s="0" t="n">
        <f aca="false">Offre!$E$36*(Offre!$C$36^Param!$B$3)*1_Friction!AK56</f>
        <v>0</v>
      </c>
      <c r="AL56" s="0" t="n">
        <f aca="false">Offre!$E$37*(Offre!$C$37^Param!$B$3)*1_Friction!AL56</f>
        <v>0</v>
      </c>
      <c r="AM56" s="0" t="n">
        <f aca="false">Offre!$E$38*(Offre!$C$38^Param!$B$3)*1_Friction!AM56</f>
        <v>1.84337465458573</v>
      </c>
      <c r="AN56" s="0" t="n">
        <f aca="false">Offre!$E$39*(Offre!$C$39^Param!$B$3)*1_Friction!AN56</f>
        <v>0</v>
      </c>
      <c r="AO56" s="0" t="n">
        <f aca="false">SUM(C56:AN56)</f>
        <v>162.864886356972</v>
      </c>
    </row>
    <row r="57" customFormat="false" ht="15" hidden="false" customHeight="true" outlineLevel="0" collapsed="false">
      <c r="A57" s="0" t="s">
        <v>212</v>
      </c>
      <c r="B57" s="0" t="s">
        <v>213</v>
      </c>
      <c r="C57" s="0" t="n">
        <f aca="false">Offre!$E$2*(Offre!$C$2^Param!$B$3)*1_Friction!C57</f>
        <v>3.06978719277993</v>
      </c>
      <c r="D57" s="0" t="n">
        <f aca="false">Offre!$E$3*(Offre!$C$3^Param!$B$3)*1_Friction!D57</f>
        <v>3.82578455405412</v>
      </c>
      <c r="E57" s="0" t="n">
        <f aca="false">Offre!$E$4*(Offre!$C$4^Param!$B$3)*1_Friction!E57</f>
        <v>39.5876692078961</v>
      </c>
      <c r="F57" s="0" t="n">
        <f aca="false">Offre!$E$5*(Offre!$C$5^Param!$B$3)*1_Friction!F57</f>
        <v>7.0969559568777</v>
      </c>
      <c r="G57" s="0" t="n">
        <f aca="false">Offre!$E$6*(Offre!$C$6^Param!$B$3)*1_Friction!G57</f>
        <v>19.7359520422649</v>
      </c>
      <c r="H57" s="0" t="n">
        <f aca="false">Offre!$E$7*(Offre!$C$7^Param!$B$3)*1_Friction!H57</f>
        <v>4.36581142308991</v>
      </c>
      <c r="I57" s="0" t="n">
        <f aca="false">Offre!$E$8*(Offre!$C$8^Param!$B$3)*1_Friction!I57</f>
        <v>10.0130299974658</v>
      </c>
      <c r="J57" s="0" t="n">
        <f aca="false">Offre!$E$9*(Offre!$C$9^Param!$B$3)*1_Friction!J57</f>
        <v>7.89291373220824</v>
      </c>
      <c r="K57" s="0" t="n">
        <f aca="false">Offre!$E$10*(Offre!$C$10^Param!$B$3)*1_Friction!K57</f>
        <v>4.8883265837115</v>
      </c>
      <c r="L57" s="0" t="n">
        <f aca="false">Offre!$E$11*(Offre!$C$11^Param!$B$3)*1_Friction!L57</f>
        <v>4.86954862406741</v>
      </c>
      <c r="M57" s="0" t="n">
        <f aca="false">Offre!$E$12*(Offre!$C$12^Param!$B$3)*1_Friction!M57</f>
        <v>25.9334206828828</v>
      </c>
      <c r="N57" s="0" t="n">
        <f aca="false">Offre!$E$13*(Offre!$C$13^Param!$B$3)*1_Friction!N57</f>
        <v>3.51619136642708</v>
      </c>
      <c r="O57" s="0" t="n">
        <f aca="false">Offre!$E$14*(Offre!$C$14^Param!$B$3)*1_Friction!O57</f>
        <v>11.1553365504512</v>
      </c>
      <c r="P57" s="0" t="n">
        <f aca="false">Offre!$E$15*(Offre!$C$15^Param!$B$3)*1_Friction!P57</f>
        <v>5.39201338588608</v>
      </c>
      <c r="Q57" s="0" t="n">
        <f aca="false">Offre!$E$16*(Offre!$C$16^Param!$B$3)*1_Friction!Q57</f>
        <v>46.815180993945</v>
      </c>
      <c r="R57" s="0" t="n">
        <f aca="false">Offre!$E$17*(Offre!$C$17^Param!$B$3)*1_Friction!R57</f>
        <v>6.20226767056024</v>
      </c>
      <c r="S57" s="0" t="n">
        <f aca="false">Offre!$E$18*(Offre!$C$18^Param!$B$3)*1_Friction!S57</f>
        <v>4.58782277172079</v>
      </c>
      <c r="T57" s="0" t="n">
        <f aca="false">Offre!$E$19*(Offre!$C$19^Param!$B$3)*1_Friction!T57</f>
        <v>0.852691820553825</v>
      </c>
      <c r="U57" s="0" t="n">
        <f aca="false">Offre!$E$20*(Offre!$C$20^Param!$B$3)*1_Friction!U57</f>
        <v>0</v>
      </c>
      <c r="V57" s="0" t="n">
        <f aca="false">Offre!$E$21*(Offre!$C$21^Param!$B$3)*1_Friction!V57</f>
        <v>0</v>
      </c>
      <c r="W57" s="0" t="n">
        <f aca="false">Offre!$E$22*(Offre!$C$22^Param!$B$3)*1_Friction!W57</f>
        <v>0</v>
      </c>
      <c r="X57" s="0" t="n">
        <f aca="false">Offre!$E$23*(Offre!$C$23^Param!$B$3)*1_Friction!X57</f>
        <v>0</v>
      </c>
      <c r="Y57" s="0" t="n">
        <f aca="false">Offre!$E$24*(Offre!$C$24^Param!$B$3)*1_Friction!Y57</f>
        <v>0</v>
      </c>
      <c r="Z57" s="0" t="n">
        <f aca="false">Offre!$E$25*(Offre!$C$25^Param!$B$3)*1_Friction!Z57</f>
        <v>0</v>
      </c>
      <c r="AA57" s="0" t="n">
        <f aca="false">Offre!$E$26*(Offre!$C$26^Param!$B$3)*1_Friction!AA57</f>
        <v>0</v>
      </c>
      <c r="AB57" s="0" t="n">
        <f aca="false">Offre!$E$27*(Offre!$C$27^Param!$B$3)*1_Friction!AB57</f>
        <v>0</v>
      </c>
      <c r="AC57" s="0" t="n">
        <f aca="false">Offre!$E$28*(Offre!$C$28^Param!$B$3)*1_Friction!AC57</f>
        <v>0</v>
      </c>
      <c r="AD57" s="0" t="n">
        <f aca="false">Offre!$E$29*(Offre!$C$29^Param!$B$3)*1_Friction!AD57</f>
        <v>0</v>
      </c>
      <c r="AE57" s="0" t="n">
        <f aca="false">Offre!$E$30*(Offre!$C$30^Param!$B$3)*1_Friction!AE57</f>
        <v>0</v>
      </c>
      <c r="AF57" s="0" t="n">
        <f aca="false">Offre!$E$31*(Offre!$C$31^Param!$B$3)*1_Friction!AF57</f>
        <v>0</v>
      </c>
      <c r="AG57" s="0" t="n">
        <f aca="false">Offre!$E$32*(Offre!$C$32^Param!$B$3)*1_Friction!AG57</f>
        <v>3.07952947115492</v>
      </c>
      <c r="AH57" s="0" t="n">
        <f aca="false">Offre!$E$33*(Offre!$C$33^Param!$B$3)*1_Friction!AH57</f>
        <v>14.5445448247117</v>
      </c>
      <c r="AI57" s="0" t="n">
        <f aca="false">Offre!$E$34*(Offre!$C$34^Param!$B$3)*1_Friction!AI57</f>
        <v>0.362852717508604</v>
      </c>
      <c r="AJ57" s="0" t="n">
        <f aca="false">Offre!$E$35*(Offre!$C$35^Param!$B$3)*1_Friction!AJ57</f>
        <v>0</v>
      </c>
      <c r="AK57" s="0" t="n">
        <f aca="false">Offre!$E$36*(Offre!$C$36^Param!$B$3)*1_Friction!AK57</f>
        <v>0</v>
      </c>
      <c r="AL57" s="0" t="n">
        <f aca="false">Offre!$E$37*(Offre!$C$37^Param!$B$3)*1_Friction!AL57</f>
        <v>0</v>
      </c>
      <c r="AM57" s="0" t="n">
        <f aca="false">Offre!$E$38*(Offre!$C$38^Param!$B$3)*1_Friction!AM57</f>
        <v>6.94425975483374</v>
      </c>
      <c r="AN57" s="0" t="n">
        <f aca="false">Offre!$E$39*(Offre!$C$39^Param!$B$3)*1_Friction!AN57</f>
        <v>0</v>
      </c>
      <c r="AO57" s="0" t="n">
        <f aca="false">SUM(C57:AN57)</f>
        <v>234.731891325052</v>
      </c>
    </row>
    <row r="58" customFormat="false" ht="15" hidden="false" customHeight="true" outlineLevel="0" collapsed="false">
      <c r="A58" s="0" t="s">
        <v>214</v>
      </c>
      <c r="B58" s="0" t="s">
        <v>215</v>
      </c>
      <c r="C58" s="0" t="n">
        <f aca="false">Offre!$E$2*(Offre!$C$2^Param!$B$3)*1_Friction!C58</f>
        <v>0</v>
      </c>
      <c r="D58" s="0" t="n">
        <f aca="false">Offre!$E$3*(Offre!$C$3^Param!$B$3)*1_Friction!D58</f>
        <v>0</v>
      </c>
      <c r="E58" s="0" t="n">
        <f aca="false">Offre!$E$4*(Offre!$C$4^Param!$B$3)*1_Friction!E58</f>
        <v>0</v>
      </c>
      <c r="F58" s="0" t="n">
        <f aca="false">Offre!$E$5*(Offre!$C$5^Param!$B$3)*1_Friction!F58</f>
        <v>0</v>
      </c>
      <c r="G58" s="0" t="n">
        <f aca="false">Offre!$E$6*(Offre!$C$6^Param!$B$3)*1_Friction!G58</f>
        <v>0</v>
      </c>
      <c r="H58" s="0" t="n">
        <f aca="false">Offre!$E$7*(Offre!$C$7^Param!$B$3)*1_Friction!H58</f>
        <v>0</v>
      </c>
      <c r="I58" s="0" t="n">
        <f aca="false">Offre!$E$8*(Offre!$C$8^Param!$B$3)*1_Friction!I58</f>
        <v>0</v>
      </c>
      <c r="J58" s="0" t="n">
        <f aca="false">Offre!$E$9*(Offre!$C$9^Param!$B$3)*1_Friction!J58</f>
        <v>0</v>
      </c>
      <c r="K58" s="0" t="n">
        <f aca="false">Offre!$E$10*(Offre!$C$10^Param!$B$3)*1_Friction!K58</f>
        <v>0</v>
      </c>
      <c r="L58" s="0" t="n">
        <f aca="false">Offre!$E$11*(Offre!$C$11^Param!$B$3)*1_Friction!L58</f>
        <v>0</v>
      </c>
      <c r="M58" s="0" t="n">
        <f aca="false">Offre!$E$12*(Offre!$C$12^Param!$B$3)*1_Friction!M58</f>
        <v>0</v>
      </c>
      <c r="N58" s="0" t="n">
        <f aca="false">Offre!$E$13*(Offre!$C$13^Param!$B$3)*1_Friction!N58</f>
        <v>0</v>
      </c>
      <c r="O58" s="0" t="n">
        <f aca="false">Offre!$E$14*(Offre!$C$14^Param!$B$3)*1_Friction!O58</f>
        <v>0</v>
      </c>
      <c r="P58" s="0" t="n">
        <f aca="false">Offre!$E$15*(Offre!$C$15^Param!$B$3)*1_Friction!P58</f>
        <v>0</v>
      </c>
      <c r="Q58" s="0" t="n">
        <f aca="false">Offre!$E$16*(Offre!$C$16^Param!$B$3)*1_Friction!Q58</f>
        <v>0</v>
      </c>
      <c r="R58" s="0" t="n">
        <f aca="false">Offre!$E$17*(Offre!$C$17^Param!$B$3)*1_Friction!R58</f>
        <v>0</v>
      </c>
      <c r="S58" s="0" t="n">
        <f aca="false">Offre!$E$18*(Offre!$C$18^Param!$B$3)*1_Friction!S58</f>
        <v>0</v>
      </c>
      <c r="T58" s="0" t="n">
        <f aca="false">Offre!$E$19*(Offre!$C$19^Param!$B$3)*1_Friction!T58</f>
        <v>0</v>
      </c>
      <c r="U58" s="0" t="n">
        <f aca="false">Offre!$E$20*(Offre!$C$20^Param!$B$3)*1_Friction!U58</f>
        <v>0</v>
      </c>
      <c r="V58" s="0" t="n">
        <f aca="false">Offre!$E$21*(Offre!$C$21^Param!$B$3)*1_Friction!V58</f>
        <v>0</v>
      </c>
      <c r="W58" s="0" t="n">
        <f aca="false">Offre!$E$22*(Offre!$C$22^Param!$B$3)*1_Friction!W58</f>
        <v>0</v>
      </c>
      <c r="X58" s="0" t="n">
        <f aca="false">Offre!$E$23*(Offre!$C$23^Param!$B$3)*1_Friction!X58</f>
        <v>0</v>
      </c>
      <c r="Y58" s="0" t="n">
        <f aca="false">Offre!$E$24*(Offre!$C$24^Param!$B$3)*1_Friction!Y58</f>
        <v>0</v>
      </c>
      <c r="Z58" s="0" t="n">
        <f aca="false">Offre!$E$25*(Offre!$C$25^Param!$B$3)*1_Friction!Z58</f>
        <v>0</v>
      </c>
      <c r="AA58" s="0" t="n">
        <f aca="false">Offre!$E$26*(Offre!$C$26^Param!$B$3)*1_Friction!AA58</f>
        <v>0</v>
      </c>
      <c r="AB58" s="0" t="n">
        <f aca="false">Offre!$E$27*(Offre!$C$27^Param!$B$3)*1_Friction!AB58</f>
        <v>0</v>
      </c>
      <c r="AC58" s="0" t="n">
        <f aca="false">Offre!$E$28*(Offre!$C$28^Param!$B$3)*1_Friction!AC58</f>
        <v>0</v>
      </c>
      <c r="AD58" s="0" t="n">
        <f aca="false">Offre!$E$29*(Offre!$C$29^Param!$B$3)*1_Friction!AD58</f>
        <v>0</v>
      </c>
      <c r="AE58" s="0" t="n">
        <f aca="false">Offre!$E$30*(Offre!$C$30^Param!$B$3)*1_Friction!AE58</f>
        <v>0</v>
      </c>
      <c r="AF58" s="0" t="n">
        <f aca="false">Offre!$E$31*(Offre!$C$31^Param!$B$3)*1_Friction!AF58</f>
        <v>0</v>
      </c>
      <c r="AG58" s="0" t="n">
        <f aca="false">Offre!$E$32*(Offre!$C$32^Param!$B$3)*1_Friction!AG58</f>
        <v>0</v>
      </c>
      <c r="AH58" s="0" t="n">
        <f aca="false">Offre!$E$33*(Offre!$C$33^Param!$B$3)*1_Friction!AH58</f>
        <v>0</v>
      </c>
      <c r="AI58" s="0" t="n">
        <f aca="false">Offre!$E$34*(Offre!$C$34^Param!$B$3)*1_Friction!AI58</f>
        <v>0</v>
      </c>
      <c r="AJ58" s="0" t="n">
        <f aca="false">Offre!$E$35*(Offre!$C$35^Param!$B$3)*1_Friction!AJ58</f>
        <v>0</v>
      </c>
      <c r="AK58" s="0" t="n">
        <f aca="false">Offre!$E$36*(Offre!$C$36^Param!$B$3)*1_Friction!AK58</f>
        <v>0</v>
      </c>
      <c r="AL58" s="0" t="n">
        <f aca="false">Offre!$E$37*(Offre!$C$37^Param!$B$3)*1_Friction!AL58</f>
        <v>0</v>
      </c>
      <c r="AM58" s="0" t="n">
        <f aca="false">Offre!$E$38*(Offre!$C$38^Param!$B$3)*1_Friction!AM58</f>
        <v>0</v>
      </c>
      <c r="AN58" s="0" t="n">
        <f aca="false">Offre!$E$39*(Offre!$C$39^Param!$B$3)*1_Friction!AN58</f>
        <v>0</v>
      </c>
      <c r="AO58" s="0" t="n">
        <f aca="false">SUM(C58:AN58)</f>
        <v>0</v>
      </c>
    </row>
    <row r="59" customFormat="false" ht="15" hidden="false" customHeight="true" outlineLevel="0" collapsed="false">
      <c r="A59" s="0" t="s">
        <v>216</v>
      </c>
      <c r="B59" s="0" t="s">
        <v>217</v>
      </c>
      <c r="C59" s="0" t="n">
        <f aca="false">Offre!$E$2*(Offre!$C$2^Param!$B$3)*1_Friction!C59</f>
        <v>0</v>
      </c>
      <c r="D59" s="0" t="n">
        <f aca="false">Offre!$E$3*(Offre!$C$3^Param!$B$3)*1_Friction!D59</f>
        <v>0</v>
      </c>
      <c r="E59" s="0" t="n">
        <f aca="false">Offre!$E$4*(Offre!$C$4^Param!$B$3)*1_Friction!E59</f>
        <v>0</v>
      </c>
      <c r="F59" s="0" t="n">
        <f aca="false">Offre!$E$5*(Offre!$C$5^Param!$B$3)*1_Friction!F59</f>
        <v>0</v>
      </c>
      <c r="G59" s="0" t="n">
        <f aca="false">Offre!$E$6*(Offre!$C$6^Param!$B$3)*1_Friction!G59</f>
        <v>0</v>
      </c>
      <c r="H59" s="0" t="n">
        <f aca="false">Offre!$E$7*(Offre!$C$7^Param!$B$3)*1_Friction!H59</f>
        <v>0</v>
      </c>
      <c r="I59" s="0" t="n">
        <f aca="false">Offre!$E$8*(Offre!$C$8^Param!$B$3)*1_Friction!I59</f>
        <v>0</v>
      </c>
      <c r="J59" s="0" t="n">
        <f aca="false">Offre!$E$9*(Offre!$C$9^Param!$B$3)*1_Friction!J59</f>
        <v>0</v>
      </c>
      <c r="K59" s="0" t="n">
        <f aca="false">Offre!$E$10*(Offre!$C$10^Param!$B$3)*1_Friction!K59</f>
        <v>0</v>
      </c>
      <c r="L59" s="0" t="n">
        <f aca="false">Offre!$E$11*(Offre!$C$11^Param!$B$3)*1_Friction!L59</f>
        <v>0</v>
      </c>
      <c r="M59" s="0" t="n">
        <f aca="false">Offre!$E$12*(Offre!$C$12^Param!$B$3)*1_Friction!M59</f>
        <v>0</v>
      </c>
      <c r="N59" s="0" t="n">
        <f aca="false">Offre!$E$13*(Offre!$C$13^Param!$B$3)*1_Friction!N59</f>
        <v>0</v>
      </c>
      <c r="O59" s="0" t="n">
        <f aca="false">Offre!$E$14*(Offre!$C$14^Param!$B$3)*1_Friction!O59</f>
        <v>0</v>
      </c>
      <c r="P59" s="0" t="n">
        <f aca="false">Offre!$E$15*(Offre!$C$15^Param!$B$3)*1_Friction!P59</f>
        <v>0</v>
      </c>
      <c r="Q59" s="0" t="n">
        <f aca="false">Offre!$E$16*(Offre!$C$16^Param!$B$3)*1_Friction!Q59</f>
        <v>0</v>
      </c>
      <c r="R59" s="0" t="n">
        <f aca="false">Offre!$E$17*(Offre!$C$17^Param!$B$3)*1_Friction!R59</f>
        <v>0</v>
      </c>
      <c r="S59" s="0" t="n">
        <f aca="false">Offre!$E$18*(Offre!$C$18^Param!$B$3)*1_Friction!S59</f>
        <v>0</v>
      </c>
      <c r="T59" s="0" t="n">
        <f aca="false">Offre!$E$19*(Offre!$C$19^Param!$B$3)*1_Friction!T59</f>
        <v>0</v>
      </c>
      <c r="U59" s="0" t="n">
        <f aca="false">Offre!$E$20*(Offre!$C$20^Param!$B$3)*1_Friction!U59</f>
        <v>0</v>
      </c>
      <c r="V59" s="0" t="n">
        <f aca="false">Offre!$E$21*(Offre!$C$21^Param!$B$3)*1_Friction!V59</f>
        <v>0</v>
      </c>
      <c r="W59" s="0" t="n">
        <f aca="false">Offre!$E$22*(Offre!$C$22^Param!$B$3)*1_Friction!W59</f>
        <v>0</v>
      </c>
      <c r="X59" s="0" t="n">
        <f aca="false">Offre!$E$23*(Offre!$C$23^Param!$B$3)*1_Friction!X59</f>
        <v>0</v>
      </c>
      <c r="Y59" s="0" t="n">
        <f aca="false">Offre!$E$24*(Offre!$C$24^Param!$B$3)*1_Friction!Y59</f>
        <v>0</v>
      </c>
      <c r="Z59" s="0" t="n">
        <f aca="false">Offre!$E$25*(Offre!$C$25^Param!$B$3)*1_Friction!Z59</f>
        <v>0</v>
      </c>
      <c r="AA59" s="0" t="n">
        <f aca="false">Offre!$E$26*(Offre!$C$26^Param!$B$3)*1_Friction!AA59</f>
        <v>0</v>
      </c>
      <c r="AB59" s="0" t="n">
        <f aca="false">Offre!$E$27*(Offre!$C$27^Param!$B$3)*1_Friction!AB59</f>
        <v>0</v>
      </c>
      <c r="AC59" s="0" t="n">
        <f aca="false">Offre!$E$28*(Offre!$C$28^Param!$B$3)*1_Friction!AC59</f>
        <v>0</v>
      </c>
      <c r="AD59" s="0" t="n">
        <f aca="false">Offre!$E$29*(Offre!$C$29^Param!$B$3)*1_Friction!AD59</f>
        <v>0</v>
      </c>
      <c r="AE59" s="0" t="n">
        <f aca="false">Offre!$E$30*(Offre!$C$30^Param!$B$3)*1_Friction!AE59</f>
        <v>0</v>
      </c>
      <c r="AF59" s="0" t="n">
        <f aca="false">Offre!$E$31*(Offre!$C$31^Param!$B$3)*1_Friction!AF59</f>
        <v>0</v>
      </c>
      <c r="AG59" s="0" t="n">
        <f aca="false">Offre!$E$32*(Offre!$C$32^Param!$B$3)*1_Friction!AG59</f>
        <v>0</v>
      </c>
      <c r="AH59" s="0" t="n">
        <f aca="false">Offre!$E$33*(Offre!$C$33^Param!$B$3)*1_Friction!AH59</f>
        <v>0</v>
      </c>
      <c r="AI59" s="0" t="n">
        <f aca="false">Offre!$E$34*(Offre!$C$34^Param!$B$3)*1_Friction!AI59</f>
        <v>0</v>
      </c>
      <c r="AJ59" s="0" t="n">
        <f aca="false">Offre!$E$35*(Offre!$C$35^Param!$B$3)*1_Friction!AJ59</f>
        <v>0</v>
      </c>
      <c r="AK59" s="0" t="n">
        <f aca="false">Offre!$E$36*(Offre!$C$36^Param!$B$3)*1_Friction!AK59</f>
        <v>0</v>
      </c>
      <c r="AL59" s="0" t="n">
        <f aca="false">Offre!$E$37*(Offre!$C$37^Param!$B$3)*1_Friction!AL59</f>
        <v>0</v>
      </c>
      <c r="AM59" s="0" t="n">
        <f aca="false">Offre!$E$38*(Offre!$C$38^Param!$B$3)*1_Friction!AM59</f>
        <v>0</v>
      </c>
      <c r="AN59" s="0" t="n">
        <f aca="false">Offre!$E$39*(Offre!$C$39^Param!$B$3)*1_Friction!AN59</f>
        <v>0</v>
      </c>
      <c r="AO59" s="0" t="n">
        <f aca="false">SUM(C59:AN59)</f>
        <v>0</v>
      </c>
    </row>
    <row r="60" customFormat="false" ht="15" hidden="false" customHeight="true" outlineLevel="0" collapsed="false">
      <c r="A60" s="0" t="s">
        <v>218</v>
      </c>
      <c r="B60" s="0" t="s">
        <v>219</v>
      </c>
      <c r="C60" s="0" t="n">
        <f aca="false">Offre!$E$2*(Offre!$C$2^Param!$B$3)*1_Friction!C60</f>
        <v>0</v>
      </c>
      <c r="D60" s="0" t="n">
        <f aca="false">Offre!$E$3*(Offre!$C$3^Param!$B$3)*1_Friction!D60</f>
        <v>0.456315919789665</v>
      </c>
      <c r="E60" s="0" t="n">
        <f aca="false">Offre!$E$4*(Offre!$C$4^Param!$B$3)*1_Friction!E60</f>
        <v>5.18727285867522</v>
      </c>
      <c r="F60" s="0" t="n">
        <f aca="false">Offre!$E$5*(Offre!$C$5^Param!$B$3)*1_Friction!F60</f>
        <v>1.02631879655632</v>
      </c>
      <c r="G60" s="0" t="n">
        <f aca="false">Offre!$E$6*(Offre!$C$6^Param!$B$3)*1_Friction!G60</f>
        <v>3.00860410772907</v>
      </c>
      <c r="H60" s="0" t="n">
        <f aca="false">Offre!$E$7*(Offre!$C$7^Param!$B$3)*1_Friction!H60</f>
        <v>0.720473251567045</v>
      </c>
      <c r="I60" s="0" t="n">
        <f aca="false">Offre!$E$8*(Offre!$C$8^Param!$B$3)*1_Friction!I60</f>
        <v>1.82639060890077</v>
      </c>
      <c r="J60" s="0" t="n">
        <f aca="false">Offre!$E$9*(Offre!$C$9^Param!$B$3)*1_Friction!J60</f>
        <v>1.38283250102397</v>
      </c>
      <c r="K60" s="0" t="n">
        <f aca="false">Offre!$E$10*(Offre!$C$10^Param!$B$3)*1_Friction!K60</f>
        <v>0.817510889432218</v>
      </c>
      <c r="L60" s="0" t="n">
        <f aca="false">Offre!$E$11*(Offre!$C$11^Param!$B$3)*1_Friction!L60</f>
        <v>0.959878386779806</v>
      </c>
      <c r="M60" s="0" t="n">
        <f aca="false">Offre!$E$12*(Offre!$C$12^Param!$B$3)*1_Friction!M60</f>
        <v>4.27715014934674</v>
      </c>
      <c r="N60" s="0" t="n">
        <f aca="false">Offre!$E$13*(Offre!$C$13^Param!$B$3)*1_Friction!N60</f>
        <v>0.589523296993078</v>
      </c>
      <c r="O60" s="0" t="n">
        <f aca="false">Offre!$E$14*(Offre!$C$14^Param!$B$3)*1_Friction!O60</f>
        <v>2.23451129251707</v>
      </c>
      <c r="P60" s="0" t="n">
        <f aca="false">Offre!$E$15*(Offre!$C$15^Param!$B$3)*1_Friction!P60</f>
        <v>1.04308061710179</v>
      </c>
      <c r="Q60" s="0" t="n">
        <f aca="false">Offre!$E$16*(Offre!$C$16^Param!$B$3)*1_Friction!Q60</f>
        <v>9.87738126733919</v>
      </c>
      <c r="R60" s="0" t="n">
        <f aca="false">Offre!$E$17*(Offre!$C$17^Param!$B$3)*1_Friction!R60</f>
        <v>1.19959699534006</v>
      </c>
      <c r="S60" s="0" t="n">
        <f aca="false">Offre!$E$18*(Offre!$C$18^Param!$B$3)*1_Friction!S60</f>
        <v>0.993081755003967</v>
      </c>
      <c r="T60" s="0" t="n">
        <f aca="false">Offre!$E$19*(Offre!$C$19^Param!$B$3)*1_Friction!T60</f>
        <v>0</v>
      </c>
      <c r="U60" s="0" t="n">
        <f aca="false">Offre!$E$20*(Offre!$C$20^Param!$B$3)*1_Friction!U60</f>
        <v>0</v>
      </c>
      <c r="V60" s="0" t="n">
        <f aca="false">Offre!$E$21*(Offre!$C$21^Param!$B$3)*1_Friction!V60</f>
        <v>0</v>
      </c>
      <c r="W60" s="0" t="n">
        <f aca="false">Offre!$E$22*(Offre!$C$22^Param!$B$3)*1_Friction!W60</f>
        <v>0</v>
      </c>
      <c r="X60" s="0" t="n">
        <f aca="false">Offre!$E$23*(Offre!$C$23^Param!$B$3)*1_Friction!X60</f>
        <v>0</v>
      </c>
      <c r="Y60" s="0" t="n">
        <f aca="false">Offre!$E$24*(Offre!$C$24^Param!$B$3)*1_Friction!Y60</f>
        <v>0</v>
      </c>
      <c r="Z60" s="0" t="n">
        <f aca="false">Offre!$E$25*(Offre!$C$25^Param!$B$3)*1_Friction!Z60</f>
        <v>0</v>
      </c>
      <c r="AA60" s="0" t="n">
        <f aca="false">Offre!$E$26*(Offre!$C$26^Param!$B$3)*1_Friction!AA60</f>
        <v>0</v>
      </c>
      <c r="AB60" s="0" t="n">
        <f aca="false">Offre!$E$27*(Offre!$C$27^Param!$B$3)*1_Friction!AB60</f>
        <v>0</v>
      </c>
      <c r="AC60" s="0" t="n">
        <f aca="false">Offre!$E$28*(Offre!$C$28^Param!$B$3)*1_Friction!AC60</f>
        <v>0</v>
      </c>
      <c r="AD60" s="0" t="n">
        <f aca="false">Offre!$E$29*(Offre!$C$29^Param!$B$3)*1_Friction!AD60</f>
        <v>0</v>
      </c>
      <c r="AE60" s="0" t="n">
        <f aca="false">Offre!$E$30*(Offre!$C$30^Param!$B$3)*1_Friction!AE60</f>
        <v>0</v>
      </c>
      <c r="AF60" s="0" t="n">
        <f aca="false">Offre!$E$31*(Offre!$C$31^Param!$B$3)*1_Friction!AF60</f>
        <v>0</v>
      </c>
      <c r="AG60" s="0" t="n">
        <f aca="false">Offre!$E$32*(Offre!$C$32^Param!$B$3)*1_Friction!AG60</f>
        <v>0</v>
      </c>
      <c r="AH60" s="0" t="n">
        <f aca="false">Offre!$E$33*(Offre!$C$33^Param!$B$3)*1_Friction!AH60</f>
        <v>3.39116656820721</v>
      </c>
      <c r="AI60" s="0" t="n">
        <f aca="false">Offre!$E$34*(Offre!$C$34^Param!$B$3)*1_Friction!AI60</f>
        <v>0</v>
      </c>
      <c r="AJ60" s="0" t="n">
        <f aca="false">Offre!$E$35*(Offre!$C$35^Param!$B$3)*1_Friction!AJ60</f>
        <v>0</v>
      </c>
      <c r="AK60" s="0" t="n">
        <f aca="false">Offre!$E$36*(Offre!$C$36^Param!$B$3)*1_Friction!AK60</f>
        <v>0</v>
      </c>
      <c r="AL60" s="0" t="n">
        <f aca="false">Offre!$E$37*(Offre!$C$37^Param!$B$3)*1_Friction!AL60</f>
        <v>0</v>
      </c>
      <c r="AM60" s="0" t="n">
        <f aca="false">Offre!$E$38*(Offre!$C$38^Param!$B$3)*1_Friction!AM60</f>
        <v>0</v>
      </c>
      <c r="AN60" s="0" t="n">
        <f aca="false">Offre!$E$39*(Offre!$C$39^Param!$B$3)*1_Friction!AN60</f>
        <v>0</v>
      </c>
      <c r="AO60" s="0" t="n">
        <f aca="false">SUM(C60:AN60)</f>
        <v>38.9910892623032</v>
      </c>
    </row>
    <row r="61" customFormat="false" ht="15" hidden="false" customHeight="true" outlineLevel="0" collapsed="false">
      <c r="A61" s="0" t="s">
        <v>220</v>
      </c>
      <c r="B61" s="0" t="s">
        <v>221</v>
      </c>
      <c r="C61" s="0" t="n">
        <f aca="false">Offre!$E$2*(Offre!$C$2^Param!$B$3)*1_Friction!C61</f>
        <v>0</v>
      </c>
      <c r="D61" s="0" t="n">
        <f aca="false">Offre!$E$3*(Offre!$C$3^Param!$B$3)*1_Friction!D61</f>
        <v>0</v>
      </c>
      <c r="E61" s="0" t="n">
        <f aca="false">Offre!$E$4*(Offre!$C$4^Param!$B$3)*1_Friction!E61</f>
        <v>0</v>
      </c>
      <c r="F61" s="0" t="n">
        <f aca="false">Offre!$E$5*(Offre!$C$5^Param!$B$3)*1_Friction!F61</f>
        <v>0</v>
      </c>
      <c r="G61" s="0" t="n">
        <f aca="false">Offre!$E$6*(Offre!$C$6^Param!$B$3)*1_Friction!G61</f>
        <v>0</v>
      </c>
      <c r="H61" s="0" t="n">
        <f aca="false">Offre!$E$7*(Offre!$C$7^Param!$B$3)*1_Friction!H61</f>
        <v>0</v>
      </c>
      <c r="I61" s="0" t="n">
        <f aca="false">Offre!$E$8*(Offre!$C$8^Param!$B$3)*1_Friction!I61</f>
        <v>0</v>
      </c>
      <c r="J61" s="0" t="n">
        <f aca="false">Offre!$E$9*(Offre!$C$9^Param!$B$3)*1_Friction!J61</f>
        <v>0</v>
      </c>
      <c r="K61" s="0" t="n">
        <f aca="false">Offre!$E$10*(Offre!$C$10^Param!$B$3)*1_Friction!K61</f>
        <v>0</v>
      </c>
      <c r="L61" s="0" t="n">
        <f aca="false">Offre!$E$11*(Offre!$C$11^Param!$B$3)*1_Friction!L61</f>
        <v>0</v>
      </c>
      <c r="M61" s="0" t="n">
        <f aca="false">Offre!$E$12*(Offre!$C$12^Param!$B$3)*1_Friction!M61</f>
        <v>0</v>
      </c>
      <c r="N61" s="0" t="n">
        <f aca="false">Offre!$E$13*(Offre!$C$13^Param!$B$3)*1_Friction!N61</f>
        <v>0</v>
      </c>
      <c r="O61" s="0" t="n">
        <f aca="false">Offre!$E$14*(Offre!$C$14^Param!$B$3)*1_Friction!O61</f>
        <v>0</v>
      </c>
      <c r="P61" s="0" t="n">
        <f aca="false">Offre!$E$15*(Offre!$C$15^Param!$B$3)*1_Friction!P61</f>
        <v>0</v>
      </c>
      <c r="Q61" s="0" t="n">
        <f aca="false">Offre!$E$16*(Offre!$C$16^Param!$B$3)*1_Friction!Q61</f>
        <v>0</v>
      </c>
      <c r="R61" s="0" t="n">
        <f aca="false">Offre!$E$17*(Offre!$C$17^Param!$B$3)*1_Friction!R61</f>
        <v>0</v>
      </c>
      <c r="S61" s="0" t="n">
        <f aca="false">Offre!$E$18*(Offre!$C$18^Param!$B$3)*1_Friction!S61</f>
        <v>0</v>
      </c>
      <c r="T61" s="0" t="n">
        <f aca="false">Offre!$E$19*(Offre!$C$19^Param!$B$3)*1_Friction!T61</f>
        <v>0</v>
      </c>
      <c r="U61" s="0" t="n">
        <f aca="false">Offre!$E$20*(Offre!$C$20^Param!$B$3)*1_Friction!U61</f>
        <v>0</v>
      </c>
      <c r="V61" s="0" t="n">
        <f aca="false">Offre!$E$21*(Offre!$C$21^Param!$B$3)*1_Friction!V61</f>
        <v>0</v>
      </c>
      <c r="W61" s="0" t="n">
        <f aca="false">Offre!$E$22*(Offre!$C$22^Param!$B$3)*1_Friction!W61</f>
        <v>0</v>
      </c>
      <c r="X61" s="0" t="n">
        <f aca="false">Offre!$E$23*(Offre!$C$23^Param!$B$3)*1_Friction!X61</f>
        <v>0</v>
      </c>
      <c r="Y61" s="0" t="n">
        <f aca="false">Offre!$E$24*(Offre!$C$24^Param!$B$3)*1_Friction!Y61</f>
        <v>0</v>
      </c>
      <c r="Z61" s="0" t="n">
        <f aca="false">Offre!$E$25*(Offre!$C$25^Param!$B$3)*1_Friction!Z61</f>
        <v>0</v>
      </c>
      <c r="AA61" s="0" t="n">
        <f aca="false">Offre!$E$26*(Offre!$C$26^Param!$B$3)*1_Friction!AA61</f>
        <v>0</v>
      </c>
      <c r="AB61" s="0" t="n">
        <f aca="false">Offre!$E$27*(Offre!$C$27^Param!$B$3)*1_Friction!AB61</f>
        <v>0</v>
      </c>
      <c r="AC61" s="0" t="n">
        <f aca="false">Offre!$E$28*(Offre!$C$28^Param!$B$3)*1_Friction!AC61</f>
        <v>0</v>
      </c>
      <c r="AD61" s="0" t="n">
        <f aca="false">Offre!$E$29*(Offre!$C$29^Param!$B$3)*1_Friction!AD61</f>
        <v>0</v>
      </c>
      <c r="AE61" s="0" t="n">
        <f aca="false">Offre!$E$30*(Offre!$C$30^Param!$B$3)*1_Friction!AE61</f>
        <v>0</v>
      </c>
      <c r="AF61" s="0" t="n">
        <f aca="false">Offre!$E$31*(Offre!$C$31^Param!$B$3)*1_Friction!AF61</f>
        <v>0</v>
      </c>
      <c r="AG61" s="0" t="n">
        <f aca="false">Offre!$E$32*(Offre!$C$32^Param!$B$3)*1_Friction!AG61</f>
        <v>0</v>
      </c>
      <c r="AH61" s="0" t="n">
        <f aca="false">Offre!$E$33*(Offre!$C$33^Param!$B$3)*1_Friction!AH61</f>
        <v>0</v>
      </c>
      <c r="AI61" s="0" t="n">
        <f aca="false">Offre!$E$34*(Offre!$C$34^Param!$B$3)*1_Friction!AI61</f>
        <v>0</v>
      </c>
      <c r="AJ61" s="0" t="n">
        <f aca="false">Offre!$E$35*(Offre!$C$35^Param!$B$3)*1_Friction!AJ61</f>
        <v>0</v>
      </c>
      <c r="AK61" s="0" t="n">
        <f aca="false">Offre!$E$36*(Offre!$C$36^Param!$B$3)*1_Friction!AK61</f>
        <v>0</v>
      </c>
      <c r="AL61" s="0" t="n">
        <f aca="false">Offre!$E$37*(Offre!$C$37^Param!$B$3)*1_Friction!AL61</f>
        <v>0</v>
      </c>
      <c r="AM61" s="0" t="n">
        <f aca="false">Offre!$E$38*(Offre!$C$38^Param!$B$3)*1_Friction!AM61</f>
        <v>0</v>
      </c>
      <c r="AN61" s="0" t="n">
        <f aca="false">Offre!$E$39*(Offre!$C$39^Param!$B$3)*1_Friction!AN61</f>
        <v>0</v>
      </c>
      <c r="AO61" s="0" t="n">
        <f aca="false">SUM(C61:AN61)</f>
        <v>0</v>
      </c>
    </row>
    <row r="62" customFormat="false" ht="15" hidden="false" customHeight="true" outlineLevel="0" collapsed="false">
      <c r="A62" s="0" t="s">
        <v>222</v>
      </c>
      <c r="B62" s="0" t="s">
        <v>223</v>
      </c>
      <c r="C62" s="0" t="n">
        <f aca="false">Offre!$E$2*(Offre!$C$2^Param!$B$3)*1_Friction!C62</f>
        <v>0</v>
      </c>
      <c r="D62" s="0" t="n">
        <f aca="false">Offre!$E$3*(Offre!$C$3^Param!$B$3)*1_Friction!D62</f>
        <v>0</v>
      </c>
      <c r="E62" s="0" t="n">
        <f aca="false">Offre!$E$4*(Offre!$C$4^Param!$B$3)*1_Friction!E62</f>
        <v>0</v>
      </c>
      <c r="F62" s="0" t="n">
        <f aca="false">Offre!$E$5*(Offre!$C$5^Param!$B$3)*1_Friction!F62</f>
        <v>0</v>
      </c>
      <c r="G62" s="0" t="n">
        <f aca="false">Offre!$E$6*(Offre!$C$6^Param!$B$3)*1_Friction!G62</f>
        <v>0</v>
      </c>
      <c r="H62" s="0" t="n">
        <f aca="false">Offre!$E$7*(Offre!$C$7^Param!$B$3)*1_Friction!H62</f>
        <v>0</v>
      </c>
      <c r="I62" s="0" t="n">
        <f aca="false">Offre!$E$8*(Offre!$C$8^Param!$B$3)*1_Friction!I62</f>
        <v>0</v>
      </c>
      <c r="J62" s="0" t="n">
        <f aca="false">Offre!$E$9*(Offre!$C$9^Param!$B$3)*1_Friction!J62</f>
        <v>0</v>
      </c>
      <c r="K62" s="0" t="n">
        <f aca="false">Offre!$E$10*(Offre!$C$10^Param!$B$3)*1_Friction!K62</f>
        <v>0</v>
      </c>
      <c r="L62" s="0" t="n">
        <f aca="false">Offre!$E$11*(Offre!$C$11^Param!$B$3)*1_Friction!L62</f>
        <v>0</v>
      </c>
      <c r="M62" s="0" t="n">
        <f aca="false">Offre!$E$12*(Offre!$C$12^Param!$B$3)*1_Friction!M62</f>
        <v>0</v>
      </c>
      <c r="N62" s="0" t="n">
        <f aca="false">Offre!$E$13*(Offre!$C$13^Param!$B$3)*1_Friction!N62</f>
        <v>0</v>
      </c>
      <c r="O62" s="0" t="n">
        <f aca="false">Offre!$E$14*(Offre!$C$14^Param!$B$3)*1_Friction!O62</f>
        <v>0</v>
      </c>
      <c r="P62" s="0" t="n">
        <f aca="false">Offre!$E$15*(Offre!$C$15^Param!$B$3)*1_Friction!P62</f>
        <v>0</v>
      </c>
      <c r="Q62" s="0" t="n">
        <f aca="false">Offre!$E$16*(Offre!$C$16^Param!$B$3)*1_Friction!Q62</f>
        <v>0</v>
      </c>
      <c r="R62" s="0" t="n">
        <f aca="false">Offre!$E$17*(Offre!$C$17^Param!$B$3)*1_Friction!R62</f>
        <v>0</v>
      </c>
      <c r="S62" s="0" t="n">
        <f aca="false">Offre!$E$18*(Offre!$C$18^Param!$B$3)*1_Friction!S62</f>
        <v>0</v>
      </c>
      <c r="T62" s="0" t="n">
        <f aca="false">Offre!$E$19*(Offre!$C$19^Param!$B$3)*1_Friction!T62</f>
        <v>0</v>
      </c>
      <c r="U62" s="0" t="n">
        <f aca="false">Offre!$E$20*(Offre!$C$20^Param!$B$3)*1_Friction!U62</f>
        <v>0</v>
      </c>
      <c r="V62" s="0" t="n">
        <f aca="false">Offre!$E$21*(Offre!$C$21^Param!$B$3)*1_Friction!V62</f>
        <v>0</v>
      </c>
      <c r="W62" s="0" t="n">
        <f aca="false">Offre!$E$22*(Offre!$C$22^Param!$B$3)*1_Friction!W62</f>
        <v>0</v>
      </c>
      <c r="X62" s="0" t="n">
        <f aca="false">Offre!$E$23*(Offre!$C$23^Param!$B$3)*1_Friction!X62</f>
        <v>0</v>
      </c>
      <c r="Y62" s="0" t="n">
        <f aca="false">Offre!$E$24*(Offre!$C$24^Param!$B$3)*1_Friction!Y62</f>
        <v>0</v>
      </c>
      <c r="Z62" s="0" t="n">
        <f aca="false">Offre!$E$25*(Offre!$C$25^Param!$B$3)*1_Friction!Z62</f>
        <v>0</v>
      </c>
      <c r="AA62" s="0" t="n">
        <f aca="false">Offre!$E$26*(Offre!$C$26^Param!$B$3)*1_Friction!AA62</f>
        <v>0</v>
      </c>
      <c r="AB62" s="0" t="n">
        <f aca="false">Offre!$E$27*(Offre!$C$27^Param!$B$3)*1_Friction!AB62</f>
        <v>0</v>
      </c>
      <c r="AC62" s="0" t="n">
        <f aca="false">Offre!$E$28*(Offre!$C$28^Param!$B$3)*1_Friction!AC62</f>
        <v>0</v>
      </c>
      <c r="AD62" s="0" t="n">
        <f aca="false">Offre!$E$29*(Offre!$C$29^Param!$B$3)*1_Friction!AD62</f>
        <v>0</v>
      </c>
      <c r="AE62" s="0" t="n">
        <f aca="false">Offre!$E$30*(Offre!$C$30^Param!$B$3)*1_Friction!AE62</f>
        <v>0</v>
      </c>
      <c r="AF62" s="0" t="n">
        <f aca="false">Offre!$E$31*(Offre!$C$31^Param!$B$3)*1_Friction!AF62</f>
        <v>0</v>
      </c>
      <c r="AG62" s="0" t="n">
        <f aca="false">Offre!$E$32*(Offre!$C$32^Param!$B$3)*1_Friction!AG62</f>
        <v>0</v>
      </c>
      <c r="AH62" s="0" t="n">
        <f aca="false">Offre!$E$33*(Offre!$C$33^Param!$B$3)*1_Friction!AH62</f>
        <v>0</v>
      </c>
      <c r="AI62" s="0" t="n">
        <f aca="false">Offre!$E$34*(Offre!$C$34^Param!$B$3)*1_Friction!AI62</f>
        <v>0</v>
      </c>
      <c r="AJ62" s="0" t="n">
        <f aca="false">Offre!$E$35*(Offre!$C$35^Param!$B$3)*1_Friction!AJ62</f>
        <v>0</v>
      </c>
      <c r="AK62" s="0" t="n">
        <f aca="false">Offre!$E$36*(Offre!$C$36^Param!$B$3)*1_Friction!AK62</f>
        <v>0</v>
      </c>
      <c r="AL62" s="0" t="n">
        <f aca="false">Offre!$E$37*(Offre!$C$37^Param!$B$3)*1_Friction!AL62</f>
        <v>0</v>
      </c>
      <c r="AM62" s="0" t="n">
        <f aca="false">Offre!$E$38*(Offre!$C$38^Param!$B$3)*1_Friction!AM62</f>
        <v>0</v>
      </c>
      <c r="AN62" s="0" t="n">
        <f aca="false">Offre!$E$39*(Offre!$C$39^Param!$B$3)*1_Friction!AN62</f>
        <v>0</v>
      </c>
      <c r="AO62" s="0" t="n">
        <f aca="false">SUM(C62:AN62)</f>
        <v>0</v>
      </c>
    </row>
    <row r="63" customFormat="false" ht="15" hidden="false" customHeight="true" outlineLevel="0" collapsed="false">
      <c r="A63" s="0" t="s">
        <v>224</v>
      </c>
      <c r="B63" s="0" t="s">
        <v>225</v>
      </c>
      <c r="C63" s="0" t="n">
        <f aca="false">Offre!$E$2*(Offre!$C$2^Param!$B$3)*1_Friction!C63</f>
        <v>0</v>
      </c>
      <c r="D63" s="0" t="n">
        <f aca="false">Offre!$E$3*(Offre!$C$3^Param!$B$3)*1_Friction!D63</f>
        <v>0</v>
      </c>
      <c r="E63" s="0" t="n">
        <f aca="false">Offre!$E$4*(Offre!$C$4^Param!$B$3)*1_Friction!E63</f>
        <v>0</v>
      </c>
      <c r="F63" s="0" t="n">
        <f aca="false">Offre!$E$5*(Offre!$C$5^Param!$B$3)*1_Friction!F63</f>
        <v>0</v>
      </c>
      <c r="G63" s="0" t="n">
        <f aca="false">Offre!$E$6*(Offre!$C$6^Param!$B$3)*1_Friction!G63</f>
        <v>0</v>
      </c>
      <c r="H63" s="0" t="n">
        <f aca="false">Offre!$E$7*(Offre!$C$7^Param!$B$3)*1_Friction!H63</f>
        <v>0</v>
      </c>
      <c r="I63" s="0" t="n">
        <f aca="false">Offre!$E$8*(Offre!$C$8^Param!$B$3)*1_Friction!I63</f>
        <v>0</v>
      </c>
      <c r="J63" s="0" t="n">
        <f aca="false">Offre!$E$9*(Offre!$C$9^Param!$B$3)*1_Friction!J63</f>
        <v>0</v>
      </c>
      <c r="K63" s="0" t="n">
        <f aca="false">Offre!$E$10*(Offre!$C$10^Param!$B$3)*1_Friction!K63</f>
        <v>0</v>
      </c>
      <c r="L63" s="0" t="n">
        <f aca="false">Offre!$E$11*(Offre!$C$11^Param!$B$3)*1_Friction!L63</f>
        <v>0</v>
      </c>
      <c r="M63" s="0" t="n">
        <f aca="false">Offre!$E$12*(Offre!$C$12^Param!$B$3)*1_Friction!M63</f>
        <v>0</v>
      </c>
      <c r="N63" s="0" t="n">
        <f aca="false">Offre!$E$13*(Offre!$C$13^Param!$B$3)*1_Friction!N63</f>
        <v>0</v>
      </c>
      <c r="O63" s="0" t="n">
        <f aca="false">Offre!$E$14*(Offre!$C$14^Param!$B$3)*1_Friction!O63</f>
        <v>0</v>
      </c>
      <c r="P63" s="0" t="n">
        <f aca="false">Offre!$E$15*(Offre!$C$15^Param!$B$3)*1_Friction!P63</f>
        <v>0</v>
      </c>
      <c r="Q63" s="0" t="n">
        <f aca="false">Offre!$E$16*(Offre!$C$16^Param!$B$3)*1_Friction!Q63</f>
        <v>0</v>
      </c>
      <c r="R63" s="0" t="n">
        <f aca="false">Offre!$E$17*(Offre!$C$17^Param!$B$3)*1_Friction!R63</f>
        <v>0</v>
      </c>
      <c r="S63" s="0" t="n">
        <f aca="false">Offre!$E$18*(Offre!$C$18^Param!$B$3)*1_Friction!S63</f>
        <v>0</v>
      </c>
      <c r="T63" s="0" t="n">
        <f aca="false">Offre!$E$19*(Offre!$C$19^Param!$B$3)*1_Friction!T63</f>
        <v>0</v>
      </c>
      <c r="U63" s="0" t="n">
        <f aca="false">Offre!$E$20*(Offre!$C$20^Param!$B$3)*1_Friction!U63</f>
        <v>0</v>
      </c>
      <c r="V63" s="0" t="n">
        <f aca="false">Offre!$E$21*(Offre!$C$21^Param!$B$3)*1_Friction!V63</f>
        <v>0</v>
      </c>
      <c r="W63" s="0" t="n">
        <f aca="false">Offre!$E$22*(Offre!$C$22^Param!$B$3)*1_Friction!W63</f>
        <v>0</v>
      </c>
      <c r="X63" s="0" t="n">
        <f aca="false">Offre!$E$23*(Offre!$C$23^Param!$B$3)*1_Friction!X63</f>
        <v>0</v>
      </c>
      <c r="Y63" s="0" t="n">
        <f aca="false">Offre!$E$24*(Offre!$C$24^Param!$B$3)*1_Friction!Y63</f>
        <v>0</v>
      </c>
      <c r="Z63" s="0" t="n">
        <f aca="false">Offre!$E$25*(Offre!$C$25^Param!$B$3)*1_Friction!Z63</f>
        <v>0</v>
      </c>
      <c r="AA63" s="0" t="n">
        <f aca="false">Offre!$E$26*(Offre!$C$26^Param!$B$3)*1_Friction!AA63</f>
        <v>0</v>
      </c>
      <c r="AB63" s="0" t="n">
        <f aca="false">Offre!$E$27*(Offre!$C$27^Param!$B$3)*1_Friction!AB63</f>
        <v>0</v>
      </c>
      <c r="AC63" s="0" t="n">
        <f aca="false">Offre!$E$28*(Offre!$C$28^Param!$B$3)*1_Friction!AC63</f>
        <v>0</v>
      </c>
      <c r="AD63" s="0" t="n">
        <f aca="false">Offre!$E$29*(Offre!$C$29^Param!$B$3)*1_Friction!AD63</f>
        <v>0</v>
      </c>
      <c r="AE63" s="0" t="n">
        <f aca="false">Offre!$E$30*(Offre!$C$30^Param!$B$3)*1_Friction!AE63</f>
        <v>0</v>
      </c>
      <c r="AF63" s="0" t="n">
        <f aca="false">Offre!$E$31*(Offre!$C$31^Param!$B$3)*1_Friction!AF63</f>
        <v>0</v>
      </c>
      <c r="AG63" s="0" t="n">
        <f aca="false">Offre!$E$32*(Offre!$C$32^Param!$B$3)*1_Friction!AG63</f>
        <v>0</v>
      </c>
      <c r="AH63" s="0" t="n">
        <f aca="false">Offre!$E$33*(Offre!$C$33^Param!$B$3)*1_Friction!AH63</f>
        <v>0</v>
      </c>
      <c r="AI63" s="0" t="n">
        <f aca="false">Offre!$E$34*(Offre!$C$34^Param!$B$3)*1_Friction!AI63</f>
        <v>0</v>
      </c>
      <c r="AJ63" s="0" t="n">
        <f aca="false">Offre!$E$35*(Offre!$C$35^Param!$B$3)*1_Friction!AJ63</f>
        <v>0</v>
      </c>
      <c r="AK63" s="0" t="n">
        <f aca="false">Offre!$E$36*(Offre!$C$36^Param!$B$3)*1_Friction!AK63</f>
        <v>0</v>
      </c>
      <c r="AL63" s="0" t="n">
        <f aca="false">Offre!$E$37*(Offre!$C$37^Param!$B$3)*1_Friction!AL63</f>
        <v>0</v>
      </c>
      <c r="AM63" s="0" t="n">
        <f aca="false">Offre!$E$38*(Offre!$C$38^Param!$B$3)*1_Friction!AM63</f>
        <v>0</v>
      </c>
      <c r="AN63" s="0" t="n">
        <f aca="false">Offre!$E$39*(Offre!$C$39^Param!$B$3)*1_Friction!AN63</f>
        <v>0</v>
      </c>
      <c r="AO63" s="0" t="n">
        <f aca="false">SUM(C63:AN63)</f>
        <v>0</v>
      </c>
    </row>
    <row r="64" customFormat="false" ht="15" hidden="false" customHeight="true" outlineLevel="0" collapsed="false">
      <c r="A64" s="0" t="s">
        <v>226</v>
      </c>
      <c r="B64" s="0" t="s">
        <v>227</v>
      </c>
      <c r="C64" s="0" t="n">
        <f aca="false">Offre!$E$2*(Offre!$C$2^Param!$B$3)*1_Friction!C64</f>
        <v>8.92116665813633</v>
      </c>
      <c r="D64" s="0" t="n">
        <f aca="false">Offre!$E$3*(Offre!$C$3^Param!$B$3)*1_Friction!D64</f>
        <v>5.34567174694001</v>
      </c>
      <c r="E64" s="0" t="n">
        <f aca="false">Offre!$E$4*(Offre!$C$4^Param!$B$3)*1_Friction!E64</f>
        <v>56.1571767610757</v>
      </c>
      <c r="F64" s="0" t="n">
        <f aca="false">Offre!$E$5*(Offre!$C$5^Param!$B$3)*1_Friction!F64</f>
        <v>10.0781370098676</v>
      </c>
      <c r="G64" s="0" t="n">
        <f aca="false">Offre!$E$6*(Offre!$C$6^Param!$B$3)*1_Friction!G64</f>
        <v>28.1706037751097</v>
      </c>
      <c r="H64" s="0" t="n">
        <f aca="false">Offre!$E$7*(Offre!$C$7^Param!$B$3)*1_Friction!H64</f>
        <v>6.27337707604324</v>
      </c>
      <c r="I64" s="0" t="n">
        <f aca="false">Offre!$E$8*(Offre!$C$8^Param!$B$3)*1_Friction!I64</f>
        <v>14.4062033895432</v>
      </c>
      <c r="J64" s="0" t="n">
        <f aca="false">Offre!$E$9*(Offre!$C$9^Param!$B$3)*1_Friction!J64</f>
        <v>11.3900913696776</v>
      </c>
      <c r="K64" s="0" t="n">
        <f aca="false">Offre!$E$10*(Offre!$C$10^Param!$B$3)*1_Friction!K64</f>
        <v>7.06453804820018</v>
      </c>
      <c r="L64" s="0" t="n">
        <f aca="false">Offre!$E$11*(Offre!$C$11^Param!$B$3)*1_Friction!L64</f>
        <v>7.04556607137378</v>
      </c>
      <c r="M64" s="0" t="n">
        <f aca="false">Offre!$E$12*(Offre!$C$12^Param!$B$3)*1_Friction!M64</f>
        <v>37.5330070708861</v>
      </c>
      <c r="N64" s="0" t="n">
        <f aca="false">Offre!$E$13*(Offre!$C$13^Param!$B$3)*1_Friction!N64</f>
        <v>5.10127835479948</v>
      </c>
      <c r="O64" s="0" t="n">
        <f aca="false">Offre!$E$14*(Offre!$C$14^Param!$B$3)*1_Friction!O64</f>
        <v>16.1935341023926</v>
      </c>
      <c r="P64" s="0" t="n">
        <f aca="false">Offre!$E$15*(Offre!$C$15^Param!$B$3)*1_Friction!P64</f>
        <v>7.83790639908216</v>
      </c>
      <c r="Q64" s="0" t="n">
        <f aca="false">Offre!$E$16*(Offre!$C$16^Param!$B$3)*1_Friction!Q64</f>
        <v>68.2424884494981</v>
      </c>
      <c r="R64" s="0" t="n">
        <f aca="false">Offre!$E$17*(Offre!$C$17^Param!$B$3)*1_Friction!R64</f>
        <v>9.05243919208968</v>
      </c>
      <c r="S64" s="0" t="n">
        <f aca="false">Offre!$E$18*(Offre!$C$18^Param!$B$3)*1_Friction!S64</f>
        <v>6.71428571360951</v>
      </c>
      <c r="T64" s="0" t="n">
        <f aca="false">Offre!$E$19*(Offre!$C$19^Param!$B$3)*1_Friction!T64</f>
        <v>2.33452387214683</v>
      </c>
      <c r="U64" s="0" t="n">
        <f aca="false">Offre!$E$20*(Offre!$C$20^Param!$B$3)*1_Friction!U64</f>
        <v>0.486897850648866</v>
      </c>
      <c r="V64" s="0" t="n">
        <f aca="false">Offre!$E$21*(Offre!$C$21^Param!$B$3)*1_Friction!V64</f>
        <v>0</v>
      </c>
      <c r="W64" s="0" t="n">
        <f aca="false">Offre!$E$22*(Offre!$C$22^Param!$B$3)*1_Friction!W64</f>
        <v>0</v>
      </c>
      <c r="X64" s="0" t="n">
        <f aca="false">Offre!$E$23*(Offre!$C$23^Param!$B$3)*1_Friction!X64</f>
        <v>0</v>
      </c>
      <c r="Y64" s="0" t="n">
        <f aca="false">Offre!$E$24*(Offre!$C$24^Param!$B$3)*1_Friction!Y64</f>
        <v>0</v>
      </c>
      <c r="Z64" s="0" t="n">
        <f aca="false">Offre!$E$25*(Offre!$C$25^Param!$B$3)*1_Friction!Z64</f>
        <v>0</v>
      </c>
      <c r="AA64" s="0" t="n">
        <f aca="false">Offre!$E$26*(Offre!$C$26^Param!$B$3)*1_Friction!AA64</f>
        <v>0</v>
      </c>
      <c r="AB64" s="0" t="n">
        <f aca="false">Offre!$E$27*(Offre!$C$27^Param!$B$3)*1_Friction!AB64</f>
        <v>0</v>
      </c>
      <c r="AC64" s="0" t="n">
        <f aca="false">Offre!$E$28*(Offre!$C$28^Param!$B$3)*1_Friction!AC64</f>
        <v>0</v>
      </c>
      <c r="AD64" s="0" t="n">
        <f aca="false">Offre!$E$29*(Offre!$C$29^Param!$B$3)*1_Friction!AD64</f>
        <v>0</v>
      </c>
      <c r="AE64" s="0" t="n">
        <f aca="false">Offre!$E$30*(Offre!$C$30^Param!$B$3)*1_Friction!AE64</f>
        <v>0</v>
      </c>
      <c r="AF64" s="0" t="n">
        <f aca="false">Offre!$E$31*(Offre!$C$31^Param!$B$3)*1_Friction!AF64</f>
        <v>0</v>
      </c>
      <c r="AG64" s="0" t="n">
        <f aca="false">Offre!$E$32*(Offre!$C$32^Param!$B$3)*1_Friction!AG64</f>
        <v>2.32243173467591</v>
      </c>
      <c r="AH64" s="0" t="n">
        <f aca="false">Offre!$E$33*(Offre!$C$33^Param!$B$3)*1_Friction!AH64</f>
        <v>21.4474220168887</v>
      </c>
      <c r="AI64" s="0" t="n">
        <f aca="false">Offre!$E$34*(Offre!$C$34^Param!$B$3)*1_Friction!AI64</f>
        <v>1.15927607706486</v>
      </c>
      <c r="AJ64" s="0" t="n">
        <f aca="false">Offre!$E$35*(Offre!$C$35^Param!$B$3)*1_Friction!AJ64</f>
        <v>0</v>
      </c>
      <c r="AK64" s="0" t="n">
        <f aca="false">Offre!$E$36*(Offre!$C$36^Param!$B$3)*1_Friction!AK64</f>
        <v>0</v>
      </c>
      <c r="AL64" s="0" t="n">
        <f aca="false">Offre!$E$37*(Offre!$C$37^Param!$B$3)*1_Friction!AL64</f>
        <v>0</v>
      </c>
      <c r="AM64" s="0" t="n">
        <f aca="false">Offre!$E$38*(Offre!$C$38^Param!$B$3)*1_Friction!AM64</f>
        <v>21.0663318179811</v>
      </c>
      <c r="AN64" s="0" t="n">
        <f aca="false">Offre!$E$39*(Offre!$C$39^Param!$B$3)*1_Friction!AN64</f>
        <v>0</v>
      </c>
      <c r="AO64" s="0" t="n">
        <f aca="false">SUM(C64:AN64)</f>
        <v>354.344354557731</v>
      </c>
    </row>
    <row r="65" customFormat="false" ht="15" hidden="false" customHeight="true" outlineLevel="0" collapsed="false">
      <c r="A65" s="0" t="s">
        <v>228</v>
      </c>
      <c r="B65" s="0" t="s">
        <v>229</v>
      </c>
      <c r="C65" s="0" t="n">
        <f aca="false">Offre!$E$2*(Offre!$C$2^Param!$B$3)*1_Friction!C65</f>
        <v>7.70945367566225</v>
      </c>
      <c r="D65" s="0" t="n">
        <f aca="false">Offre!$E$3*(Offre!$C$3^Param!$B$3)*1_Friction!D65</f>
        <v>7.18233438532075</v>
      </c>
      <c r="E65" s="0" t="n">
        <f aca="false">Offre!$E$4*(Offre!$C$4^Param!$B$3)*1_Friction!E65</f>
        <v>76.8496568583538</v>
      </c>
      <c r="F65" s="0" t="n">
        <f aca="false">Offre!$E$5*(Offre!$C$5^Param!$B$3)*1_Friction!F65</f>
        <v>13.809537924919</v>
      </c>
      <c r="G65" s="0" t="n">
        <f aca="false">Offre!$E$6*(Offre!$C$6^Param!$B$3)*1_Friction!G65</f>
        <v>38.8422100965344</v>
      </c>
      <c r="H65" s="0" t="n">
        <f aca="false">Offre!$E$7*(Offre!$C$7^Param!$B$3)*1_Friction!H65</f>
        <v>8.71300296346301</v>
      </c>
      <c r="I65" s="0" t="n">
        <f aca="false">Offre!$E$8*(Offre!$C$8^Param!$B$3)*1_Friction!I65</f>
        <v>20.0391738743277</v>
      </c>
      <c r="J65" s="0" t="n">
        <f aca="false">Offre!$E$9*(Offre!$C$9^Param!$B$3)*1_Friction!J65</f>
        <v>15.90158419762</v>
      </c>
      <c r="K65" s="0" t="n">
        <f aca="false">Offre!$E$10*(Offre!$C$10^Param!$B$3)*1_Friction!K65</f>
        <v>9.88857629097804</v>
      </c>
      <c r="L65" s="0" t="n">
        <f aca="false">Offre!$E$11*(Offre!$C$11^Param!$B$3)*1_Friction!L65</f>
        <v>9.86751383095544</v>
      </c>
      <c r="M65" s="0" t="n">
        <f aca="false">Offre!$E$12*(Offre!$C$12^Param!$B$3)*1_Friction!M65</f>
        <v>52.5845785669353</v>
      </c>
      <c r="N65" s="0" t="n">
        <f aca="false">Offre!$E$13*(Offre!$C$13^Param!$B$3)*1_Friction!N65</f>
        <v>7.17419977821851</v>
      </c>
      <c r="O65" s="0" t="n">
        <f aca="false">Offre!$E$14*(Offre!$C$14^Param!$B$3)*1_Friction!O65</f>
        <v>22.7899174104119</v>
      </c>
      <c r="P65" s="0" t="n">
        <f aca="false">Offre!$E$15*(Offre!$C$15^Param!$B$3)*1_Friction!P65</f>
        <v>11.0393343632758</v>
      </c>
      <c r="Q65" s="0" t="n">
        <f aca="false">Offre!$E$16*(Offre!$C$16^Param!$B$3)*1_Friction!Q65</f>
        <v>96.5280968696321</v>
      </c>
      <c r="R65" s="0" t="n">
        <f aca="false">Offre!$E$17*(Offre!$C$17^Param!$B$3)*1_Friction!R65</f>
        <v>12.8241606411916</v>
      </c>
      <c r="S65" s="0" t="n">
        <f aca="false">Offre!$E$18*(Offre!$C$18^Param!$B$3)*1_Friction!S65</f>
        <v>9.54320520227859</v>
      </c>
      <c r="T65" s="0" t="n">
        <f aca="false">Offre!$E$19*(Offre!$C$19^Param!$B$3)*1_Friction!T65</f>
        <v>3.161699682011</v>
      </c>
      <c r="U65" s="0" t="n">
        <f aca="false">Offre!$E$20*(Offre!$C$20^Param!$B$3)*1_Friction!U65</f>
        <v>1.21006265354257</v>
      </c>
      <c r="V65" s="0" t="n">
        <f aca="false">Offre!$E$21*(Offre!$C$21^Param!$B$3)*1_Friction!V65</f>
        <v>1.55962473182558</v>
      </c>
      <c r="W65" s="0" t="n">
        <f aca="false">Offre!$E$22*(Offre!$C$22^Param!$B$3)*1_Friction!W65</f>
        <v>0.245590540382892</v>
      </c>
      <c r="X65" s="0" t="n">
        <f aca="false">Offre!$E$23*(Offre!$C$23^Param!$B$3)*1_Friction!X65</f>
        <v>0.331233333839369</v>
      </c>
      <c r="Y65" s="0" t="n">
        <f aca="false">Offre!$E$24*(Offre!$C$24^Param!$B$3)*1_Friction!Y65</f>
        <v>0.220380792091749</v>
      </c>
      <c r="Z65" s="0" t="n">
        <f aca="false">Offre!$E$25*(Offre!$C$25^Param!$B$3)*1_Friction!Z65</f>
        <v>0.535168464044762</v>
      </c>
      <c r="AA65" s="0" t="n">
        <f aca="false">Offre!$E$26*(Offre!$C$26^Param!$B$3)*1_Friction!AA65</f>
        <v>0.924232792657504</v>
      </c>
      <c r="AB65" s="0" t="n">
        <f aca="false">Offre!$E$27*(Offre!$C$27^Param!$B$3)*1_Friction!AB65</f>
        <v>0</v>
      </c>
      <c r="AC65" s="0" t="n">
        <f aca="false">Offre!$E$28*(Offre!$C$28^Param!$B$3)*1_Friction!AC65</f>
        <v>0</v>
      </c>
      <c r="AD65" s="0" t="n">
        <f aca="false">Offre!$E$29*(Offre!$C$29^Param!$B$3)*1_Friction!AD65</f>
        <v>0</v>
      </c>
      <c r="AE65" s="0" t="n">
        <f aca="false">Offre!$E$30*(Offre!$C$30^Param!$B$3)*1_Friction!AE65</f>
        <v>0</v>
      </c>
      <c r="AF65" s="0" t="n">
        <f aca="false">Offre!$E$31*(Offre!$C$31^Param!$B$3)*1_Friction!AF65</f>
        <v>0</v>
      </c>
      <c r="AG65" s="0" t="n">
        <f aca="false">Offre!$E$32*(Offre!$C$32^Param!$B$3)*1_Friction!AG65</f>
        <v>0.647271762194659</v>
      </c>
      <c r="AH65" s="0" t="n">
        <f aca="false">Offre!$E$33*(Offre!$C$33^Param!$B$3)*1_Friction!AH65</f>
        <v>30.7649496397066</v>
      </c>
      <c r="AI65" s="0" t="n">
        <f aca="false">Offre!$E$34*(Offre!$C$34^Param!$B$3)*1_Friction!AI65</f>
        <v>1.37224588000692</v>
      </c>
      <c r="AJ65" s="0" t="n">
        <f aca="false">Offre!$E$35*(Offre!$C$35^Param!$B$3)*1_Friction!AJ65</f>
        <v>0.461791416996716</v>
      </c>
      <c r="AK65" s="0" t="n">
        <f aca="false">Offre!$E$36*(Offre!$C$36^Param!$B$3)*1_Friction!AK65</f>
        <v>0</v>
      </c>
      <c r="AL65" s="0" t="n">
        <f aca="false">Offre!$E$37*(Offre!$C$37^Param!$B$3)*1_Friction!AL65</f>
        <v>0</v>
      </c>
      <c r="AM65" s="0" t="n">
        <f aca="false">Offre!$E$38*(Offre!$C$38^Param!$B$3)*1_Friction!AM65</f>
        <v>18.0834078972334</v>
      </c>
      <c r="AN65" s="0" t="n">
        <f aca="false">Offre!$E$39*(Offre!$C$39^Param!$B$3)*1_Friction!AN65</f>
        <v>0</v>
      </c>
      <c r="AO65" s="0" t="n">
        <f aca="false">SUM(C65:AN65)</f>
        <v>480.804196516612</v>
      </c>
    </row>
    <row r="66" customFormat="false" ht="15" hidden="false" customHeight="true" outlineLevel="0" collapsed="false">
      <c r="A66" s="0" t="s">
        <v>230</v>
      </c>
      <c r="B66" s="0" t="s">
        <v>231</v>
      </c>
      <c r="C66" s="0" t="n">
        <f aca="false">Offre!$E$2*(Offre!$C$2^Param!$B$3)*1_Friction!C66</f>
        <v>4.93742196992578</v>
      </c>
      <c r="D66" s="0" t="n">
        <f aca="false">Offre!$E$3*(Offre!$C$3^Param!$B$3)*1_Friction!D66</f>
        <v>2.89874831661685</v>
      </c>
      <c r="E66" s="0" t="n">
        <f aca="false">Offre!$E$4*(Offre!$C$4^Param!$B$3)*1_Friction!E66</f>
        <v>29.6854246578386</v>
      </c>
      <c r="F66" s="0" t="n">
        <f aca="false">Offre!$E$5*(Offre!$C$5^Param!$B$3)*1_Friction!F66</f>
        <v>5.31786937773692</v>
      </c>
      <c r="G66" s="0" t="n">
        <f aca="false">Offre!$E$6*(Offre!$C$6^Param!$B$3)*1_Friction!G66</f>
        <v>14.7364381477616</v>
      </c>
      <c r="H66" s="0" t="n">
        <f aca="false">Offre!$E$7*(Offre!$C$7^Param!$B$3)*1_Friction!H66</f>
        <v>3.24755214656959</v>
      </c>
      <c r="I66" s="0" t="n">
        <f aca="false">Offre!$E$8*(Offre!$C$8^Param!$B$3)*1_Friction!I66</f>
        <v>7.44186460195111</v>
      </c>
      <c r="J66" s="0" t="n">
        <f aca="false">Offre!$E$9*(Offre!$C$9^Param!$B$3)*1_Friction!J66</f>
        <v>5.85409247183553</v>
      </c>
      <c r="K66" s="0" t="n">
        <f aca="false">Offre!$E$10*(Offre!$C$10^Param!$B$3)*1_Friction!K66</f>
        <v>3.61906913583757</v>
      </c>
      <c r="L66" s="0" t="n">
        <f aca="false">Offre!$E$11*(Offre!$C$11^Param!$B$3)*1_Friction!L66</f>
        <v>3.60522407319176</v>
      </c>
      <c r="M66" s="0" t="n">
        <f aca="false">Offre!$E$12*(Offre!$C$12^Param!$B$3)*1_Friction!M66</f>
        <v>19.1962696620429</v>
      </c>
      <c r="N66" s="0" t="n">
        <f aca="false">Offre!$E$13*(Offre!$C$13^Param!$B$3)*1_Friction!N66</f>
        <v>2.59629247350144</v>
      </c>
      <c r="O66" s="0" t="n">
        <f aca="false">Offre!$E$14*(Offre!$C$14^Param!$B$3)*1_Friction!O66</f>
        <v>8.23361309078393</v>
      </c>
      <c r="P66" s="0" t="n">
        <f aca="false">Offre!$E$15*(Offre!$C$15^Param!$B$3)*1_Friction!P66</f>
        <v>3.97933242718349</v>
      </c>
      <c r="Q66" s="0" t="n">
        <f aca="false">Offre!$E$16*(Offre!$C$16^Param!$B$3)*1_Friction!Q66</f>
        <v>34.4550006403538</v>
      </c>
      <c r="R66" s="0" t="n">
        <f aca="false">Offre!$E$17*(Offre!$C$17^Param!$B$3)*1_Friction!R66</f>
        <v>4.56079450877686</v>
      </c>
      <c r="S66" s="0" t="n">
        <f aca="false">Offre!$E$18*(Offre!$C$18^Param!$B$3)*1_Friction!S66</f>
        <v>3.3673460053834</v>
      </c>
      <c r="T66" s="0" t="n">
        <f aca="false">Offre!$E$19*(Offre!$C$19^Param!$B$3)*1_Friction!T66</f>
        <v>0.823709261155505</v>
      </c>
      <c r="U66" s="0" t="n">
        <f aca="false">Offre!$E$20*(Offre!$C$20^Param!$B$3)*1_Friction!U66</f>
        <v>0</v>
      </c>
      <c r="V66" s="0" t="n">
        <f aca="false">Offre!$E$21*(Offre!$C$21^Param!$B$3)*1_Friction!V66</f>
        <v>0</v>
      </c>
      <c r="W66" s="0" t="n">
        <f aca="false">Offre!$E$22*(Offre!$C$22^Param!$B$3)*1_Friction!W66</f>
        <v>0</v>
      </c>
      <c r="X66" s="0" t="n">
        <f aca="false">Offre!$E$23*(Offre!$C$23^Param!$B$3)*1_Friction!X66</f>
        <v>0</v>
      </c>
      <c r="Y66" s="0" t="n">
        <f aca="false">Offre!$E$24*(Offre!$C$24^Param!$B$3)*1_Friction!Y66</f>
        <v>0</v>
      </c>
      <c r="Z66" s="0" t="n">
        <f aca="false">Offre!$E$25*(Offre!$C$25^Param!$B$3)*1_Friction!Z66</f>
        <v>0</v>
      </c>
      <c r="AA66" s="0" t="n">
        <f aca="false">Offre!$E$26*(Offre!$C$26^Param!$B$3)*1_Friction!AA66</f>
        <v>0</v>
      </c>
      <c r="AB66" s="0" t="n">
        <f aca="false">Offre!$E$27*(Offre!$C$27^Param!$B$3)*1_Friction!AB66</f>
        <v>0</v>
      </c>
      <c r="AC66" s="0" t="n">
        <f aca="false">Offre!$E$28*(Offre!$C$28^Param!$B$3)*1_Friction!AC66</f>
        <v>0</v>
      </c>
      <c r="AD66" s="0" t="n">
        <f aca="false">Offre!$E$29*(Offre!$C$29^Param!$B$3)*1_Friction!AD66</f>
        <v>0</v>
      </c>
      <c r="AE66" s="0" t="n">
        <f aca="false">Offre!$E$30*(Offre!$C$30^Param!$B$3)*1_Friction!AE66</f>
        <v>0</v>
      </c>
      <c r="AF66" s="0" t="n">
        <f aca="false">Offre!$E$31*(Offre!$C$31^Param!$B$3)*1_Friction!AF66</f>
        <v>0</v>
      </c>
      <c r="AG66" s="0" t="n">
        <f aca="false">Offre!$E$32*(Offre!$C$32^Param!$B$3)*1_Friction!AG66</f>
        <v>2.94920346188818</v>
      </c>
      <c r="AH66" s="0" t="n">
        <f aca="false">Offre!$E$33*(Offre!$C$33^Param!$B$3)*1_Friction!AH66</f>
        <v>10.6200830312942</v>
      </c>
      <c r="AI66" s="0" t="n">
        <f aca="false">Offre!$E$34*(Offre!$C$34^Param!$B$3)*1_Friction!AI66</f>
        <v>0.41754552811125</v>
      </c>
      <c r="AJ66" s="0" t="n">
        <f aca="false">Offre!$E$35*(Offre!$C$35^Param!$B$3)*1_Friction!AJ66</f>
        <v>0</v>
      </c>
      <c r="AK66" s="0" t="n">
        <f aca="false">Offre!$E$36*(Offre!$C$36^Param!$B$3)*1_Friction!AK66</f>
        <v>0</v>
      </c>
      <c r="AL66" s="0" t="n">
        <f aca="false">Offre!$E$37*(Offre!$C$37^Param!$B$3)*1_Friction!AL66</f>
        <v>0</v>
      </c>
      <c r="AM66" s="0" t="n">
        <f aca="false">Offre!$E$38*(Offre!$C$38^Param!$B$3)*1_Friction!AM66</f>
        <v>11.3841995766062</v>
      </c>
      <c r="AN66" s="0" t="n">
        <f aca="false">Offre!$E$39*(Offre!$C$39^Param!$B$3)*1_Friction!AN66</f>
        <v>0</v>
      </c>
      <c r="AO66" s="0" t="n">
        <f aca="false">SUM(C66:AN66)</f>
        <v>183.927094566346</v>
      </c>
    </row>
    <row r="67" customFormat="false" ht="15" hidden="false" customHeight="true" outlineLevel="0" collapsed="false">
      <c r="A67" s="0" t="s">
        <v>232</v>
      </c>
      <c r="B67" s="0" t="s">
        <v>233</v>
      </c>
      <c r="C67" s="0" t="n">
        <f aca="false">Offre!$E$2*(Offre!$C$2^Param!$B$3)*1_Friction!C67</f>
        <v>10.6708529237498</v>
      </c>
      <c r="D67" s="0" t="n">
        <f aca="false">Offre!$E$3*(Offre!$C$3^Param!$B$3)*1_Friction!D67</f>
        <v>4.09089573437889</v>
      </c>
      <c r="E67" s="0" t="n">
        <f aca="false">Offre!$E$4*(Offre!$C$4^Param!$B$3)*1_Friction!E67</f>
        <v>42.4474795702986</v>
      </c>
      <c r="F67" s="0" t="n">
        <f aca="false">Offre!$E$5*(Offre!$C$5^Param!$B$3)*1_Friction!F67</f>
        <v>7.61111498117351</v>
      </c>
      <c r="G67" s="0" t="n">
        <f aca="false">Offre!$E$6*(Offre!$C$6^Param!$B$3)*1_Friction!G67</f>
        <v>21.1855592573194</v>
      </c>
      <c r="H67" s="0" t="n">
        <f aca="false">Offre!$E$7*(Offre!$C$7^Param!$B$3)*1_Friction!H67</f>
        <v>4.69399157953719</v>
      </c>
      <c r="I67" s="0" t="n">
        <f aca="false">Offre!$E$8*(Offre!$C$8^Param!$B$3)*1_Friction!I67</f>
        <v>10.7681971617781</v>
      </c>
      <c r="J67" s="0" t="n">
        <f aca="false">Offre!$E$9*(Offre!$C$9^Param!$B$3)*1_Friction!J67</f>
        <v>8.49285388578798</v>
      </c>
      <c r="K67" s="0" t="n">
        <f aca="false">Offre!$E$10*(Offre!$C$10^Param!$B$3)*1_Friction!K67</f>
        <v>5.2592258076498</v>
      </c>
      <c r="L67" s="0" t="n">
        <f aca="false">Offre!$E$11*(Offre!$C$11^Param!$B$3)*1_Friction!L67</f>
        <v>5.24219296244591</v>
      </c>
      <c r="M67" s="0" t="n">
        <f aca="false">Offre!$E$12*(Offre!$C$12^Param!$B$3)*1_Friction!M67</f>
        <v>27.919472747403</v>
      </c>
      <c r="N67" s="0" t="n">
        <f aca="false">Offre!$E$13*(Offre!$C$13^Param!$B$3)*1_Friction!N67</f>
        <v>3.78564844814588</v>
      </c>
      <c r="O67" s="0" t="n">
        <f aca="false">Offre!$E$14*(Offre!$C$14^Param!$B$3)*1_Friction!O67</f>
        <v>12.0114760852822</v>
      </c>
      <c r="P67" s="0" t="n">
        <f aca="false">Offre!$E$15*(Offre!$C$15^Param!$B$3)*1_Friction!P67</f>
        <v>5.80958400351462</v>
      </c>
      <c r="Q67" s="0" t="n">
        <f aca="false">Offre!$E$16*(Offre!$C$16^Param!$B$3)*1_Friction!Q67</f>
        <v>50.4463264837065</v>
      </c>
      <c r="R67" s="0" t="n">
        <f aca="false">Offre!$E$17*(Offre!$C$17^Param!$B$3)*1_Friction!R67</f>
        <v>6.68486822653478</v>
      </c>
      <c r="S67" s="0" t="n">
        <f aca="false">Offre!$E$18*(Offre!$C$18^Param!$B$3)*1_Friction!S67</f>
        <v>4.94724364565619</v>
      </c>
      <c r="T67" s="0" t="n">
        <f aca="false">Offre!$E$19*(Offre!$C$19^Param!$B$3)*1_Friction!T67</f>
        <v>3.23465928069035</v>
      </c>
      <c r="U67" s="0" t="n">
        <f aca="false">Offre!$E$20*(Offre!$C$20^Param!$B$3)*1_Friction!U67</f>
        <v>0.246250063543666</v>
      </c>
      <c r="V67" s="0" t="n">
        <f aca="false">Offre!$E$21*(Offre!$C$21^Param!$B$3)*1_Friction!V67</f>
        <v>1.17353684826013</v>
      </c>
      <c r="W67" s="0" t="n">
        <f aca="false">Offre!$E$22*(Offre!$C$22^Param!$B$3)*1_Friction!W67</f>
        <v>0</v>
      </c>
      <c r="X67" s="0" t="n">
        <f aca="false">Offre!$E$23*(Offre!$C$23^Param!$B$3)*1_Friction!X67</f>
        <v>0</v>
      </c>
      <c r="Y67" s="0" t="n">
        <f aca="false">Offre!$E$24*(Offre!$C$24^Param!$B$3)*1_Friction!Y67</f>
        <v>0</v>
      </c>
      <c r="Z67" s="0" t="n">
        <f aca="false">Offre!$E$25*(Offre!$C$25^Param!$B$3)*1_Friction!Z67</f>
        <v>0</v>
      </c>
      <c r="AA67" s="0" t="n">
        <f aca="false">Offre!$E$26*(Offre!$C$26^Param!$B$3)*1_Friction!AA67</f>
        <v>0</v>
      </c>
      <c r="AB67" s="0" t="n">
        <f aca="false">Offre!$E$27*(Offre!$C$27^Param!$B$3)*1_Friction!AB67</f>
        <v>0</v>
      </c>
      <c r="AC67" s="0" t="n">
        <f aca="false">Offre!$E$28*(Offre!$C$28^Param!$B$3)*1_Friction!AC67</f>
        <v>0</v>
      </c>
      <c r="AD67" s="0" t="n">
        <f aca="false">Offre!$E$29*(Offre!$C$29^Param!$B$3)*1_Friction!AD67</f>
        <v>0</v>
      </c>
      <c r="AE67" s="0" t="n">
        <f aca="false">Offre!$E$30*(Offre!$C$30^Param!$B$3)*1_Friction!AE67</f>
        <v>0</v>
      </c>
      <c r="AF67" s="0" t="n">
        <f aca="false">Offre!$E$31*(Offre!$C$31^Param!$B$3)*1_Friction!AF67</f>
        <v>0</v>
      </c>
      <c r="AG67" s="0" t="n">
        <f aca="false">Offre!$E$32*(Offre!$C$32^Param!$B$3)*1_Friction!AG67</f>
        <v>0.131605224416357</v>
      </c>
      <c r="AH67" s="0" t="n">
        <f aca="false">Offre!$E$33*(Offre!$C$33^Param!$B$3)*1_Friction!AH67</f>
        <v>15.7055748941224</v>
      </c>
      <c r="AI67" s="0" t="n">
        <f aca="false">Offre!$E$34*(Offre!$C$34^Param!$B$3)*1_Friction!AI67</f>
        <v>1.59497438706116</v>
      </c>
      <c r="AJ67" s="0" t="n">
        <f aca="false">Offre!$E$35*(Offre!$C$35^Param!$B$3)*1_Friction!AJ67</f>
        <v>0</v>
      </c>
      <c r="AK67" s="0" t="n">
        <f aca="false">Offre!$E$36*(Offre!$C$36^Param!$B$3)*1_Friction!AK67</f>
        <v>0</v>
      </c>
      <c r="AL67" s="0" t="n">
        <f aca="false">Offre!$E$37*(Offre!$C$37^Param!$B$3)*1_Friction!AL67</f>
        <v>0</v>
      </c>
      <c r="AM67" s="0" t="n">
        <f aca="false">Offre!$E$38*(Offre!$C$38^Param!$B$3)*1_Friction!AM67</f>
        <v>25.3770287893941</v>
      </c>
      <c r="AN67" s="0" t="n">
        <f aca="false">Offre!$E$39*(Offre!$C$39^Param!$B$3)*1_Friction!AN67</f>
        <v>0</v>
      </c>
      <c r="AO67" s="0" t="n">
        <f aca="false">SUM(C67:AN67)</f>
        <v>279.530612991851</v>
      </c>
    </row>
    <row r="68" customFormat="false" ht="15" hidden="false" customHeight="true" outlineLevel="0" collapsed="false">
      <c r="A68" s="0" t="s">
        <v>234</v>
      </c>
      <c r="B68" s="0" t="s">
        <v>235</v>
      </c>
      <c r="C68" s="0" t="n">
        <f aca="false">Offre!$E$2*(Offre!$C$2^Param!$B$3)*1_Friction!C68</f>
        <v>9.34428545428219</v>
      </c>
      <c r="D68" s="0" t="n">
        <f aca="false">Offre!$E$3*(Offre!$C$3^Param!$B$3)*1_Friction!D68</f>
        <v>3.8106100580597</v>
      </c>
      <c r="E68" s="0" t="n">
        <f aca="false">Offre!$E$4*(Offre!$C$4^Param!$B$3)*1_Friction!E68</f>
        <v>39.733097823259</v>
      </c>
      <c r="F68" s="0" t="n">
        <f aca="false">Offre!$E$5*(Offre!$C$5^Param!$B$3)*1_Friction!F68</f>
        <v>7.24787636858836</v>
      </c>
      <c r="G68" s="0" t="n">
        <f aca="false">Offre!$E$6*(Offre!$C$6^Param!$B$3)*1_Friction!G68</f>
        <v>19.8096069645108</v>
      </c>
      <c r="H68" s="0" t="n">
        <f aca="false">Offre!$E$7*(Offre!$C$7^Param!$B$3)*1_Friction!H68</f>
        <v>5.141377192804</v>
      </c>
      <c r="I68" s="0" t="n">
        <f aca="false">Offre!$E$8*(Offre!$C$8^Param!$B$3)*1_Friction!I68</f>
        <v>10.9262689789665</v>
      </c>
      <c r="J68" s="0" t="n">
        <f aca="false">Offre!$E$9*(Offre!$C$9^Param!$B$3)*1_Friction!J68</f>
        <v>8.53202601337587</v>
      </c>
      <c r="K68" s="0" t="n">
        <f aca="false">Offre!$E$10*(Offre!$C$10^Param!$B$3)*1_Friction!K68</f>
        <v>5.28604408577699</v>
      </c>
      <c r="L68" s="0" t="n">
        <f aca="false">Offre!$E$11*(Offre!$C$11^Param!$B$3)*1_Friction!L68</f>
        <v>5.46809144077635</v>
      </c>
      <c r="M68" s="0" t="n">
        <f aca="false">Offre!$E$12*(Offre!$C$12^Param!$B$3)*1_Friction!M68</f>
        <v>30.6332805803521</v>
      </c>
      <c r="N68" s="0" t="n">
        <f aca="false">Offre!$E$13*(Offre!$C$13^Param!$B$3)*1_Friction!N68</f>
        <v>3.99177300241502</v>
      </c>
      <c r="O68" s="0" t="n">
        <f aca="false">Offre!$E$14*(Offre!$C$14^Param!$B$3)*1_Friction!O68</f>
        <v>12.53993027414</v>
      </c>
      <c r="P68" s="0" t="n">
        <f aca="false">Offre!$E$15*(Offre!$C$15^Param!$B$3)*1_Friction!P68</f>
        <v>6.06575842123509</v>
      </c>
      <c r="Q68" s="0" t="n">
        <f aca="false">Offre!$E$16*(Offre!$C$16^Param!$B$3)*1_Friction!Q68</f>
        <v>52.6897051759913</v>
      </c>
      <c r="R68" s="0" t="n">
        <f aca="false">Offre!$E$17*(Offre!$C$17^Param!$B$3)*1_Friction!R68</f>
        <v>6.98310828722871</v>
      </c>
      <c r="S68" s="0" t="n">
        <f aca="false">Offre!$E$18*(Offre!$C$18^Param!$B$3)*1_Friction!S68</f>
        <v>5.169491408452</v>
      </c>
      <c r="T68" s="0" t="n">
        <f aca="false">Offre!$E$19*(Offre!$C$19^Param!$B$3)*1_Friction!T68</f>
        <v>14.3861706669145</v>
      </c>
      <c r="U68" s="0" t="n">
        <f aca="false">Offre!$E$20*(Offre!$C$20^Param!$B$3)*1_Friction!U68</f>
        <v>8.66559870556116</v>
      </c>
      <c r="V68" s="0" t="n">
        <f aca="false">Offre!$E$21*(Offre!$C$21^Param!$B$3)*1_Friction!V68</f>
        <v>43.5177798380766</v>
      </c>
      <c r="W68" s="0" t="n">
        <f aca="false">Offre!$E$22*(Offre!$C$22^Param!$B$3)*1_Friction!W68</f>
        <v>7.68498400700718</v>
      </c>
      <c r="X68" s="0" t="n">
        <f aca="false">Offre!$E$23*(Offre!$C$23^Param!$B$3)*1_Friction!X68</f>
        <v>10.4261089286899</v>
      </c>
      <c r="Y68" s="0" t="n">
        <f aca="false">Offre!$E$24*(Offre!$C$24^Param!$B$3)*1_Friction!Y68</f>
        <v>6.94750630447676</v>
      </c>
      <c r="Z68" s="0" t="n">
        <f aca="false">Offre!$E$25*(Offre!$C$25^Param!$B$3)*1_Friction!Z68</f>
        <v>17.1351552897941</v>
      </c>
      <c r="AA68" s="0" t="n">
        <f aca="false">Offre!$E$26*(Offre!$C$26^Param!$B$3)*1_Friction!AA68</f>
        <v>31.965376058428</v>
      </c>
      <c r="AB68" s="0" t="n">
        <f aca="false">Offre!$E$27*(Offre!$C$27^Param!$B$3)*1_Friction!AB68</f>
        <v>13.8864992904163</v>
      </c>
      <c r="AC68" s="0" t="n">
        <f aca="false">Offre!$E$28*(Offre!$C$28^Param!$B$3)*1_Friction!AC68</f>
        <v>0</v>
      </c>
      <c r="AD68" s="0" t="n">
        <f aca="false">Offre!$E$29*(Offre!$C$29^Param!$B$3)*1_Friction!AD68</f>
        <v>0</v>
      </c>
      <c r="AE68" s="0" t="n">
        <f aca="false">Offre!$E$30*(Offre!$C$30^Param!$B$3)*1_Friction!AE68</f>
        <v>0</v>
      </c>
      <c r="AF68" s="0" t="n">
        <f aca="false">Offre!$E$31*(Offre!$C$31^Param!$B$3)*1_Friction!AF68</f>
        <v>0</v>
      </c>
      <c r="AG68" s="0" t="n">
        <f aca="false">Offre!$E$32*(Offre!$C$32^Param!$B$3)*1_Friction!AG68</f>
        <v>0</v>
      </c>
      <c r="AH68" s="0" t="n">
        <f aca="false">Offre!$E$33*(Offre!$C$33^Param!$B$3)*1_Friction!AH68</f>
        <v>16.4246672123181</v>
      </c>
      <c r="AI68" s="0" t="n">
        <f aca="false">Offre!$E$34*(Offre!$C$34^Param!$B$3)*1_Friction!AI68</f>
        <v>6.59432549400051</v>
      </c>
      <c r="AJ68" s="0" t="n">
        <f aca="false">Offre!$E$35*(Offre!$C$35^Param!$B$3)*1_Friction!AJ68</f>
        <v>15.2194183220306</v>
      </c>
      <c r="AK68" s="0" t="n">
        <f aca="false">Offre!$E$36*(Offre!$C$36^Param!$B$3)*1_Friction!AK68</f>
        <v>0</v>
      </c>
      <c r="AL68" s="0" t="n">
        <f aca="false">Offre!$E$37*(Offre!$C$37^Param!$B$3)*1_Friction!AL68</f>
        <v>0</v>
      </c>
      <c r="AM68" s="0" t="n">
        <f aca="false">Offre!$E$38*(Offre!$C$38^Param!$B$3)*1_Friction!AM68</f>
        <v>22.6854263186925</v>
      </c>
      <c r="AN68" s="0" t="n">
        <f aca="false">Offre!$E$39*(Offre!$C$39^Param!$B$3)*1_Friction!AN68</f>
        <v>0</v>
      </c>
      <c r="AO68" s="0" t="n">
        <f aca="false">SUM(C68:AN68)</f>
        <v>448.91134796662</v>
      </c>
    </row>
    <row r="69" customFormat="false" ht="15" hidden="false" customHeight="true" outlineLevel="0" collapsed="false">
      <c r="A69" s="0" t="s">
        <v>236</v>
      </c>
      <c r="B69" s="0" t="s">
        <v>237</v>
      </c>
      <c r="C69" s="0" t="n">
        <f aca="false">Offre!$E$2*(Offre!$C$2^Param!$B$3)*1_Friction!C69</f>
        <v>14.3426216284256</v>
      </c>
      <c r="D69" s="0" t="n">
        <f aca="false">Offre!$E$3*(Offre!$C$3^Param!$B$3)*1_Friction!D69</f>
        <v>4.85112301044265</v>
      </c>
      <c r="E69" s="0" t="n">
        <f aca="false">Offre!$E$4*(Offre!$C$4^Param!$B$3)*1_Friction!E69</f>
        <v>50.7183674743723</v>
      </c>
      <c r="F69" s="0" t="n">
        <f aca="false">Offre!$E$5*(Offre!$C$5^Param!$B$3)*1_Friction!F69</f>
        <v>9.09899845993308</v>
      </c>
      <c r="G69" s="0" t="n">
        <f aca="false">Offre!$E$6*(Offre!$C$6^Param!$B$3)*1_Friction!G69</f>
        <v>25.3923456893972</v>
      </c>
      <c r="H69" s="0" t="n">
        <f aca="false">Offre!$E$7*(Offre!$C$7^Param!$B$3)*1_Friction!H69</f>
        <v>5.64128267141305</v>
      </c>
      <c r="I69" s="0" t="n">
        <f aca="false">Offre!$E$8*(Offre!$C$8^Param!$B$3)*1_Friction!I69</f>
        <v>12.9494712500796</v>
      </c>
      <c r="J69" s="0" t="n">
        <f aca="false">Offre!$E$9*(Offre!$C$9^Param!$B$3)*1_Friction!J69</f>
        <v>10.2285680200353</v>
      </c>
      <c r="K69" s="0" t="n">
        <f aca="false">Offre!$E$10*(Offre!$C$10^Param!$B$3)*1_Friction!K69</f>
        <v>6.34284017767041</v>
      </c>
      <c r="L69" s="0" t="n">
        <f aca="false">Offre!$E$11*(Offre!$C$11^Param!$B$3)*1_Friction!L69</f>
        <v>6.32182090474878</v>
      </c>
      <c r="M69" s="0" t="n">
        <f aca="false">Offre!$E$12*(Offre!$C$12^Param!$B$3)*1_Friction!M69</f>
        <v>33.6743722752438</v>
      </c>
      <c r="N69" s="0" t="n">
        <f aca="false">Offre!$E$13*(Offre!$C$13^Param!$B$3)*1_Friction!N69</f>
        <v>4.57452166146237</v>
      </c>
      <c r="O69" s="0" t="n">
        <f aca="false">Offre!$E$14*(Offre!$C$14^Param!$B$3)*1_Friction!O69</f>
        <v>14.5187192348587</v>
      </c>
      <c r="P69" s="0" t="n">
        <f aca="false">Offre!$E$15*(Offre!$C$15^Param!$B$3)*1_Friction!P69</f>
        <v>7.02237469803041</v>
      </c>
      <c r="Q69" s="0" t="n">
        <f aca="false">Offre!$E$16*(Offre!$C$16^Param!$B$3)*1_Friction!Q69</f>
        <v>61.1037955981607</v>
      </c>
      <c r="R69" s="0" t="n">
        <f aca="false">Offre!$E$17*(Offre!$C$17^Param!$B$3)*1_Friction!R69</f>
        <v>8.10224956590511</v>
      </c>
      <c r="S69" s="0" t="n">
        <f aca="false">Offre!$E$18*(Offre!$C$18^Param!$B$3)*1_Friction!S69</f>
        <v>6.00435670184832</v>
      </c>
      <c r="T69" s="0" t="n">
        <f aca="false">Offre!$E$19*(Offre!$C$19^Param!$B$3)*1_Friction!T69</f>
        <v>8.7651012365085</v>
      </c>
      <c r="U69" s="0" t="n">
        <f aca="false">Offre!$E$20*(Offre!$C$20^Param!$B$3)*1_Friction!U69</f>
        <v>1.43636346914771</v>
      </c>
      <c r="V69" s="0" t="n">
        <f aca="false">Offre!$E$21*(Offre!$C$21^Param!$B$3)*1_Friction!V69</f>
        <v>7.99028756785917</v>
      </c>
      <c r="W69" s="0" t="n">
        <f aca="false">Offre!$E$22*(Offre!$C$22^Param!$B$3)*1_Friction!W69</f>
        <v>1.31645286413778</v>
      </c>
      <c r="X69" s="0" t="n">
        <f aca="false">Offre!$E$23*(Offre!$C$23^Param!$B$3)*1_Friction!X69</f>
        <v>1.7797132581145</v>
      </c>
      <c r="Y69" s="0" t="n">
        <f aca="false">Offre!$E$24*(Offre!$C$24^Param!$B$3)*1_Friction!Y69</f>
        <v>1.18461060487386</v>
      </c>
      <c r="Z69" s="0" t="n">
        <f aca="false">Offre!$E$25*(Offre!$C$25^Param!$B$3)*1_Friction!Z69</f>
        <v>2.8945936176999</v>
      </c>
      <c r="AA69" s="0" t="n">
        <f aca="false">Offre!$E$26*(Offre!$C$26^Param!$B$3)*1_Friction!AA69</f>
        <v>5.15649391320957</v>
      </c>
      <c r="AB69" s="0" t="n">
        <f aca="false">Offre!$E$27*(Offre!$C$27^Param!$B$3)*1_Friction!AB69</f>
        <v>2.18710292168278</v>
      </c>
      <c r="AC69" s="0" t="n">
        <f aca="false">Offre!$E$28*(Offre!$C$28^Param!$B$3)*1_Friction!AC69</f>
        <v>0</v>
      </c>
      <c r="AD69" s="0" t="n">
        <f aca="false">Offre!$E$29*(Offre!$C$29^Param!$B$3)*1_Friction!AD69</f>
        <v>0</v>
      </c>
      <c r="AE69" s="0" t="n">
        <f aca="false">Offre!$E$30*(Offre!$C$30^Param!$B$3)*1_Friction!AE69</f>
        <v>0</v>
      </c>
      <c r="AF69" s="0" t="n">
        <f aca="false">Offre!$E$31*(Offre!$C$31^Param!$B$3)*1_Friction!AF69</f>
        <v>0</v>
      </c>
      <c r="AG69" s="0" t="n">
        <f aca="false">Offre!$E$32*(Offre!$C$32^Param!$B$3)*1_Friction!AG69</f>
        <v>0.201313606897871</v>
      </c>
      <c r="AH69" s="0" t="n">
        <f aca="false">Offre!$E$33*(Offre!$C$33^Param!$B$3)*1_Friction!AH69</f>
        <v>19.1338235252335</v>
      </c>
      <c r="AI69" s="0" t="n">
        <f aca="false">Offre!$E$34*(Offre!$C$34^Param!$B$3)*1_Friction!AI69</f>
        <v>4.18729006458302</v>
      </c>
      <c r="AJ69" s="0" t="n">
        <f aca="false">Offre!$E$35*(Offre!$C$35^Param!$B$3)*1_Friction!AJ69</f>
        <v>2.5267461335163</v>
      </c>
      <c r="AK69" s="0" t="n">
        <f aca="false">Offre!$E$36*(Offre!$C$36^Param!$B$3)*1_Friction!AK69</f>
        <v>0</v>
      </c>
      <c r="AL69" s="0" t="n">
        <f aca="false">Offre!$E$37*(Offre!$C$37^Param!$B$3)*1_Friction!AL69</f>
        <v>0</v>
      </c>
      <c r="AM69" s="0" t="n">
        <f aca="false">Offre!$E$38*(Offre!$C$38^Param!$B$3)*1_Friction!AM69</f>
        <v>36</v>
      </c>
      <c r="AN69" s="0" t="n">
        <f aca="false">Offre!$E$39*(Offre!$C$39^Param!$B$3)*1_Friction!AN69</f>
        <v>0</v>
      </c>
      <c r="AO69" s="0" t="n">
        <f aca="false">SUM(C69:AN69)</f>
        <v>375.647721805492</v>
      </c>
    </row>
    <row r="70" customFormat="false" ht="15" hidden="false" customHeight="true" outlineLevel="0" collapsed="false">
      <c r="A70" s="0" t="s">
        <v>238</v>
      </c>
      <c r="B70" s="0" t="s">
        <v>239</v>
      </c>
      <c r="C70" s="0" t="n">
        <f aca="false">Offre!$E$2*(Offre!$C$2^Param!$B$3)*1_Friction!C70</f>
        <v>12.3280845202922</v>
      </c>
      <c r="D70" s="0" t="n">
        <f aca="false">Offre!$E$3*(Offre!$C$3^Param!$B$3)*1_Friction!D70</f>
        <v>3.16096936780976</v>
      </c>
      <c r="E70" s="0" t="n">
        <f aca="false">Offre!$E$4*(Offre!$C$4^Param!$B$3)*1_Friction!E70</f>
        <v>32.4708373481946</v>
      </c>
      <c r="F70" s="0" t="n">
        <f aca="false">Offre!$E$5*(Offre!$C$5^Param!$B$3)*1_Friction!F70</f>
        <v>5.81811640855038</v>
      </c>
      <c r="G70" s="0" t="n">
        <f aca="false">Offre!$E$6*(Offre!$C$6^Param!$B$3)*1_Friction!G70</f>
        <v>16.1395965321647</v>
      </c>
      <c r="H70" s="0" t="n">
        <f aca="false">Offre!$E$7*(Offre!$C$7^Param!$B$3)*1_Friction!H70</f>
        <v>3.56128071089304</v>
      </c>
      <c r="I70" s="0" t="n">
        <f aca="false">Offre!$E$8*(Offre!$C$8^Param!$B$3)*1_Friction!I70</f>
        <v>8.16288244007365</v>
      </c>
      <c r="J70" s="0" t="n">
        <f aca="false">Offre!$E$9*(Offre!$C$9^Param!$B$3)*1_Friction!J70</f>
        <v>6.42521591560757</v>
      </c>
      <c r="K70" s="0" t="n">
        <f aca="false">Offre!$E$10*(Offre!$C$10^Param!$B$3)*1_Friction!K70</f>
        <v>3.97371649946853</v>
      </c>
      <c r="L70" s="0" t="n">
        <f aca="false">Offre!$E$11*(Offre!$C$11^Param!$B$3)*1_Friction!L70</f>
        <v>3.9590629799219</v>
      </c>
      <c r="M70" s="0" t="n">
        <f aca="false">Offre!$E$12*(Offre!$C$12^Param!$B$3)*1_Friction!M70</f>
        <v>21.0815611283619</v>
      </c>
      <c r="N70" s="0" t="n">
        <f aca="false">Offre!$E$13*(Offre!$C$13^Param!$B$3)*1_Friction!N70</f>
        <v>2.85297074320769</v>
      </c>
      <c r="O70" s="0" t="n">
        <f aca="false">Offre!$E$14*(Offre!$C$14^Param!$B$3)*1_Friction!O70</f>
        <v>9.04869009073081</v>
      </c>
      <c r="P70" s="0" t="n">
        <f aca="false">Offre!$E$15*(Offre!$C$15^Param!$B$3)*1_Friction!P70</f>
        <v>4.3740406370286</v>
      </c>
      <c r="Q70" s="0" t="n">
        <f aca="false">Offre!$E$16*(Offre!$C$16^Param!$B$3)*1_Friction!Q70</f>
        <v>37.8980620979008</v>
      </c>
      <c r="R70" s="0" t="n">
        <f aca="false">Offre!$E$17*(Offre!$C$17^Param!$B$3)*1_Friction!R70</f>
        <v>5.01784162174437</v>
      </c>
      <c r="S70" s="0" t="n">
        <f aca="false">Offre!$E$18*(Offre!$C$18^Param!$B$3)*1_Friction!S70</f>
        <v>3.70684802366843</v>
      </c>
      <c r="T70" s="0" t="n">
        <f aca="false">Offre!$E$19*(Offre!$C$19^Param!$B$3)*1_Friction!T70</f>
        <v>4.61683647146333</v>
      </c>
      <c r="U70" s="0" t="n">
        <f aca="false">Offre!$E$20*(Offre!$C$20^Param!$B$3)*1_Friction!U70</f>
        <v>0.376355144942692</v>
      </c>
      <c r="V70" s="0" t="n">
        <f aca="false">Offre!$E$21*(Offre!$C$21^Param!$B$3)*1_Friction!V70</f>
        <v>2.2092164154602</v>
      </c>
      <c r="W70" s="0" t="n">
        <f aca="false">Offre!$E$22*(Offre!$C$22^Param!$B$3)*1_Friction!W70</f>
        <v>0.350998363408364</v>
      </c>
      <c r="X70" s="0" t="n">
        <f aca="false">Offre!$E$23*(Offre!$C$23^Param!$B$3)*1_Friction!X70</f>
        <v>0.473615344128382</v>
      </c>
      <c r="Y70" s="0" t="n">
        <f aca="false">Offre!$E$24*(Offre!$C$24^Param!$B$3)*1_Friction!Y70</f>
        <v>0.315138539130046</v>
      </c>
      <c r="Z70" s="0" t="n">
        <f aca="false">Offre!$E$25*(Offre!$C$25^Param!$B$3)*1_Friction!Z70</f>
        <v>0.766197988689638</v>
      </c>
      <c r="AA70" s="0" t="n">
        <f aca="false">Offre!$E$26*(Offre!$C$26^Param!$B$3)*1_Friction!AA70</f>
        <v>1.33120655575915</v>
      </c>
      <c r="AB70" s="0" t="n">
        <f aca="false">Offre!$E$27*(Offre!$C$27^Param!$B$3)*1_Friction!AB70</f>
        <v>0.557559818005157</v>
      </c>
      <c r="AC70" s="0" t="n">
        <f aca="false">Offre!$E$28*(Offre!$C$28^Param!$B$3)*1_Friction!AC70</f>
        <v>0</v>
      </c>
      <c r="AD70" s="0" t="n">
        <f aca="false">Offre!$E$29*(Offre!$C$29^Param!$B$3)*1_Friction!AD70</f>
        <v>0</v>
      </c>
      <c r="AE70" s="0" t="n">
        <f aca="false">Offre!$E$30*(Offre!$C$30^Param!$B$3)*1_Friction!AE70</f>
        <v>0</v>
      </c>
      <c r="AF70" s="0" t="n">
        <f aca="false">Offre!$E$31*(Offre!$C$31^Param!$B$3)*1_Friction!AF70</f>
        <v>0</v>
      </c>
      <c r="AG70" s="0" t="n">
        <f aca="false">Offre!$E$32*(Offre!$C$32^Param!$B$3)*1_Friction!AG70</f>
        <v>0.148056574788287</v>
      </c>
      <c r="AH70" s="0" t="n">
        <f aca="false">Offre!$E$33*(Offre!$C$33^Param!$B$3)*1_Friction!AH70</f>
        <v>11.7088750493515</v>
      </c>
      <c r="AI70" s="0" t="n">
        <f aca="false">Offre!$E$34*(Offre!$C$34^Param!$B$3)*1_Friction!AI70</f>
        <v>2.25517670865895</v>
      </c>
      <c r="AJ70" s="0" t="n">
        <f aca="false">Offre!$E$35*(Offre!$C$35^Param!$B$3)*1_Friction!AJ70</f>
        <v>0.662627848041702</v>
      </c>
      <c r="AK70" s="0" t="n">
        <f aca="false">Offre!$E$36*(Offre!$C$36^Param!$B$3)*1_Friction!AK70</f>
        <v>0</v>
      </c>
      <c r="AL70" s="0" t="n">
        <f aca="false">Offre!$E$37*(Offre!$C$37^Param!$B$3)*1_Friction!AL70</f>
        <v>0</v>
      </c>
      <c r="AM70" s="0" t="n">
        <f aca="false">Offre!$E$38*(Offre!$C$38^Param!$B$3)*1_Friction!AM70</f>
        <v>29.8204948815902</v>
      </c>
      <c r="AN70" s="0" t="n">
        <f aca="false">Offre!$E$39*(Offre!$C$39^Param!$B$3)*1_Friction!AN70</f>
        <v>0</v>
      </c>
      <c r="AO70" s="0" t="n">
        <f aca="false">SUM(C70:AN70)</f>
        <v>235.572132769036</v>
      </c>
    </row>
    <row r="71" customFormat="false" ht="15" hidden="false" customHeight="true" outlineLevel="0" collapsed="false">
      <c r="A71" s="0" t="s">
        <v>240</v>
      </c>
      <c r="B71" s="0" t="s">
        <v>241</v>
      </c>
      <c r="C71" s="0" t="n">
        <f aca="false">Offre!$E$2*(Offre!$C$2^Param!$B$3)*1_Friction!C71</f>
        <v>12.2110326743102</v>
      </c>
      <c r="D71" s="0" t="n">
        <f aca="false">Offre!$E$3*(Offre!$C$3^Param!$B$3)*1_Friction!D71</f>
        <v>6.43165121390567</v>
      </c>
      <c r="E71" s="0" t="n">
        <f aca="false">Offre!$E$4*(Offre!$C$4^Param!$B$3)*1_Friction!E71</f>
        <v>68.2836725339445</v>
      </c>
      <c r="F71" s="0" t="n">
        <f aca="false">Offre!$E$5*(Offre!$C$5^Param!$B$3)*1_Friction!F71</f>
        <v>12.2635333431527</v>
      </c>
      <c r="G71" s="0" t="n">
        <f aca="false">Offre!$E$6*(Offre!$C$6^Param!$B$3)*1_Friction!G71</f>
        <v>34.4026117697911</v>
      </c>
      <c r="H71" s="0" t="n">
        <f aca="false">Offre!$E$7*(Offre!$C$7^Param!$B$3)*1_Friction!H71</f>
        <v>7.69212277448854</v>
      </c>
      <c r="I71" s="0" t="n">
        <f aca="false">Offre!$E$8*(Offre!$C$8^Param!$B$3)*1_Friction!I71</f>
        <v>17.6797586494084</v>
      </c>
      <c r="J71" s="0" t="n">
        <f aca="false">Offre!$E$9*(Offre!$C$9^Param!$B$3)*1_Friction!J71</f>
        <v>14.0076364690059</v>
      </c>
      <c r="K71" s="0" t="n">
        <f aca="false">Offre!$E$10*(Offre!$C$10^Param!$B$3)*1_Friction!K71</f>
        <v>8.70254617705819</v>
      </c>
      <c r="L71" s="0" t="n">
        <f aca="false">Offre!$E$11*(Offre!$C$11^Param!$B$3)*1_Friction!L71</f>
        <v>8.68054273730787</v>
      </c>
      <c r="M71" s="0" t="n">
        <f aca="false">Offre!$E$12*(Offre!$C$12^Param!$B$3)*1_Friction!M71</f>
        <v>46.2522108113558</v>
      </c>
      <c r="N71" s="0" t="n">
        <f aca="false">Offre!$E$13*(Offre!$C$13^Param!$B$3)*1_Friction!N71</f>
        <v>6.30113629508014</v>
      </c>
      <c r="O71" s="0" t="n">
        <f aca="false">Offre!$E$14*(Offre!$C$14^Param!$B$3)*1_Friction!O71</f>
        <v>20.0105066449301</v>
      </c>
      <c r="P71" s="0" t="n">
        <f aca="false">Offre!$E$15*(Offre!$C$15^Param!$B$3)*1_Friction!P71</f>
        <v>9.68816286093999</v>
      </c>
      <c r="Q71" s="0" t="n">
        <f aca="false">Offre!$E$16*(Offre!$C$16^Param!$B$3)*1_Friction!Q71</f>
        <v>84.5740015965494</v>
      </c>
      <c r="R71" s="0" t="n">
        <f aca="false">Offre!$E$17*(Offre!$C$17^Param!$B$3)*1_Friction!R71</f>
        <v>11.2287201502827</v>
      </c>
      <c r="S71" s="0" t="n">
        <f aca="false">Offre!$E$18*(Offre!$C$18^Param!$B$3)*1_Friction!S71</f>
        <v>8.34427404008109</v>
      </c>
      <c r="T71" s="0" t="n">
        <f aca="false">Offre!$E$19*(Offre!$C$19^Param!$B$3)*1_Friction!T71</f>
        <v>4.65213458084953</v>
      </c>
      <c r="U71" s="0" t="n">
        <f aca="false">Offre!$E$20*(Offre!$C$20^Param!$B$3)*1_Friction!U71</f>
        <v>0.834776477809187</v>
      </c>
      <c r="V71" s="0" t="n">
        <f aca="false">Offre!$E$21*(Offre!$C$21^Param!$B$3)*1_Friction!V71</f>
        <v>2.2403298491804</v>
      </c>
      <c r="W71" s="0" t="n">
        <f aca="false">Offre!$E$22*(Offre!$C$22^Param!$B$3)*1_Friction!W71</f>
        <v>0.355731946934017</v>
      </c>
      <c r="X71" s="0" t="n">
        <f aca="false">Offre!$E$23*(Offre!$C$23^Param!$B$3)*1_Friction!X71</f>
        <v>0.480010952508495</v>
      </c>
      <c r="Y71" s="0" t="n">
        <f aca="false">Offre!$E$24*(Offre!$C$24^Param!$B$3)*1_Friction!Y71</f>
        <v>0.319395124825623</v>
      </c>
      <c r="Z71" s="0" t="n">
        <f aca="false">Offre!$E$25*(Offre!$C$25^Param!$B$3)*1_Friction!Z71</f>
        <v>0.776582898332931</v>
      </c>
      <c r="AA71" s="0" t="n">
        <f aca="false">Offre!$E$26*(Offre!$C$26^Param!$B$3)*1_Friction!AA71</f>
        <v>1.34956096905928</v>
      </c>
      <c r="AB71" s="0" t="n">
        <f aca="false">Offre!$E$27*(Offre!$C$27^Param!$B$3)*1_Friction!AB71</f>
        <v>0.565313033667503</v>
      </c>
      <c r="AC71" s="0" t="n">
        <f aca="false">Offre!$E$28*(Offre!$C$28^Param!$B$3)*1_Friction!AC71</f>
        <v>0</v>
      </c>
      <c r="AD71" s="0" t="n">
        <f aca="false">Offre!$E$29*(Offre!$C$29^Param!$B$3)*1_Friction!AD71</f>
        <v>0</v>
      </c>
      <c r="AE71" s="0" t="n">
        <f aca="false">Offre!$E$30*(Offre!$C$30^Param!$B$3)*1_Friction!AE71</f>
        <v>0</v>
      </c>
      <c r="AF71" s="0" t="n">
        <f aca="false">Offre!$E$31*(Offre!$C$31^Param!$B$3)*1_Friction!AF71</f>
        <v>0</v>
      </c>
      <c r="AG71" s="0" t="n">
        <f aca="false">Offre!$E$32*(Offre!$C$32^Param!$B$3)*1_Friction!AG71</f>
        <v>0.44863520712622</v>
      </c>
      <c r="AH71" s="0" t="n">
        <f aca="false">Offre!$E$33*(Offre!$C$33^Param!$B$3)*1_Friction!AH71</f>
        <v>26.7953566441902</v>
      </c>
      <c r="AI71" s="0" t="n">
        <f aca="false">Offre!$E$34*(Offre!$C$34^Param!$B$3)*1_Friction!AI71</f>
        <v>2.27080781397023</v>
      </c>
      <c r="AJ71" s="0" t="n">
        <f aca="false">Offre!$E$35*(Offre!$C$35^Param!$B$3)*1_Friction!AJ71</f>
        <v>0.67166672276216</v>
      </c>
      <c r="AK71" s="0" t="n">
        <f aca="false">Offre!$E$36*(Offre!$C$36^Param!$B$3)*1_Friction!AK71</f>
        <v>0</v>
      </c>
      <c r="AL71" s="0" t="n">
        <f aca="false">Offre!$E$37*(Offre!$C$37^Param!$B$3)*1_Friction!AL71</f>
        <v>0</v>
      </c>
      <c r="AM71" s="0" t="n">
        <f aca="false">Offre!$E$38*(Offre!$C$38^Param!$B$3)*1_Friction!AM71</f>
        <v>29.5093260452808</v>
      </c>
      <c r="AN71" s="0" t="n">
        <f aca="false">Offre!$E$39*(Offre!$C$39^Param!$B$3)*1_Friction!AN71</f>
        <v>0</v>
      </c>
      <c r="AO71" s="0" t="n">
        <f aca="false">SUM(C71:AN71)</f>
        <v>448.023749008089</v>
      </c>
    </row>
    <row r="72" customFormat="false" ht="15" hidden="false" customHeight="true" outlineLevel="0" collapsed="false">
      <c r="A72" s="0" t="s">
        <v>242</v>
      </c>
      <c r="B72" s="0" t="s">
        <v>243</v>
      </c>
      <c r="C72" s="0" t="n">
        <f aca="false">Offre!$E$2*(Offre!$C$2^Param!$B$3)*1_Friction!C72</f>
        <v>14.1535756690146</v>
      </c>
      <c r="D72" s="0" t="n">
        <f aca="false">Offre!$E$3*(Offre!$C$3^Param!$B$3)*1_Friction!D72</f>
        <v>4.95863807334849</v>
      </c>
      <c r="E72" s="0" t="n">
        <f aca="false">Offre!$E$4*(Offre!$C$4^Param!$B$3)*1_Friction!E72</f>
        <v>51.8967197299098</v>
      </c>
      <c r="F72" s="0" t="n">
        <f aca="false">Offre!$E$5*(Offre!$C$5^Param!$B$3)*1_Friction!F72</f>
        <v>9.31108481952374</v>
      </c>
      <c r="G72" s="0" t="n">
        <f aca="false">Offre!$E$6*(Offre!$C$6^Param!$B$3)*1_Friction!G72</f>
        <v>25.9934504565533</v>
      </c>
      <c r="H72" s="0" t="n">
        <f aca="false">Offre!$E$7*(Offre!$C$7^Param!$B$3)*1_Friction!H72</f>
        <v>5.77966020302543</v>
      </c>
      <c r="I72" s="0" t="n">
        <f aca="false">Offre!$E$8*(Offre!$C$8^Param!$B$3)*1_Friction!I72</f>
        <v>13.2682913309811</v>
      </c>
      <c r="J72" s="0" t="n">
        <f aca="false">Offre!$E$9*(Offre!$C$9^Param!$B$3)*1_Friction!J72</f>
        <v>10.4826154063865</v>
      </c>
      <c r="K72" s="0" t="n">
        <f aca="false">Offre!$E$10*(Offre!$C$10^Param!$B$3)*1_Friction!K72</f>
        <v>6.49857024738205</v>
      </c>
      <c r="L72" s="0" t="n">
        <f aca="false">Offre!$E$11*(Offre!$C$11^Param!$B$3)*1_Friction!L72</f>
        <v>6.48002979967854</v>
      </c>
      <c r="M72" s="0" t="n">
        <f aca="false">Offre!$E$12*(Offre!$C$12^Param!$B$3)*1_Friction!M72</f>
        <v>34.5178082989309</v>
      </c>
      <c r="N72" s="0" t="n">
        <f aca="false">Offre!$E$13*(Offre!$C$13^Param!$B$3)*1_Friction!N72</f>
        <v>4.68809367584952</v>
      </c>
      <c r="O72" s="0" t="n">
        <f aca="false">Offre!$E$14*(Offre!$C$14^Param!$B$3)*1_Friction!O72</f>
        <v>14.8797755736388</v>
      </c>
      <c r="P72" s="0" t="n">
        <f aca="false">Offre!$E$15*(Offre!$C$15^Param!$B$3)*1_Friction!P72</f>
        <v>7.20047315795486</v>
      </c>
      <c r="Q72" s="0" t="n">
        <f aca="false">Offre!$E$16*(Offre!$C$16^Param!$B$3)*1_Friction!Q72</f>
        <v>62.6414131079028</v>
      </c>
      <c r="R72" s="0" t="n">
        <f aca="false">Offre!$E$17*(Offre!$C$17^Param!$B$3)*1_Friction!R72</f>
        <v>8.30685922831044</v>
      </c>
      <c r="S72" s="0" t="n">
        <f aca="false">Offre!$E$18*(Offre!$C$18^Param!$B$3)*1_Friction!S72</f>
        <v>6.1571438383957</v>
      </c>
      <c r="T72" s="0" t="n">
        <f aca="false">Offre!$E$19*(Offre!$C$19^Param!$B$3)*1_Friction!T72</f>
        <v>7.73561659729671</v>
      </c>
      <c r="U72" s="0" t="n">
        <f aca="false">Offre!$E$20*(Offre!$C$20^Param!$B$3)*1_Friction!U72</f>
        <v>1.07841276005296</v>
      </c>
      <c r="V72" s="0" t="n">
        <f aca="false">Offre!$E$21*(Offre!$C$21^Param!$B$3)*1_Friction!V72</f>
        <v>6.07544009570477</v>
      </c>
      <c r="W72" s="0" t="n">
        <f aca="false">Offre!$E$22*(Offre!$C$22^Param!$B$3)*1_Friction!W72</f>
        <v>0.992376901371721</v>
      </c>
      <c r="X72" s="0" t="n">
        <f aca="false">Offre!$E$23*(Offre!$C$23^Param!$B$3)*1_Friction!X72</f>
        <v>1.34100594266392</v>
      </c>
      <c r="Y72" s="0" t="n">
        <f aca="false">Offre!$E$24*(Offre!$C$24^Param!$B$3)*1_Friction!Y72</f>
        <v>0.892527520579258</v>
      </c>
      <c r="Z72" s="0" t="n">
        <f aca="false">Offre!$E$25*(Offre!$C$25^Param!$B$3)*1_Friction!Z72</f>
        <v>2.17836641945017</v>
      </c>
      <c r="AA72" s="0" t="n">
        <f aca="false">Offre!$E$26*(Offre!$C$26^Param!$B$3)*1_Friction!AA72</f>
        <v>3.85819798110464</v>
      </c>
      <c r="AB72" s="0" t="n">
        <f aca="false">Offre!$E$27*(Offre!$C$27^Param!$B$3)*1_Friction!AB72</f>
        <v>1.63167585641273</v>
      </c>
      <c r="AC72" s="0" t="n">
        <f aca="false">Offre!$E$28*(Offre!$C$28^Param!$B$3)*1_Friction!AC72</f>
        <v>0</v>
      </c>
      <c r="AD72" s="0" t="n">
        <f aca="false">Offre!$E$29*(Offre!$C$29^Param!$B$3)*1_Friction!AD72</f>
        <v>0</v>
      </c>
      <c r="AE72" s="0" t="n">
        <f aca="false">Offre!$E$30*(Offre!$C$30^Param!$B$3)*1_Friction!AE72</f>
        <v>0</v>
      </c>
      <c r="AF72" s="0" t="n">
        <f aca="false">Offre!$E$31*(Offre!$C$31^Param!$B$3)*1_Friction!AF72</f>
        <v>0</v>
      </c>
      <c r="AG72" s="0" t="n">
        <f aca="false">Offre!$E$32*(Offre!$C$32^Param!$B$3)*1_Friction!AG72</f>
        <v>0.213379714683379</v>
      </c>
      <c r="AH72" s="0" t="n">
        <f aca="false">Offre!$E$33*(Offre!$C$33^Param!$B$3)*1_Friction!AH72</f>
        <v>19.6309735607293</v>
      </c>
      <c r="AI72" s="0" t="n">
        <f aca="false">Offre!$E$34*(Offre!$C$34^Param!$B$3)*1_Friction!AI72</f>
        <v>3.71411243436131</v>
      </c>
      <c r="AJ72" s="0" t="n">
        <f aca="false">Offre!$E$35*(Offre!$C$35^Param!$B$3)*1_Friction!AJ72</f>
        <v>1.89744389463725</v>
      </c>
      <c r="AK72" s="0" t="n">
        <f aca="false">Offre!$E$36*(Offre!$C$36^Param!$B$3)*1_Friction!AK72</f>
        <v>0</v>
      </c>
      <c r="AL72" s="0" t="n">
        <f aca="false">Offre!$E$37*(Offre!$C$37^Param!$B$3)*1_Friction!AL72</f>
        <v>0</v>
      </c>
      <c r="AM72" s="0" t="n">
        <f aca="false">Offre!$E$38*(Offre!$C$38^Param!$B$3)*1_Friction!AM72</f>
        <v>34.9828821629765</v>
      </c>
      <c r="AN72" s="0" t="n">
        <f aca="false">Offre!$E$39*(Offre!$C$39^Param!$B$3)*1_Friction!AN72</f>
        <v>0</v>
      </c>
      <c r="AO72" s="0" t="n">
        <f aca="false">SUM(C72:AN72)</f>
        <v>373.436614458811</v>
      </c>
    </row>
    <row r="73" customFormat="false" ht="15" hidden="false" customHeight="true" outlineLevel="0" collapsed="false">
      <c r="A73" s="0" t="s">
        <v>244</v>
      </c>
      <c r="B73" s="0" t="s">
        <v>245</v>
      </c>
      <c r="C73" s="0" t="n">
        <f aca="false">Offre!$E$2*(Offre!$C$2^Param!$B$3)*1_Friction!C73</f>
        <v>13.1946252492046</v>
      </c>
      <c r="D73" s="0" t="n">
        <f aca="false">Offre!$E$3*(Offre!$C$3^Param!$B$3)*1_Friction!D73</f>
        <v>5.41192314524199</v>
      </c>
      <c r="E73" s="0" t="n">
        <f aca="false">Offre!$E$4*(Offre!$C$4^Param!$B$3)*1_Friction!E73</f>
        <v>57.2356636428972</v>
      </c>
      <c r="F73" s="0" t="n">
        <f aca="false">Offre!$E$5*(Offre!$C$5^Param!$B$3)*1_Friction!F73</f>
        <v>10.411878055953</v>
      </c>
      <c r="G73" s="0" t="n">
        <f aca="false">Offre!$E$6*(Offre!$C$6^Param!$B$3)*1_Friction!G73</f>
        <v>28.7226904781228</v>
      </c>
      <c r="H73" s="0" t="n">
        <f aca="false">Offre!$E$7*(Offre!$C$7^Param!$B$3)*1_Friction!H73</f>
        <v>7.2412722190112</v>
      </c>
      <c r="I73" s="0" t="n">
        <f aca="false">Offre!$E$8*(Offre!$C$8^Param!$B$3)*1_Friction!I73</f>
        <v>15.6784427553426</v>
      </c>
      <c r="J73" s="0" t="n">
        <f aca="false">Offre!$E$9*(Offre!$C$9^Param!$B$3)*1_Friction!J73</f>
        <v>12.3092307090889</v>
      </c>
      <c r="K73" s="0" t="n">
        <f aca="false">Offre!$E$10*(Offre!$C$10^Param!$B$3)*1_Friction!K73</f>
        <v>7.64101674124821</v>
      </c>
      <c r="L73" s="0" t="n">
        <f aca="false">Offre!$E$11*(Offre!$C$11^Param!$B$3)*1_Friction!L73</f>
        <v>7.84749017864576</v>
      </c>
      <c r="M73" s="0" t="n">
        <f aca="false">Offre!$E$12*(Offre!$C$12^Param!$B$3)*1_Friction!M73</f>
        <v>43.4573620900174</v>
      </c>
      <c r="N73" s="0" t="n">
        <f aca="false">Offre!$E$13*(Offre!$C$13^Param!$B$3)*1_Friction!N73</f>
        <v>5.73259478132247</v>
      </c>
      <c r="O73" s="0" t="n">
        <f aca="false">Offre!$E$14*(Offre!$C$14^Param!$B$3)*1_Friction!O73</f>
        <v>18.0601280570476</v>
      </c>
      <c r="P73" s="0" t="n">
        <f aca="false">Offre!$E$15*(Offre!$C$15^Param!$B$3)*1_Friction!P73</f>
        <v>8.74398653570344</v>
      </c>
      <c r="Q73" s="0" t="n">
        <f aca="false">Offre!$E$16*(Offre!$C$16^Param!$B$3)*1_Friction!Q73</f>
        <v>76.2177656164304</v>
      </c>
      <c r="R73" s="0" t="n">
        <f aca="false">Offre!$E$17*(Offre!$C$17^Param!$B$3)*1_Friction!R73</f>
        <v>10.1147481356837</v>
      </c>
      <c r="S73" s="0" t="n">
        <f aca="false">Offre!$E$18*(Offre!$C$18^Param!$B$3)*1_Friction!S73</f>
        <v>7.5092127775889</v>
      </c>
      <c r="T73" s="0" t="n">
        <f aca="false">Offre!$E$19*(Offre!$C$19^Param!$B$3)*1_Friction!T73</f>
        <v>9.54902293724628</v>
      </c>
      <c r="U73" s="0" t="n">
        <f aca="false">Offre!$E$20*(Offre!$C$20^Param!$B$3)*1_Friction!U73</f>
        <v>1.77097447537621</v>
      </c>
      <c r="V73" s="0" t="n">
        <f aca="false">Offre!$E$21*(Offre!$C$21^Param!$B$3)*1_Friction!V73</f>
        <v>9.74984903467354</v>
      </c>
      <c r="W73" s="0" t="n">
        <f aca="false">Offre!$E$22*(Offre!$C$22^Param!$B$3)*1_Friction!W73</f>
        <v>1.61814178587377</v>
      </c>
      <c r="X73" s="0" t="n">
        <f aca="false">Offre!$E$23*(Offre!$C$23^Param!$B$3)*1_Friction!X73</f>
        <v>2.18664637388613</v>
      </c>
      <c r="Y73" s="0" t="n">
        <f aca="false">Offre!$E$24*(Offre!$C$24^Param!$B$3)*1_Friction!Y73</f>
        <v>1.45666244924764</v>
      </c>
      <c r="Z73" s="0" t="n">
        <f aca="false">Offre!$E$25*(Offre!$C$25^Param!$B$3)*1_Friction!Z73</f>
        <v>3.56249867349674</v>
      </c>
      <c r="AA73" s="0" t="n">
        <f aca="false">Offre!$E$26*(Offre!$C$26^Param!$B$3)*1_Friction!AA73</f>
        <v>6.36947475348117</v>
      </c>
      <c r="AB73" s="0" t="n">
        <f aca="false">Offre!$E$27*(Offre!$C$27^Param!$B$3)*1_Friction!AB73</f>
        <v>2.70970159929847</v>
      </c>
      <c r="AC73" s="0" t="n">
        <f aca="false">Offre!$E$28*(Offre!$C$28^Param!$B$3)*1_Friction!AC73</f>
        <v>0</v>
      </c>
      <c r="AD73" s="0" t="n">
        <f aca="false">Offre!$E$29*(Offre!$C$29^Param!$B$3)*1_Friction!AD73</f>
        <v>0</v>
      </c>
      <c r="AE73" s="0" t="n">
        <f aca="false">Offre!$E$30*(Offre!$C$30^Param!$B$3)*1_Friction!AE73</f>
        <v>0</v>
      </c>
      <c r="AF73" s="0" t="n">
        <f aca="false">Offre!$E$31*(Offre!$C$31^Param!$B$3)*1_Friction!AF73</f>
        <v>0</v>
      </c>
      <c r="AG73" s="0" t="n">
        <f aca="false">Offre!$E$32*(Offre!$C$32^Param!$B$3)*1_Friction!AG73</f>
        <v>0.144072258618244</v>
      </c>
      <c r="AH73" s="0" t="n">
        <f aca="false">Offre!$E$33*(Offre!$C$33^Param!$B$3)*1_Friction!AH73</f>
        <v>24.0490697853977</v>
      </c>
      <c r="AI73" s="0" t="n">
        <f aca="false">Offre!$E$34*(Offre!$C$34^Param!$B$3)*1_Friction!AI73</f>
        <v>4.54437030522259</v>
      </c>
      <c r="AJ73" s="0" t="n">
        <f aca="false">Offre!$E$35*(Offre!$C$35^Param!$B$3)*1_Friction!AJ73</f>
        <v>3.11489482768751</v>
      </c>
      <c r="AK73" s="0" t="n">
        <f aca="false">Offre!$E$36*(Offre!$C$36^Param!$B$3)*1_Friction!AK73</f>
        <v>0</v>
      </c>
      <c r="AL73" s="0" t="n">
        <f aca="false">Offre!$E$37*(Offre!$C$37^Param!$B$3)*1_Friction!AL73</f>
        <v>0</v>
      </c>
      <c r="AM73" s="0" t="n">
        <f aca="false">Offre!$E$38*(Offre!$C$38^Param!$B$3)*1_Friction!AM73</f>
        <v>32.5556190215886</v>
      </c>
      <c r="AN73" s="0" t="n">
        <f aca="false">Offre!$E$39*(Offre!$C$39^Param!$B$3)*1_Friction!AN73</f>
        <v>0</v>
      </c>
      <c r="AO73" s="0" t="n">
        <f aca="false">SUM(C73:AN73)</f>
        <v>438.911029449645</v>
      </c>
    </row>
    <row r="74" customFormat="false" ht="15" hidden="false" customHeight="true" outlineLevel="0" collapsed="false">
      <c r="A74" s="0" t="s">
        <v>246</v>
      </c>
      <c r="B74" s="0" t="s">
        <v>247</v>
      </c>
      <c r="C74" s="0" t="n">
        <f aca="false">Offre!$E$2*(Offre!$C$2^Param!$B$3)*1_Friction!C74</f>
        <v>10.7209192016747</v>
      </c>
      <c r="D74" s="0" t="n">
        <f aca="false">Offre!$E$3*(Offre!$C$3^Param!$B$3)*1_Friction!D74</f>
        <v>2.02519849446125</v>
      </c>
      <c r="E74" s="0" t="n">
        <f aca="false">Offre!$E$4*(Offre!$C$4^Param!$B$3)*1_Friction!E74</f>
        <v>20.696421758933</v>
      </c>
      <c r="F74" s="0" t="n">
        <f aca="false">Offre!$E$5*(Offre!$C$5^Param!$B$3)*1_Friction!F74</f>
        <v>3.78966030641858</v>
      </c>
      <c r="G74" s="0" t="n">
        <f aca="false">Offre!$E$6*(Offre!$C$6^Param!$B$3)*1_Friction!G74</f>
        <v>10.2262284052251</v>
      </c>
      <c r="H74" s="0" t="n">
        <f aca="false">Offre!$E$7*(Offre!$C$7^Param!$B$3)*1_Friction!H74</f>
        <v>2.76523666192662</v>
      </c>
      <c r="I74" s="0" t="n">
        <f aca="false">Offre!$E$8*(Offre!$C$8^Param!$B$3)*1_Friction!I74</f>
        <v>5.72179452708759</v>
      </c>
      <c r="J74" s="0" t="n">
        <f aca="false">Offre!$E$9*(Offre!$C$9^Param!$B$3)*1_Friction!J74</f>
        <v>4.43486287001054</v>
      </c>
      <c r="K74" s="0" t="n">
        <f aca="false">Offre!$E$10*(Offre!$C$10^Param!$B$3)*1_Friction!K74</f>
        <v>2.74031217405297</v>
      </c>
      <c r="L74" s="0" t="n">
        <f aca="false">Offre!$E$11*(Offre!$C$11^Param!$B$3)*1_Friction!L74</f>
        <v>2.86599854794044</v>
      </c>
      <c r="M74" s="0" t="n">
        <f aca="false">Offre!$E$12*(Offre!$C$12^Param!$B$3)*1_Friction!M74</f>
        <v>16.3056049536449</v>
      </c>
      <c r="N74" s="0" t="n">
        <f aca="false">Offre!$E$13*(Offre!$C$13^Param!$B$3)*1_Friction!N74</f>
        <v>2.08803755586483</v>
      </c>
      <c r="O74" s="0" t="n">
        <f aca="false">Offre!$E$14*(Offre!$C$14^Param!$B$3)*1_Friction!O74</f>
        <v>6.53371123641437</v>
      </c>
      <c r="P74" s="0" t="n">
        <f aca="false">Offre!$E$15*(Offre!$C$15^Param!$B$3)*1_Friction!P74</f>
        <v>3.15646541919506</v>
      </c>
      <c r="Q74" s="0" t="n">
        <f aca="false">Offre!$E$16*(Offre!$C$16^Param!$B$3)*1_Friction!Q74</f>
        <v>27.2877742908481</v>
      </c>
      <c r="R74" s="0" t="n">
        <f aca="false">Offre!$E$17*(Offre!$C$17^Param!$B$3)*1_Friction!R74</f>
        <v>3.60992586286624</v>
      </c>
      <c r="S74" s="0" t="n">
        <f aca="false">Offre!$E$18*(Offre!$C$18^Param!$B$3)*1_Friction!S74</f>
        <v>2.66188733387706</v>
      </c>
      <c r="T74" s="0" t="n">
        <f aca="false">Offre!$E$19*(Offre!$C$19^Param!$B$3)*1_Friction!T74</f>
        <v>9.30031329186833</v>
      </c>
      <c r="U74" s="0" t="n">
        <f aca="false">Offre!$E$20*(Offre!$C$20^Param!$B$3)*1_Friction!U74</f>
        <v>1.65863545195727</v>
      </c>
      <c r="V74" s="0" t="n">
        <f aca="false">Offre!$E$21*(Offre!$C$21^Param!$B$3)*1_Friction!V74</f>
        <v>9.15931410854941</v>
      </c>
      <c r="W74" s="0" t="n">
        <f aca="false">Offre!$E$22*(Offre!$C$22^Param!$B$3)*1_Friction!W74</f>
        <v>1.51697759167559</v>
      </c>
      <c r="X74" s="0" t="n">
        <f aca="false">Offre!$E$23*(Offre!$C$23^Param!$B$3)*1_Friction!X74</f>
        <v>2.04970224365499</v>
      </c>
      <c r="Y74" s="0" t="n">
        <f aca="false">Offre!$E$24*(Offre!$C$24^Param!$B$3)*1_Friction!Y74</f>
        <v>1.36542216827009</v>
      </c>
      <c r="Z74" s="0" t="n">
        <f aca="false">Offre!$E$25*(Offre!$C$25^Param!$B$3)*1_Friction!Z74</f>
        <v>3.33842026208436</v>
      </c>
      <c r="AA74" s="0" t="n">
        <f aca="false">Offre!$E$26*(Offre!$C$26^Param!$B$3)*1_Friction!AA74</f>
        <v>5.96042293748243</v>
      </c>
      <c r="AB74" s="0" t="n">
        <f aca="false">Offre!$E$27*(Offre!$C$27^Param!$B$3)*1_Friction!AB74</f>
        <v>2.53391884971823</v>
      </c>
      <c r="AC74" s="0" t="n">
        <f aca="false">Offre!$E$28*(Offre!$C$28^Param!$B$3)*1_Friction!AC74</f>
        <v>0</v>
      </c>
      <c r="AD74" s="0" t="n">
        <f aca="false">Offre!$E$29*(Offre!$C$29^Param!$B$3)*1_Friction!AD74</f>
        <v>0</v>
      </c>
      <c r="AE74" s="0" t="n">
        <f aca="false">Offre!$E$30*(Offre!$C$30^Param!$B$3)*1_Friction!AE74</f>
        <v>0</v>
      </c>
      <c r="AF74" s="0" t="n">
        <f aca="false">Offre!$E$31*(Offre!$C$31^Param!$B$3)*1_Friction!AF74</f>
        <v>0</v>
      </c>
      <c r="AG74" s="0" t="n">
        <f aca="false">Offre!$E$32*(Offre!$C$32^Param!$B$3)*1_Friction!AG74</f>
        <v>0</v>
      </c>
      <c r="AH74" s="0" t="n">
        <f aca="false">Offre!$E$33*(Offre!$C$33^Param!$B$3)*1_Friction!AH74</f>
        <v>8.36529755881733</v>
      </c>
      <c r="AI74" s="0" t="n">
        <f aca="false">Offre!$E$34*(Offre!$C$34^Param!$B$3)*1_Friction!AI74</f>
        <v>4.43140296746365</v>
      </c>
      <c r="AJ74" s="0" t="n">
        <f aca="false">Offre!$E$35*(Offre!$C$35^Param!$B$3)*1_Friction!AJ74</f>
        <v>2.91744728257767</v>
      </c>
      <c r="AK74" s="0" t="n">
        <f aca="false">Offre!$E$36*(Offre!$C$36^Param!$B$3)*1_Friction!AK74</f>
        <v>0</v>
      </c>
      <c r="AL74" s="0" t="n">
        <f aca="false">Offre!$E$37*(Offre!$C$37^Param!$B$3)*1_Friction!AL74</f>
        <v>0</v>
      </c>
      <c r="AM74" s="0" t="n">
        <f aca="false">Offre!$E$38*(Offre!$C$38^Param!$B$3)*1_Friction!AM74</f>
        <v>26.1585466888091</v>
      </c>
      <c r="AN74" s="0" t="n">
        <f aca="false">Offre!$E$39*(Offre!$C$39^Param!$B$3)*1_Friction!AN74</f>
        <v>0</v>
      </c>
      <c r="AO74" s="0" t="n">
        <f aca="false">SUM(C74:AN74)</f>
        <v>206.38586100337</v>
      </c>
    </row>
    <row r="75" customFormat="false" ht="15" hidden="false" customHeight="true" outlineLevel="0" collapsed="false">
      <c r="A75" s="0" t="s">
        <v>248</v>
      </c>
      <c r="B75" s="0" t="s">
        <v>249</v>
      </c>
      <c r="C75" s="0" t="n">
        <f aca="false">Offre!$E$2*(Offre!$C$2^Param!$B$3)*1_Friction!C75</f>
        <v>6.40189819683821</v>
      </c>
      <c r="D75" s="0" t="n">
        <f aca="false">Offre!$E$3*(Offre!$C$3^Param!$B$3)*1_Friction!D75</f>
        <v>2.71670517127782</v>
      </c>
      <c r="E75" s="0" t="n">
        <f aca="false">Offre!$E$4*(Offre!$C$4^Param!$B$3)*1_Friction!E75</f>
        <v>27.999366432754</v>
      </c>
      <c r="F75" s="0" t="n">
        <f aca="false">Offre!$E$5*(Offre!$C$5^Param!$B$3)*1_Friction!F75</f>
        <v>5.12125156929923</v>
      </c>
      <c r="G75" s="0" t="n">
        <f aca="false">Offre!$E$6*(Offre!$C$6^Param!$B$3)*1_Friction!G75</f>
        <v>13.8883230397305</v>
      </c>
      <c r="H75" s="0" t="n">
        <f aca="false">Offre!$E$7*(Offre!$C$7^Param!$B$3)*1_Friction!H75</f>
        <v>3.69040587813022</v>
      </c>
      <c r="I75" s="0" t="n">
        <f aca="false">Offre!$E$8*(Offre!$C$8^Param!$B$3)*1_Friction!I75</f>
        <v>7.72713596889924</v>
      </c>
      <c r="J75" s="0" t="n">
        <f aca="false">Offre!$E$9*(Offre!$C$9^Param!$B$3)*1_Friction!J75</f>
        <v>6.00843689477027</v>
      </c>
      <c r="K75" s="0" t="n">
        <f aca="false">Offre!$E$10*(Offre!$C$10^Param!$B$3)*1_Friction!K75</f>
        <v>3.71489217574442</v>
      </c>
      <c r="L75" s="0" t="n">
        <f aca="false">Offre!$E$11*(Offre!$C$11^Param!$B$3)*1_Friction!L75</f>
        <v>3.86769098776162</v>
      </c>
      <c r="M75" s="0" t="n">
        <f aca="false">Offre!$E$12*(Offre!$C$12^Param!$B$3)*1_Friction!M75</f>
        <v>21.8586251307547</v>
      </c>
      <c r="N75" s="0" t="n">
        <f aca="false">Offre!$E$13*(Offre!$C$13^Param!$B$3)*1_Friction!N75</f>
        <v>2.82120841067089</v>
      </c>
      <c r="O75" s="0" t="n">
        <f aca="false">Offre!$E$14*(Offre!$C$14^Param!$B$3)*1_Friction!O75</f>
        <v>8.83812890634644</v>
      </c>
      <c r="P75" s="0" t="n">
        <f aca="false">Offre!$E$15*(Offre!$C$15^Param!$B$3)*1_Friction!P75</f>
        <v>4.27206522965713</v>
      </c>
      <c r="Q75" s="0" t="n">
        <f aca="false">Offre!$E$16*(Offre!$C$16^Param!$B$3)*1_Friction!Q75</f>
        <v>37.0282995573396</v>
      </c>
      <c r="R75" s="0" t="n">
        <f aca="false">Offre!$E$17*(Offre!$C$17^Param!$B$3)*1_Friction!R75</f>
        <v>4.90237027178781</v>
      </c>
      <c r="S75" s="0" t="n">
        <f aca="false">Offre!$E$18*(Offre!$C$18^Param!$B$3)*1_Friction!S75</f>
        <v>3.61906913583757</v>
      </c>
      <c r="T75" s="0" t="n">
        <f aca="false">Offre!$E$19*(Offre!$C$19^Param!$B$3)*1_Friction!T75</f>
        <v>13.3778430674676</v>
      </c>
      <c r="U75" s="0" t="n">
        <f aca="false">Offre!$E$20*(Offre!$C$20^Param!$B$3)*1_Friction!U75</f>
        <v>6.03564804277021</v>
      </c>
      <c r="V75" s="0" t="n">
        <f aca="false">Offre!$E$21*(Offre!$C$21^Param!$B$3)*1_Friction!V75</f>
        <v>40.4119739190646</v>
      </c>
      <c r="W75" s="0" t="n">
        <f aca="false">Offre!$E$22*(Offre!$C$22^Param!$B$3)*1_Friction!W75</f>
        <v>7.11108559673505</v>
      </c>
      <c r="X75" s="0" t="n">
        <f aca="false">Offre!$E$23*(Offre!$C$23^Param!$B$3)*1_Friction!X75</f>
        <v>9.64553030439516</v>
      </c>
      <c r="Y75" s="0" t="n">
        <f aca="false">Offre!$E$24*(Offre!$C$24^Param!$B$3)*1_Friction!Y75</f>
        <v>6.42413272577712</v>
      </c>
      <c r="Z75" s="0" t="n">
        <f aca="false">Offre!$E$25*(Offre!$C$25^Param!$B$3)*1_Friction!Z75</f>
        <v>15.8357013946554</v>
      </c>
      <c r="AA75" s="0" t="n">
        <f aca="false">Offre!$E$26*(Offre!$C$26^Param!$B$3)*1_Friction!AA75</f>
        <v>29.4753036087784</v>
      </c>
      <c r="AB75" s="0" t="n">
        <f aca="false">Offre!$E$27*(Offre!$C$27^Param!$B$3)*1_Friction!AB75</f>
        <v>12.7810266164316</v>
      </c>
      <c r="AC75" s="0" t="n">
        <f aca="false">Offre!$E$28*(Offre!$C$28^Param!$B$3)*1_Friction!AC75</f>
        <v>0</v>
      </c>
      <c r="AD75" s="0" t="n">
        <f aca="false">Offre!$E$29*(Offre!$C$29^Param!$B$3)*1_Friction!AD75</f>
        <v>0</v>
      </c>
      <c r="AE75" s="0" t="n">
        <f aca="false">Offre!$E$30*(Offre!$C$30^Param!$B$3)*1_Friction!AE75</f>
        <v>0</v>
      </c>
      <c r="AF75" s="0" t="n">
        <f aca="false">Offre!$E$31*(Offre!$C$31^Param!$B$3)*1_Friction!AF75</f>
        <v>0</v>
      </c>
      <c r="AG75" s="0" t="n">
        <f aca="false">Offre!$E$32*(Offre!$C$32^Param!$B$3)*1_Friction!AG75</f>
        <v>0</v>
      </c>
      <c r="AH75" s="0" t="n">
        <f aca="false">Offre!$E$33*(Offre!$C$33^Param!$B$3)*1_Friction!AH75</f>
        <v>11.4335013018117</v>
      </c>
      <c r="AI75" s="0" t="n">
        <f aca="false">Offre!$E$34*(Offre!$C$34^Param!$B$3)*1_Friction!AI75</f>
        <v>6.12912848636792</v>
      </c>
      <c r="AJ75" s="0" t="n">
        <f aca="false">Offre!$E$35*(Offre!$C$35^Param!$B$3)*1_Friction!AJ75</f>
        <v>14.0510025795368</v>
      </c>
      <c r="AK75" s="0" t="n">
        <f aca="false">Offre!$E$36*(Offre!$C$36^Param!$B$3)*1_Friction!AK75</f>
        <v>0</v>
      </c>
      <c r="AL75" s="0" t="n">
        <f aca="false">Offre!$E$37*(Offre!$C$37^Param!$B$3)*1_Friction!AL75</f>
        <v>0</v>
      </c>
      <c r="AM75" s="0" t="n">
        <f aca="false">Offre!$E$38*(Offre!$C$38^Param!$B$3)*1_Friction!AM75</f>
        <v>15.3639364021327</v>
      </c>
      <c r="AN75" s="0" t="n">
        <f aca="false">Offre!$E$39*(Offre!$C$39^Param!$B$3)*1_Friction!AN75</f>
        <v>0</v>
      </c>
      <c r="AO75" s="0" t="n">
        <f aca="false">SUM(C75:AN75)</f>
        <v>352.551687003524</v>
      </c>
    </row>
    <row r="76" customFormat="false" ht="15" hidden="false" customHeight="true" outlineLevel="0" collapsed="false">
      <c r="A76" s="0" t="s">
        <v>250</v>
      </c>
      <c r="B76" s="0" t="s">
        <v>251</v>
      </c>
      <c r="C76" s="0" t="n">
        <f aca="false">Offre!$E$2*(Offre!$C$2^Param!$B$3)*1_Friction!C76</f>
        <v>7.79964236630279</v>
      </c>
      <c r="D76" s="0" t="n">
        <f aca="false">Offre!$E$3*(Offre!$C$3^Param!$B$3)*1_Friction!D76</f>
        <v>4.44589246386571</v>
      </c>
      <c r="E76" s="0" t="n">
        <f aca="false">Offre!$E$4*(Offre!$C$4^Param!$B$3)*1_Friction!E76</f>
        <v>46.6261082080157</v>
      </c>
      <c r="F76" s="0" t="n">
        <f aca="false">Offre!$E$5*(Offre!$C$5^Param!$B$3)*1_Friction!F76</f>
        <v>8.49570683185059</v>
      </c>
      <c r="G76" s="0" t="n">
        <f aca="false">Offre!$E$6*(Offre!$C$6^Param!$B$3)*1_Friction!G76</f>
        <v>23.3082324402226</v>
      </c>
      <c r="H76" s="0" t="n">
        <f aca="false">Offre!$E$7*(Offre!$C$7^Param!$B$3)*1_Friction!H76</f>
        <v>5.97967139466775</v>
      </c>
      <c r="I76" s="0" t="n">
        <f aca="false">Offre!$E$8*(Offre!$C$8^Param!$B$3)*1_Friction!I76</f>
        <v>12.8015280909131</v>
      </c>
      <c r="J76" s="0" t="n">
        <f aca="false">Offre!$E$9*(Offre!$C$9^Param!$B$3)*1_Friction!J76</f>
        <v>10.0184381821796</v>
      </c>
      <c r="K76" s="0" t="n">
        <f aca="false">Offre!$E$10*(Offre!$C$10^Param!$B$3)*1_Friction!K76</f>
        <v>6.21186544756192</v>
      </c>
      <c r="L76" s="0" t="n">
        <f aca="false">Offre!$E$11*(Offre!$C$11^Param!$B$3)*1_Friction!L76</f>
        <v>6.40867630473228</v>
      </c>
      <c r="M76" s="0" t="n">
        <f aca="false">Offre!$E$12*(Offre!$C$12^Param!$B$3)*1_Friction!M76</f>
        <v>35.7239224898007</v>
      </c>
      <c r="N76" s="0" t="n">
        <f aca="false">Offre!$E$13*(Offre!$C$13^Param!$B$3)*1_Friction!N76</f>
        <v>4.67843236205575</v>
      </c>
      <c r="O76" s="0" t="n">
        <f aca="false">Offre!$E$14*(Offre!$C$14^Param!$B$3)*1_Friction!O76</f>
        <v>14.714168134244</v>
      </c>
      <c r="P76" s="0" t="n">
        <f aca="false">Offre!$E$15*(Offre!$C$15^Param!$B$3)*1_Friction!P76</f>
        <v>7.1201373118891</v>
      </c>
      <c r="Q76" s="0" t="n">
        <f aca="false">Offre!$E$16*(Offre!$C$16^Param!$B$3)*1_Friction!Q76</f>
        <v>61.9360559467711</v>
      </c>
      <c r="R76" s="0" t="n">
        <f aca="false">Offre!$E$17*(Offre!$C$17^Param!$B$3)*1_Friction!R76</f>
        <v>8.21299422495233</v>
      </c>
      <c r="S76" s="0" t="n">
        <f aca="false">Offre!$E$18*(Offre!$C$18^Param!$B$3)*1_Friction!S76</f>
        <v>6.0870466860794</v>
      </c>
      <c r="T76" s="0" t="n">
        <f aca="false">Offre!$E$19*(Offre!$C$19^Param!$B$3)*1_Friction!T76</f>
        <v>11.4865276860104</v>
      </c>
      <c r="U76" s="0" t="n">
        <f aca="false">Offre!$E$20*(Offre!$C$20^Param!$B$3)*1_Friction!U76</f>
        <v>3.64685896798926</v>
      </c>
      <c r="V76" s="0" t="n">
        <f aca="false">Offre!$E$21*(Offre!$C$21^Param!$B$3)*1_Friction!V76</f>
        <v>19.3666391924284</v>
      </c>
      <c r="W76" s="0" t="n">
        <f aca="false">Offre!$E$22*(Offre!$C$22^Param!$B$3)*1_Friction!W76</f>
        <v>3.29333441294234</v>
      </c>
      <c r="X76" s="0" t="n">
        <f aca="false">Offre!$E$23*(Offre!$C$23^Param!$B$3)*1_Friction!X76</f>
        <v>4.45943880440581</v>
      </c>
      <c r="Y76" s="0" t="n">
        <f aca="false">Offre!$E$24*(Offre!$C$24^Param!$B$3)*1_Friction!Y76</f>
        <v>2.96915588256787</v>
      </c>
      <c r="Z76" s="0" t="n">
        <f aca="false">Offre!$E$25*(Offre!$C$25^Param!$B$3)*1_Friction!Z76</f>
        <v>7.28600602642353</v>
      </c>
      <c r="AA76" s="0" t="n">
        <f aca="false">Offre!$E$26*(Offre!$C$26^Param!$B$3)*1_Friction!AA76</f>
        <v>13.2580347018626</v>
      </c>
      <c r="AB76" s="0" t="n">
        <f aca="false">Offre!$E$27*(Offre!$C$27^Param!$B$3)*1_Friction!AB76</f>
        <v>5.68377690760923</v>
      </c>
      <c r="AC76" s="0" t="n">
        <f aca="false">Offre!$E$28*(Offre!$C$28^Param!$B$3)*1_Friction!AC76</f>
        <v>0</v>
      </c>
      <c r="AD76" s="0" t="n">
        <f aca="false">Offre!$E$29*(Offre!$C$29^Param!$B$3)*1_Friction!AD76</f>
        <v>0</v>
      </c>
      <c r="AE76" s="0" t="n">
        <f aca="false">Offre!$E$30*(Offre!$C$30^Param!$B$3)*1_Friction!AE76</f>
        <v>0</v>
      </c>
      <c r="AF76" s="0" t="n">
        <f aca="false">Offre!$E$31*(Offre!$C$31^Param!$B$3)*1_Friction!AF76</f>
        <v>0</v>
      </c>
      <c r="AG76" s="0" t="n">
        <f aca="false">Offre!$E$32*(Offre!$C$32^Param!$B$3)*1_Friction!AG76</f>
        <v>0</v>
      </c>
      <c r="AH76" s="0" t="n">
        <f aca="false">Offre!$E$33*(Offre!$C$33^Param!$B$3)*1_Friction!AH76</f>
        <v>19.4028341503622</v>
      </c>
      <c r="AI76" s="0" t="n">
        <f aca="false">Offre!$E$34*(Offre!$C$34^Param!$B$3)*1_Friction!AI76</f>
        <v>5.15349737298327</v>
      </c>
      <c r="AJ76" s="0" t="n">
        <f aca="false">Offre!$E$35*(Offre!$C$35^Param!$B$3)*1_Friction!AJ76</f>
        <v>6.41059296187586</v>
      </c>
      <c r="AK76" s="0" t="n">
        <f aca="false">Offre!$E$36*(Offre!$C$36^Param!$B$3)*1_Friction!AK76</f>
        <v>0</v>
      </c>
      <c r="AL76" s="0" t="n">
        <f aca="false">Offre!$E$37*(Offre!$C$37^Param!$B$3)*1_Friction!AL76</f>
        <v>0</v>
      </c>
      <c r="AM76" s="0" t="n">
        <f aca="false">Offre!$E$38*(Offre!$C$38^Param!$B$3)*1_Friction!AM76</f>
        <v>18.8749242260579</v>
      </c>
      <c r="AN76" s="0" t="n">
        <f aca="false">Offre!$E$39*(Offre!$C$39^Param!$B$3)*1_Friction!AN76</f>
        <v>0</v>
      </c>
      <c r="AO76" s="0" t="n">
        <f aca="false">SUM(C76:AN76)</f>
        <v>391.860140179623</v>
      </c>
    </row>
    <row r="77" customFormat="false" ht="15" hidden="false" customHeight="true" outlineLevel="0" collapsed="false">
      <c r="A77" s="0" t="s">
        <v>252</v>
      </c>
      <c r="B77" s="0" t="s">
        <v>253</v>
      </c>
      <c r="C77" s="0" t="n">
        <f aca="false">Offre!$E$2*(Offre!$C$2^Param!$B$3)*1_Friction!C77</f>
        <v>4.66393397099341</v>
      </c>
      <c r="D77" s="0" t="n">
        <f aca="false">Offre!$E$3*(Offre!$C$3^Param!$B$3)*1_Friction!D77</f>
        <v>4.26366066506543</v>
      </c>
      <c r="E77" s="0" t="n">
        <f aca="false">Offre!$E$4*(Offre!$C$4^Param!$B$3)*1_Friction!E77</f>
        <v>44.6231200270581</v>
      </c>
      <c r="F77" s="0" t="n">
        <f aca="false">Offre!$E$5*(Offre!$C$5^Param!$B$3)*1_Friction!F77</f>
        <v>8.13334041106843</v>
      </c>
      <c r="G77" s="0" t="n">
        <f aca="false">Offre!$E$6*(Offre!$C$6^Param!$B$3)*1_Friction!G77</f>
        <v>22.2900690837816</v>
      </c>
      <c r="H77" s="0" t="n">
        <f aca="false">Offre!$E$7*(Offre!$C$7^Param!$B$3)*1_Friction!H77</f>
        <v>5.7380409001195</v>
      </c>
      <c r="I77" s="0" t="n">
        <f aca="false">Offre!$E$8*(Offre!$C$8^Param!$B$3)*1_Friction!I77</f>
        <v>12.2622951188221</v>
      </c>
      <c r="J77" s="0" t="n">
        <f aca="false">Offre!$E$9*(Offre!$C$9^Param!$B$3)*1_Friction!J77</f>
        <v>9.5863603746558</v>
      </c>
      <c r="K77" s="0" t="n">
        <f aca="false">Offre!$E$10*(Offre!$C$10^Param!$B$3)*1_Friction!K77</f>
        <v>5.94262311983488</v>
      </c>
      <c r="L77" s="0" t="n">
        <f aca="false">Offre!$E$11*(Offre!$C$11^Param!$B$3)*1_Friction!L77</f>
        <v>6.13634360156834</v>
      </c>
      <c r="M77" s="0" t="n">
        <f aca="false">Offre!$E$12*(Offre!$C$12^Param!$B$3)*1_Friction!M77</f>
        <v>34.2640557515633</v>
      </c>
      <c r="N77" s="0" t="n">
        <f aca="false">Offre!$E$13*(Offre!$C$13^Param!$B$3)*1_Friction!N77</f>
        <v>4.47904261624655</v>
      </c>
      <c r="O77" s="0" t="n">
        <f aca="false">Offre!$E$14*(Offre!$C$14^Param!$B$3)*1_Friction!O77</f>
        <v>14.0824024434333</v>
      </c>
      <c r="P77" s="0" t="n">
        <f aca="false">Offre!$E$15*(Offre!$C$15^Param!$B$3)*1_Friction!P77</f>
        <v>6.8137027577978</v>
      </c>
      <c r="Q77" s="0" t="n">
        <f aca="false">Offre!$E$16*(Offre!$C$16^Param!$B$3)*1_Friction!Q77</f>
        <v>59.2466424780988</v>
      </c>
      <c r="R77" s="0" t="n">
        <f aca="false">Offre!$E$17*(Offre!$C$17^Param!$B$3)*1_Friction!R77</f>
        <v>7.85515844512429</v>
      </c>
      <c r="S77" s="0" t="n">
        <f aca="false">Offre!$E$18*(Offre!$C$18^Param!$B$3)*1_Friction!S77</f>
        <v>5.81990991447928</v>
      </c>
      <c r="T77" s="0" t="n">
        <f aca="false">Offre!$E$19*(Offre!$C$19^Param!$B$3)*1_Friction!T77</f>
        <v>12.01163417859</v>
      </c>
      <c r="U77" s="0" t="n">
        <f aca="false">Offre!$E$20*(Offre!$C$20^Param!$B$3)*1_Friction!U77</f>
        <v>8.15051437848079</v>
      </c>
      <c r="V77" s="0" t="n">
        <f aca="false">Offre!$E$21*(Offre!$C$21^Param!$B$3)*1_Friction!V77</f>
        <v>21.9384774464005</v>
      </c>
      <c r="W77" s="0" t="n">
        <f aca="false">Offre!$E$22*(Offre!$C$22^Param!$B$3)*1_Friction!W77</f>
        <v>3.74969595652326</v>
      </c>
      <c r="X77" s="0" t="n">
        <f aca="false">Offre!$E$23*(Offre!$C$23^Param!$B$3)*1_Friction!X77</f>
        <v>5.07870369021238</v>
      </c>
      <c r="Y77" s="0" t="n">
        <f aca="false">Offre!$E$24*(Offre!$C$24^Param!$B$3)*1_Friction!Y77</f>
        <v>3.38163017423671</v>
      </c>
      <c r="Z77" s="0" t="n">
        <f aca="false">Offre!$E$25*(Offre!$C$25^Param!$B$3)*1_Friction!Z77</f>
        <v>8.30384208720844</v>
      </c>
      <c r="AA77" s="0" t="n">
        <f aca="false">Offre!$E$26*(Offre!$C$26^Param!$B$3)*1_Friction!AA77</f>
        <v>15.161805783047</v>
      </c>
      <c r="AB77" s="0" t="n">
        <f aca="false">Offre!$E$27*(Offre!$C$27^Param!$B$3)*1_Friction!AB77</f>
        <v>6.51530871204837</v>
      </c>
      <c r="AC77" s="0" t="n">
        <f aca="false">Offre!$E$28*(Offre!$C$28^Param!$B$3)*1_Friction!AC77</f>
        <v>0</v>
      </c>
      <c r="AD77" s="0" t="n">
        <f aca="false">Offre!$E$29*(Offre!$C$29^Param!$B$3)*1_Friction!AD77</f>
        <v>0</v>
      </c>
      <c r="AE77" s="0" t="n">
        <f aca="false">Offre!$E$30*(Offre!$C$30^Param!$B$3)*1_Friction!AE77</f>
        <v>0</v>
      </c>
      <c r="AF77" s="0" t="n">
        <f aca="false">Offre!$E$31*(Offre!$C$31^Param!$B$3)*1_Friction!AF77</f>
        <v>0</v>
      </c>
      <c r="AG77" s="0" t="n">
        <f aca="false">Offre!$E$32*(Offre!$C$32^Param!$B$3)*1_Friction!AG77</f>
        <v>0</v>
      </c>
      <c r="AH77" s="0" t="n">
        <f aca="false">Offre!$E$33*(Offre!$C$33^Param!$B$3)*1_Friction!AH77</f>
        <v>18.5342155082234</v>
      </c>
      <c r="AI77" s="0" t="n">
        <f aca="false">Offre!$E$34*(Offre!$C$34^Param!$B$3)*1_Friction!AI77</f>
        <v>5.3996749205724</v>
      </c>
      <c r="AJ77" s="0" t="n">
        <f aca="false">Offre!$E$35*(Offre!$C$35^Param!$B$3)*1_Friction!AJ77</f>
        <v>7.31542829822638</v>
      </c>
      <c r="AK77" s="0" t="n">
        <f aca="false">Offre!$E$36*(Offre!$C$36^Param!$B$3)*1_Friction!AK77</f>
        <v>0</v>
      </c>
      <c r="AL77" s="0" t="n">
        <f aca="false">Offre!$E$37*(Offre!$C$37^Param!$B$3)*1_Friction!AL77</f>
        <v>0</v>
      </c>
      <c r="AM77" s="0" t="n">
        <f aca="false">Offre!$E$38*(Offre!$C$38^Param!$B$3)*1_Friction!AM77</f>
        <v>11.1525481182934</v>
      </c>
      <c r="AN77" s="0" t="n">
        <f aca="false">Offre!$E$39*(Offre!$C$39^Param!$B$3)*1_Friction!AN77</f>
        <v>0</v>
      </c>
      <c r="AO77" s="0" t="n">
        <f aca="false">SUM(C77:AN77)</f>
        <v>382.894180931774</v>
      </c>
    </row>
    <row r="78" customFormat="false" ht="15" hidden="false" customHeight="true" outlineLevel="0" collapsed="false">
      <c r="A78" s="0" t="s">
        <v>254</v>
      </c>
      <c r="B78" s="0" t="s">
        <v>255</v>
      </c>
      <c r="C78" s="0" t="n">
        <f aca="false">Offre!$E$2*(Offre!$C$2^Param!$B$3)*1_Friction!C78</f>
        <v>8.2384414584551</v>
      </c>
      <c r="D78" s="0" t="n">
        <f aca="false">Offre!$E$3*(Offre!$C$3^Param!$B$3)*1_Friction!D78</f>
        <v>6.86738855809795</v>
      </c>
      <c r="E78" s="0" t="n">
        <f aca="false">Offre!$E$4*(Offre!$C$4^Param!$B$3)*1_Friction!E78</f>
        <v>73.5448269139927</v>
      </c>
      <c r="F78" s="0" t="n">
        <f aca="false">Offre!$E$5*(Offre!$C$5^Param!$B$3)*1_Friction!F78</f>
        <v>13.3455296266614</v>
      </c>
      <c r="G78" s="0" t="n">
        <f aca="false">Offre!$E$6*(Offre!$C$6^Param!$B$3)*1_Friction!G78</f>
        <v>37.1250771734084</v>
      </c>
      <c r="H78" s="0" t="n">
        <f aca="false">Offre!$E$7*(Offre!$C$7^Param!$B$3)*1_Friction!H78</f>
        <v>9.11404970205381</v>
      </c>
      <c r="I78" s="0" t="n">
        <f aca="false">Offre!$E$8*(Offre!$C$8^Param!$B$3)*1_Friction!I78</f>
        <v>20.0808884971922</v>
      </c>
      <c r="J78" s="0" t="n">
        <f aca="false">Offre!$E$9*(Offre!$C$9^Param!$B$3)*1_Friction!J78</f>
        <v>15.8427624973674</v>
      </c>
      <c r="K78" s="0" t="n">
        <f aca="false">Offre!$E$10*(Offre!$C$10^Param!$B$3)*1_Friction!K78</f>
        <v>9.84906218727571</v>
      </c>
      <c r="L78" s="0" t="n">
        <f aca="false">Offre!$E$11*(Offre!$C$11^Param!$B$3)*1_Friction!L78</f>
        <v>10.0456539342336</v>
      </c>
      <c r="M78" s="0" t="n">
        <f aca="false">Offre!$E$12*(Offre!$C$12^Param!$B$3)*1_Friction!M78</f>
        <v>55.0888061386705</v>
      </c>
      <c r="N78" s="0" t="n">
        <f aca="false">Offre!$E$13*(Offre!$C$13^Param!$B$3)*1_Friction!N78</f>
        <v>7.34769708725348</v>
      </c>
      <c r="O78" s="0" t="n">
        <f aca="false">Offre!$E$14*(Offre!$C$14^Param!$B$3)*1_Friction!O78</f>
        <v>23.2020485689059</v>
      </c>
      <c r="P78" s="0" t="n">
        <f aca="false">Offre!$E$15*(Offre!$C$15^Param!$B$3)*1_Friction!P78</f>
        <v>11.2428014738074</v>
      </c>
      <c r="Q78" s="0" t="n">
        <f aca="false">Offre!$E$16*(Offre!$C$16^Param!$B$3)*1_Friction!Q78</f>
        <v>98.3323035043811</v>
      </c>
      <c r="R78" s="0" t="n">
        <f aca="false">Offre!$E$17*(Offre!$C$17^Param!$B$3)*1_Friction!R78</f>
        <v>13.065170240589</v>
      </c>
      <c r="S78" s="0" t="n">
        <f aca="false">Offre!$E$18*(Offre!$C$18^Param!$B$3)*1_Friction!S78</f>
        <v>9.72200339718059</v>
      </c>
      <c r="T78" s="0" t="n">
        <f aca="false">Offre!$E$19*(Offre!$C$19^Param!$B$3)*1_Friction!T78</f>
        <v>10.8453668088769</v>
      </c>
      <c r="U78" s="0" t="n">
        <f aca="false">Offre!$E$20*(Offre!$C$20^Param!$B$3)*1_Friction!U78</f>
        <v>3.40631955916114</v>
      </c>
      <c r="V78" s="0" t="n">
        <f aca="false">Offre!$E$21*(Offre!$C$21^Param!$B$3)*1_Friction!V78</f>
        <v>16.6578975786586</v>
      </c>
      <c r="W78" s="0" t="n">
        <f aca="false">Offre!$E$22*(Offre!$C$22^Param!$B$3)*1_Friction!W78</f>
        <v>2.81793497936564</v>
      </c>
      <c r="X78" s="0" t="n">
        <f aca="false">Offre!$E$23*(Offre!$C$23^Param!$B$3)*1_Friction!X78</f>
        <v>3.81456937055309</v>
      </c>
      <c r="Y78" s="0" t="n">
        <f aca="false">Offre!$E$24*(Offre!$C$24^Param!$B$3)*1_Friction!Y78</f>
        <v>2.53965487625033</v>
      </c>
      <c r="Z78" s="0" t="n">
        <f aca="false">Offre!$E$25*(Offre!$C$25^Param!$B$3)*1_Friction!Z78</f>
        <v>6.22714470991533</v>
      </c>
      <c r="AA78" s="0" t="n">
        <f aca="false">Offre!$E$26*(Offre!$C$26^Param!$B$3)*1_Friction!AA78</f>
        <v>11.2867063365201</v>
      </c>
      <c r="AB78" s="0" t="n">
        <f aca="false">Offre!$E$27*(Offre!$C$27^Param!$B$3)*1_Friction!AB78</f>
        <v>4.82907018080926</v>
      </c>
      <c r="AC78" s="0" t="n">
        <f aca="false">Offre!$E$28*(Offre!$C$28^Param!$B$3)*1_Friction!AC78</f>
        <v>0</v>
      </c>
      <c r="AD78" s="0" t="n">
        <f aca="false">Offre!$E$29*(Offre!$C$29^Param!$B$3)*1_Friction!AD78</f>
        <v>0</v>
      </c>
      <c r="AE78" s="0" t="n">
        <f aca="false">Offre!$E$30*(Offre!$C$30^Param!$B$3)*1_Friction!AE78</f>
        <v>0</v>
      </c>
      <c r="AF78" s="0" t="n">
        <f aca="false">Offre!$E$31*(Offre!$C$31^Param!$B$3)*1_Friction!AF78</f>
        <v>0</v>
      </c>
      <c r="AG78" s="0" t="n">
        <f aca="false">Offre!$E$32*(Offre!$C$32^Param!$B$3)*1_Friction!AG78</f>
        <v>0</v>
      </c>
      <c r="AH78" s="0" t="n">
        <f aca="false">Offre!$E$33*(Offre!$C$33^Param!$B$3)*1_Friction!AH78</f>
        <v>31.3688272535566</v>
      </c>
      <c r="AI78" s="0" t="n">
        <f aca="false">Offre!$E$34*(Offre!$C$34^Param!$B$3)*1_Friction!AI78</f>
        <v>4.85368640537535</v>
      </c>
      <c r="AJ78" s="0" t="n">
        <f aca="false">Offre!$E$35*(Offre!$C$35^Param!$B$3)*1_Friction!AJ78</f>
        <v>5.47091920546847</v>
      </c>
      <c r="AK78" s="0" t="n">
        <f aca="false">Offre!$E$36*(Offre!$C$36^Param!$B$3)*1_Friction!AK78</f>
        <v>0</v>
      </c>
      <c r="AL78" s="0" t="n">
        <f aca="false">Offre!$E$37*(Offre!$C$37^Param!$B$3)*1_Friction!AL78</f>
        <v>0</v>
      </c>
      <c r="AM78" s="0" t="n">
        <f aca="false">Offre!$E$38*(Offre!$C$38^Param!$B$3)*1_Friction!AM78</f>
        <v>19.9660716012838</v>
      </c>
      <c r="AN78" s="0" t="n">
        <f aca="false">Offre!$E$39*(Offre!$C$39^Param!$B$3)*1_Friction!AN78</f>
        <v>0</v>
      </c>
      <c r="AO78" s="0" t="n">
        <f aca="false">SUM(C78:AN78)</f>
        <v>546.138679825321</v>
      </c>
    </row>
    <row r="79" customFormat="false" ht="15" hidden="false" customHeight="true" outlineLevel="0" collapsed="false">
      <c r="A79" s="0" t="s">
        <v>256</v>
      </c>
      <c r="B79" s="0" t="s">
        <v>257</v>
      </c>
      <c r="C79" s="0" t="n">
        <f aca="false">Offre!$E$2*(Offre!$C$2^Param!$B$3)*1_Friction!C79</f>
        <v>4.97892663172974</v>
      </c>
      <c r="D79" s="0" t="n">
        <f aca="false">Offre!$E$3*(Offre!$C$3^Param!$B$3)*1_Friction!D79</f>
        <v>0.924324595581106</v>
      </c>
      <c r="E79" s="0" t="n">
        <f aca="false">Offre!$E$4*(Offre!$C$4^Param!$B$3)*1_Friction!E79</f>
        <v>9.26661917399684</v>
      </c>
      <c r="F79" s="0" t="n">
        <f aca="false">Offre!$E$5*(Offre!$C$5^Param!$B$3)*1_Friction!F79</f>
        <v>1.70307196121492</v>
      </c>
      <c r="G79" s="0" t="n">
        <f aca="false">Offre!$E$6*(Offre!$C$6^Param!$B$3)*1_Friction!G79</f>
        <v>4.53871740356298</v>
      </c>
      <c r="H79" s="0" t="n">
        <f aca="false">Offre!$E$7*(Offre!$C$7^Param!$B$3)*1_Friction!H79</f>
        <v>1.27687164970317</v>
      </c>
      <c r="I79" s="0" t="n">
        <f aca="false">Offre!$E$8*(Offre!$C$8^Param!$B$3)*1_Friction!I79</f>
        <v>2.57713398886854</v>
      </c>
      <c r="J79" s="0" t="n">
        <f aca="false">Offre!$E$9*(Offre!$C$9^Param!$B$3)*1_Friction!J79</f>
        <v>1.98158931763052</v>
      </c>
      <c r="K79" s="0" t="n">
        <f aca="false">Offre!$E$10*(Offre!$C$10^Param!$B$3)*1_Friction!K79</f>
        <v>1.2212452276515</v>
      </c>
      <c r="L79" s="0" t="n">
        <f aca="false">Offre!$E$11*(Offre!$C$11^Param!$B$3)*1_Friction!L79</f>
        <v>1.29045174282497</v>
      </c>
      <c r="M79" s="0" t="n">
        <f aca="false">Offre!$E$12*(Offre!$C$12^Param!$B$3)*1_Friction!M79</f>
        <v>7.45329648968825</v>
      </c>
      <c r="N79" s="0" t="n">
        <f aca="false">Offre!$E$13*(Offre!$C$13^Param!$B$3)*1_Friction!N79</f>
        <v>0.938749114335577</v>
      </c>
      <c r="O79" s="0" t="n">
        <f aca="false">Offre!$E$14*(Offre!$C$14^Param!$B$3)*1_Friction!O79</f>
        <v>2.92620668567353</v>
      </c>
      <c r="P79" s="0" t="n">
        <f aca="false">Offre!$E$15*(Offre!$C$15^Param!$B$3)*1_Friction!P79</f>
        <v>1.41192146892878</v>
      </c>
      <c r="Q79" s="0" t="n">
        <f aca="false">Offre!$E$16*(Offre!$C$16^Param!$B$3)*1_Friction!Q79</f>
        <v>12.1493882422872</v>
      </c>
      <c r="R79" s="0" t="n">
        <f aca="false">Offre!$E$17*(Offre!$C$17^Param!$B$3)*1_Friction!R79</f>
        <v>1.6043938882925</v>
      </c>
      <c r="S79" s="0" t="n">
        <f aca="false">Offre!$E$18*(Offre!$C$18^Param!$B$3)*1_Friction!S79</f>
        <v>1.17851798064246</v>
      </c>
      <c r="T79" s="0" t="n">
        <f aca="false">Offre!$E$19*(Offre!$C$19^Param!$B$3)*1_Friction!T79</f>
        <v>9.69469711343312</v>
      </c>
      <c r="U79" s="0" t="n">
        <f aca="false">Offre!$E$20*(Offre!$C$20^Param!$B$3)*1_Friction!U79</f>
        <v>1.83847324570211</v>
      </c>
      <c r="V79" s="0" t="n">
        <f aca="false">Offre!$E$21*(Offre!$C$21^Param!$B$3)*1_Friction!V79</f>
        <v>10.1109730525639</v>
      </c>
      <c r="W79" s="0" t="n">
        <f aca="false">Offre!$E$22*(Offre!$C$22^Param!$B$3)*1_Friction!W79</f>
        <v>1.67887046992541</v>
      </c>
      <c r="X79" s="0" t="n">
        <f aca="false">Offre!$E$23*(Offre!$C$23^Param!$B$3)*1_Friction!X79</f>
        <v>2.27056589282742</v>
      </c>
      <c r="Y79" s="0" t="n">
        <f aca="false">Offre!$E$24*(Offre!$C$24^Param!$B$3)*1_Friction!Y79</f>
        <v>1.51144030405895</v>
      </c>
      <c r="Z79" s="0" t="n">
        <f aca="false">Offre!$E$25*(Offre!$C$25^Param!$B$3)*1_Friction!Z79</f>
        <v>3.69706391057415</v>
      </c>
      <c r="AA79" s="0" t="n">
        <f aca="false">Offre!$E$26*(Offre!$C$26^Param!$B$3)*1_Friction!AA79</f>
        <v>6.62054503335978</v>
      </c>
      <c r="AB79" s="0" t="n">
        <f aca="false">Offre!$E$27*(Offre!$C$27^Param!$B$3)*1_Friction!AB79</f>
        <v>2.81547205267879</v>
      </c>
      <c r="AC79" s="0" t="n">
        <f aca="false">Offre!$E$28*(Offre!$C$28^Param!$B$3)*1_Friction!AC79</f>
        <v>0</v>
      </c>
      <c r="AD79" s="0" t="n">
        <f aca="false">Offre!$E$29*(Offre!$C$29^Param!$B$3)*1_Friction!AD79</f>
        <v>0</v>
      </c>
      <c r="AE79" s="0" t="n">
        <f aca="false">Offre!$E$30*(Offre!$C$30^Param!$B$3)*1_Friction!AE79</f>
        <v>0</v>
      </c>
      <c r="AF79" s="0" t="n">
        <f aca="false">Offre!$E$31*(Offre!$C$31^Param!$B$3)*1_Friction!AF79</f>
        <v>0</v>
      </c>
      <c r="AG79" s="0" t="n">
        <f aca="false">Offre!$E$32*(Offre!$C$32^Param!$B$3)*1_Friction!AG79</f>
        <v>0</v>
      </c>
      <c r="AH79" s="0" t="n">
        <f aca="false">Offre!$E$33*(Offre!$C$33^Param!$B$3)*1_Friction!AH79</f>
        <v>3.6642614654113</v>
      </c>
      <c r="AI79" s="0" t="n">
        <f aca="false">Offre!$E$34*(Offre!$C$34^Param!$B$3)*1_Friction!AI79</f>
        <v>4.60775854644012</v>
      </c>
      <c r="AJ79" s="0" t="n">
        <f aca="false">Offre!$E$35*(Offre!$C$35^Param!$B$3)*1_Friction!AJ79</f>
        <v>3.23352558164049</v>
      </c>
      <c r="AK79" s="0" t="n">
        <f aca="false">Offre!$E$36*(Offre!$C$36^Param!$B$3)*1_Friction!AK79</f>
        <v>0</v>
      </c>
      <c r="AL79" s="0" t="n">
        <f aca="false">Offre!$E$37*(Offre!$C$37^Param!$B$3)*1_Friction!AL79</f>
        <v>0</v>
      </c>
      <c r="AM79" s="0" t="n">
        <f aca="false">Offre!$E$38*(Offre!$C$38^Param!$B$3)*1_Friction!AM79</f>
        <v>12.4595541174727</v>
      </c>
      <c r="AN79" s="0" t="n">
        <f aca="false">Offre!$E$39*(Offre!$C$39^Param!$B$3)*1_Friction!AN79</f>
        <v>0</v>
      </c>
      <c r="AO79" s="0" t="n">
        <f aca="false">SUM(C79:AN79)</f>
        <v>121.624626348701</v>
      </c>
    </row>
    <row r="80" customFormat="false" ht="15" hidden="false" customHeight="true" outlineLevel="0" collapsed="false">
      <c r="A80" s="0" t="s">
        <v>258</v>
      </c>
      <c r="B80" s="0" t="s">
        <v>259</v>
      </c>
      <c r="C80" s="0" t="n">
        <f aca="false">Offre!$E$2*(Offre!$C$2^Param!$B$3)*1_Friction!C80</f>
        <v>3.61610892961362</v>
      </c>
      <c r="D80" s="0" t="n">
        <f aca="false">Offre!$E$3*(Offre!$C$3^Param!$B$3)*1_Friction!D80</f>
        <v>1.39263260483095</v>
      </c>
      <c r="E80" s="0" t="n">
        <f aca="false">Offre!$E$4*(Offre!$C$4^Param!$B$3)*1_Friction!E80</f>
        <v>14.0950845631893</v>
      </c>
      <c r="F80" s="0" t="n">
        <f aca="false">Offre!$E$5*(Offre!$C$5^Param!$B$3)*1_Friction!F80</f>
        <v>2.5874412949389</v>
      </c>
      <c r="G80" s="0" t="n">
        <f aca="false">Offre!$E$6*(Offre!$C$6^Param!$B$3)*1_Friction!G80</f>
        <v>6.93844981653167</v>
      </c>
      <c r="H80" s="0" t="n">
        <f aca="false">Offre!$E$7*(Offre!$C$7^Param!$B$3)*1_Friction!H80</f>
        <v>1.91271018472524</v>
      </c>
      <c r="I80" s="0" t="n">
        <f aca="false">Offre!$E$8*(Offre!$C$8^Param!$B$3)*1_Friction!I80</f>
        <v>3.9095940529209</v>
      </c>
      <c r="J80" s="0" t="n">
        <f aca="false">Offre!$E$9*(Offre!$C$9^Param!$B$3)*1_Friction!J80</f>
        <v>3.01921144370572</v>
      </c>
      <c r="K80" s="0" t="n">
        <f aca="false">Offre!$E$10*(Offre!$C$10^Param!$B$3)*1_Friction!K80</f>
        <v>1.86188691310315</v>
      </c>
      <c r="L80" s="0" t="n">
        <f aca="false">Offre!$E$11*(Offre!$C$11^Param!$B$3)*1_Friction!L80</f>
        <v>1.95739003690152</v>
      </c>
      <c r="M80" s="0" t="n">
        <f aca="false">Offre!$E$12*(Offre!$C$12^Param!$B$3)*1_Friction!M80</f>
        <v>11.22110451689</v>
      </c>
      <c r="N80" s="0" t="n">
        <f aca="false">Offre!$E$13*(Offre!$C$13^Param!$B$3)*1_Friction!N80</f>
        <v>1.42593032675506</v>
      </c>
      <c r="O80" s="0" t="n">
        <f aca="false">Offre!$E$14*(Offre!$C$14^Param!$B$3)*1_Friction!O80</f>
        <v>4.45330059349953</v>
      </c>
      <c r="P80" s="0" t="n">
        <f aca="false">Offre!$E$15*(Offre!$C$15^Param!$B$3)*1_Friction!P80</f>
        <v>2.14863986080951</v>
      </c>
      <c r="Q80" s="0" t="n">
        <f aca="false">Offre!$E$16*(Offre!$C$16^Param!$B$3)*1_Friction!Q80</f>
        <v>18.5439980705865</v>
      </c>
      <c r="R80" s="0" t="n">
        <f aca="false">Offre!$E$17*(Offre!$C$17^Param!$B$3)*1_Friction!R80</f>
        <v>2.45100673767111</v>
      </c>
      <c r="S80" s="0" t="n">
        <f aca="false">Offre!$E$18*(Offre!$C$18^Param!$B$3)*1_Friction!S80</f>
        <v>1.80383980431131</v>
      </c>
      <c r="T80" s="0" t="n">
        <f aca="false">Offre!$E$19*(Offre!$C$19^Param!$B$3)*1_Friction!T80</f>
        <v>10.7236959550314</v>
      </c>
      <c r="U80" s="0" t="n">
        <f aca="false">Offre!$E$20*(Offre!$C$20^Param!$B$3)*1_Friction!U80</f>
        <v>3.87970735835878</v>
      </c>
      <c r="V80" s="0" t="n">
        <f aca="false">Offre!$E$21*(Offre!$C$21^Param!$B$3)*1_Friction!V80</f>
        <v>30.987957590101</v>
      </c>
      <c r="W80" s="0" t="n">
        <f aca="false">Offre!$E$22*(Offre!$C$22^Param!$B$3)*1_Friction!W80</f>
        <v>5.38088375590682</v>
      </c>
      <c r="X80" s="0" t="n">
        <f aca="false">Offre!$E$23*(Offre!$C$23^Param!$B$3)*1_Friction!X80</f>
        <v>7.29371602802514</v>
      </c>
      <c r="Y80" s="0" t="n">
        <f aca="false">Offre!$E$24*(Offre!$C$24^Param!$B$3)*1_Friction!Y80</f>
        <v>4.85717349225857</v>
      </c>
      <c r="Z80" s="0" t="n">
        <f aca="false">Offre!$E$25*(Offre!$C$25^Param!$B$3)*1_Friction!Z80</f>
        <v>11.951675287561</v>
      </c>
      <c r="AA80" s="0" t="n">
        <f aca="false">Offre!$E$26*(Offre!$C$26^Param!$B$3)*1_Friction!AA80</f>
        <v>22.0476152028882</v>
      </c>
      <c r="AB80" s="0" t="n">
        <f aca="false">Offre!$E$27*(Offre!$C$27^Param!$B$3)*1_Friction!AB80</f>
        <v>9.51725248874213</v>
      </c>
      <c r="AC80" s="0" t="n">
        <f aca="false">Offre!$E$28*(Offre!$C$28^Param!$B$3)*1_Friction!AC80</f>
        <v>0</v>
      </c>
      <c r="AD80" s="0" t="n">
        <f aca="false">Offre!$E$29*(Offre!$C$29^Param!$B$3)*1_Friction!AD80</f>
        <v>0</v>
      </c>
      <c r="AE80" s="0" t="n">
        <f aca="false">Offre!$E$30*(Offre!$C$30^Param!$B$3)*1_Friction!AE80</f>
        <v>0</v>
      </c>
      <c r="AF80" s="0" t="n">
        <f aca="false">Offre!$E$31*(Offre!$C$31^Param!$B$3)*1_Friction!AF80</f>
        <v>0</v>
      </c>
      <c r="AG80" s="0" t="n">
        <f aca="false">Offre!$E$32*(Offre!$C$32^Param!$B$3)*1_Friction!AG80</f>
        <v>0</v>
      </c>
      <c r="AH80" s="0" t="n">
        <f aca="false">Offre!$E$33*(Offre!$C$33^Param!$B$3)*1_Friction!AH80</f>
        <v>5.63839461697096</v>
      </c>
      <c r="AI80" s="0" t="n">
        <f aca="false">Offre!$E$34*(Offre!$C$34^Param!$B$3)*1_Friction!AI80</f>
        <v>4.89208433813961</v>
      </c>
      <c r="AJ80" s="0" t="n">
        <f aca="false">Offre!$E$35*(Offre!$C$35^Param!$B$3)*1_Friction!AJ80</f>
        <v>10.5694112159615</v>
      </c>
      <c r="AK80" s="0" t="n">
        <f aca="false">Offre!$E$36*(Offre!$C$36^Param!$B$3)*1_Friction!AK80</f>
        <v>0</v>
      </c>
      <c r="AL80" s="0" t="n">
        <f aca="false">Offre!$E$37*(Offre!$C$37^Param!$B$3)*1_Friction!AL80</f>
        <v>0</v>
      </c>
      <c r="AM80" s="0" t="n">
        <f aca="false">Offre!$E$38*(Offre!$C$38^Param!$B$3)*1_Friction!AM80</f>
        <v>8.59152784554136</v>
      </c>
      <c r="AN80" s="0" t="n">
        <f aca="false">Offre!$E$39*(Offre!$C$39^Param!$B$3)*1_Friction!AN80</f>
        <v>0</v>
      </c>
      <c r="AO80" s="0" t="n">
        <f aca="false">SUM(C80:AN80)</f>
        <v>219.669424926471</v>
      </c>
    </row>
    <row r="81" customFormat="false" ht="15" hidden="false" customHeight="true" outlineLevel="0" collapsed="false">
      <c r="A81" s="0" t="s">
        <v>260</v>
      </c>
      <c r="B81" s="0" t="s">
        <v>261</v>
      </c>
      <c r="C81" s="0" t="n">
        <f aca="false">Offre!$E$2*(Offre!$C$2^Param!$B$3)*1_Friction!C81</f>
        <v>9.25337675878548</v>
      </c>
      <c r="D81" s="0" t="n">
        <f aca="false">Offre!$E$3*(Offre!$C$3^Param!$B$3)*1_Friction!D81</f>
        <v>1.31099043107714</v>
      </c>
      <c r="E81" s="0" t="n">
        <f aca="false">Offre!$E$4*(Offre!$C$4^Param!$B$3)*1_Friction!E81</f>
        <v>13.10624712142</v>
      </c>
      <c r="F81" s="0" t="n">
        <f aca="false">Offre!$E$5*(Offre!$C$5^Param!$B$3)*1_Friction!F81</f>
        <v>2.3438813111618</v>
      </c>
      <c r="G81" s="0" t="n">
        <f aca="false">Offre!$E$6*(Offre!$C$6^Param!$B$3)*1_Friction!G81</f>
        <v>6.44226850851556</v>
      </c>
      <c r="H81" s="0" t="n">
        <f aca="false">Offre!$E$7*(Offre!$C$7^Param!$B$3)*1_Friction!H81</f>
        <v>1.40479234934036</v>
      </c>
      <c r="I81" s="0" t="n">
        <f aca="false">Offre!$E$8*(Offre!$C$8^Param!$B$3)*1_Friction!I81</f>
        <v>3.21266884480115</v>
      </c>
      <c r="J81" s="0" t="n">
        <f aca="false">Offre!$E$9*(Offre!$C$9^Param!$B$3)*1_Friction!J81</f>
        <v>2.51515562564605</v>
      </c>
      <c r="K81" s="0" t="n">
        <f aca="false">Offre!$E$10*(Offre!$C$10^Param!$B$3)*1_Friction!K81</f>
        <v>1.5511921406431</v>
      </c>
      <c r="L81" s="0" t="n">
        <f aca="false">Offre!$E$11*(Offre!$C$11^Param!$B$3)*1_Friction!L81</f>
        <v>1.54250606247564</v>
      </c>
      <c r="M81" s="0" t="n">
        <f aca="false">Offre!$E$12*(Offre!$C$12^Param!$B$3)*1_Friction!M81</f>
        <v>8.20937839764167</v>
      </c>
      <c r="N81" s="0" t="n">
        <f aca="false">Offre!$E$13*(Offre!$C$13^Param!$B$3)*1_Friction!N81</f>
        <v>1.10596615441025</v>
      </c>
      <c r="O81" s="0" t="n">
        <f aca="false">Offre!$E$14*(Offre!$C$14^Param!$B$3)*1_Friction!O81</f>
        <v>3.50410090047744</v>
      </c>
      <c r="P81" s="0" t="n">
        <f aca="false">Offre!$E$15*(Offre!$C$15^Param!$B$3)*1_Friction!P81</f>
        <v>1.68999677269002</v>
      </c>
      <c r="Q81" s="0" t="n">
        <f aca="false">Offre!$E$16*(Offre!$C$16^Param!$B$3)*1_Friction!Q81</f>
        <v>14.5665558931185</v>
      </c>
      <c r="R81" s="0" t="n">
        <f aca="false">Offre!$E$17*(Offre!$C$17^Param!$B$3)*1_Friction!R81</f>
        <v>1.92430523744716</v>
      </c>
      <c r="S81" s="0" t="n">
        <f aca="false">Offre!$E$18*(Offre!$C$18^Param!$B$3)*1_Friction!S81</f>
        <v>1.41463648532901</v>
      </c>
      <c r="T81" s="0" t="n">
        <f aca="false">Offre!$E$19*(Offre!$C$19^Param!$B$3)*1_Friction!T81</f>
        <v>7.4373339443631</v>
      </c>
      <c r="U81" s="0" t="n">
        <f aca="false">Offre!$E$20*(Offre!$C$20^Param!$B$3)*1_Friction!U81</f>
        <v>0.989624976269278</v>
      </c>
      <c r="V81" s="0" t="n">
        <f aca="false">Offre!$E$21*(Offre!$C$21^Param!$B$3)*1_Friction!V81</f>
        <v>5.59123051070076</v>
      </c>
      <c r="W81" s="0" t="n">
        <f aca="false">Offre!$E$22*(Offre!$C$22^Param!$B$3)*1_Friction!W81</f>
        <v>0.910977466708338</v>
      </c>
      <c r="X81" s="0" t="n">
        <f aca="false">Offre!$E$23*(Offre!$C$23^Param!$B$3)*1_Friction!X81</f>
        <v>1.23085172734613</v>
      </c>
      <c r="Y81" s="0" t="n">
        <f aca="false">Offre!$E$24*(Offre!$C$24^Param!$B$3)*1_Friction!Y81</f>
        <v>0.819880401469768</v>
      </c>
      <c r="Z81" s="0" t="n">
        <f aca="false">Offre!$E$25*(Offre!$C$25^Param!$B$3)*1_Friction!Z81</f>
        <v>2.00038573253416</v>
      </c>
      <c r="AA81" s="0" t="n">
        <f aca="false">Offre!$E$26*(Offre!$C$26^Param!$B$3)*1_Friction!AA81</f>
        <v>3.53398202816261</v>
      </c>
      <c r="AB81" s="0" t="n">
        <f aca="false">Offre!$E$27*(Offre!$C$27^Param!$B$3)*1_Friction!AB81</f>
        <v>1.49457814779352</v>
      </c>
      <c r="AC81" s="0" t="n">
        <f aca="false">Offre!$E$28*(Offre!$C$28^Param!$B$3)*1_Friction!AC81</f>
        <v>0</v>
      </c>
      <c r="AD81" s="0" t="n">
        <f aca="false">Offre!$E$29*(Offre!$C$29^Param!$B$3)*1_Friction!AD81</f>
        <v>0</v>
      </c>
      <c r="AE81" s="0" t="n">
        <f aca="false">Offre!$E$30*(Offre!$C$30^Param!$B$3)*1_Friction!AE81</f>
        <v>0</v>
      </c>
      <c r="AF81" s="0" t="n">
        <f aca="false">Offre!$E$31*(Offre!$C$31^Param!$B$3)*1_Friction!AF81</f>
        <v>0</v>
      </c>
      <c r="AG81" s="0" t="n">
        <f aca="false">Offre!$E$32*(Offre!$C$32^Param!$B$3)*1_Friction!AG81</f>
        <v>0</v>
      </c>
      <c r="AH81" s="0" t="n">
        <f aca="false">Offre!$E$33*(Offre!$C$33^Param!$B$3)*1_Friction!AH81</f>
        <v>4.40816721617295</v>
      </c>
      <c r="AI81" s="0" t="n">
        <f aca="false">Offre!$E$34*(Offre!$C$34^Param!$B$3)*1_Friction!AI81</f>
        <v>3.57350122687646</v>
      </c>
      <c r="AJ81" s="0" t="n">
        <f aca="false">Offre!$E$35*(Offre!$C$35^Param!$B$3)*1_Friction!AJ81</f>
        <v>1.74132469035748</v>
      </c>
      <c r="AK81" s="0" t="n">
        <f aca="false">Offre!$E$36*(Offre!$C$36^Param!$B$3)*1_Friction!AK81</f>
        <v>0</v>
      </c>
      <c r="AL81" s="0" t="n">
        <f aca="false">Offre!$E$37*(Offre!$C$37^Param!$B$3)*1_Friction!AL81</f>
        <v>0</v>
      </c>
      <c r="AM81" s="0" t="n">
        <f aca="false">Offre!$E$38*(Offre!$C$38^Param!$B$3)*1_Friction!AM81</f>
        <v>23.3460607816766</v>
      </c>
      <c r="AN81" s="0" t="n">
        <f aca="false">Offre!$E$39*(Offre!$C$39^Param!$B$3)*1_Friction!AN81</f>
        <v>0</v>
      </c>
      <c r="AO81" s="0" t="n">
        <f aca="false">SUM(C81:AN81)</f>
        <v>132.175917845412</v>
      </c>
    </row>
    <row r="82" customFormat="false" ht="15" hidden="false" customHeight="true" outlineLevel="0" collapsed="false">
      <c r="A82" s="0" t="s">
        <v>262</v>
      </c>
      <c r="B82" s="0" t="s">
        <v>263</v>
      </c>
      <c r="C82" s="0" t="n">
        <f aca="false">Offre!$E$2*(Offre!$C$2^Param!$B$3)*1_Friction!C82</f>
        <v>4.39908915419116</v>
      </c>
      <c r="D82" s="0" t="n">
        <f aca="false">Offre!$E$3*(Offre!$C$3^Param!$B$3)*1_Friction!D82</f>
        <v>0.348574605082931</v>
      </c>
      <c r="E82" s="0" t="n">
        <f aca="false">Offre!$E$4*(Offre!$C$4^Param!$B$3)*1_Friction!E82</f>
        <v>3.37879954088024</v>
      </c>
      <c r="F82" s="0" t="n">
        <f aca="false">Offre!$E$5*(Offre!$C$5^Param!$B$3)*1_Friction!F82</f>
        <v>0.60293981297189</v>
      </c>
      <c r="G82" s="0" t="n">
        <f aca="false">Offre!$E$6*(Offre!$C$6^Param!$B$3)*1_Friction!G82</f>
        <v>1.63991174476566</v>
      </c>
      <c r="H82" s="0" t="n">
        <f aca="false">Offre!$E$7*(Offre!$C$7^Param!$B$3)*1_Friction!H82</f>
        <v>0.353340056454194</v>
      </c>
      <c r="I82" s="0" t="n">
        <f aca="false">Offre!$E$8*(Offre!$C$8^Param!$B$3)*1_Friction!I82</f>
        <v>0.805990022067847</v>
      </c>
      <c r="J82" s="0" t="n">
        <f aca="false">Offre!$E$9*(Offre!$C$9^Param!$B$3)*1_Friction!J82</f>
        <v>0.627140520723996</v>
      </c>
      <c r="K82" s="0" t="n">
        <f aca="false">Offre!$E$10*(Offre!$C$10^Param!$B$3)*1_Friction!K82</f>
        <v>0.384983760601967</v>
      </c>
      <c r="L82" s="0" t="n">
        <f aca="false">Offre!$E$11*(Offre!$C$11^Param!$B$3)*1_Friction!L82</f>
        <v>0.38256644880867</v>
      </c>
      <c r="M82" s="0" t="n">
        <f aca="false">Offre!$E$12*(Offre!$C$12^Param!$B$3)*1_Friction!M82</f>
        <v>2.03485044946331</v>
      </c>
      <c r="N82" s="0" t="n">
        <f aca="false">Offre!$E$13*(Offre!$C$13^Param!$B$3)*1_Friction!N82</f>
        <v>0.272320063103743</v>
      </c>
      <c r="O82" s="0" t="n">
        <f aca="false">Offre!$E$14*(Offre!$C$14^Param!$B$3)*1_Friction!O82</f>
        <v>0.861784252274679</v>
      </c>
      <c r="P82" s="0" t="n">
        <f aca="false">Offre!$E$15*(Offre!$C$15^Param!$B$3)*1_Friction!P82</f>
        <v>0.415184785942525</v>
      </c>
      <c r="Q82" s="0" t="n">
        <f aca="false">Offre!$E$16*(Offre!$C$16^Param!$B$3)*1_Friction!Q82</f>
        <v>3.55207307690532</v>
      </c>
      <c r="R82" s="0" t="n">
        <f aca="false">Offre!$E$17*(Offre!$C$17^Param!$B$3)*1_Friction!R82</f>
        <v>0.468038194370323</v>
      </c>
      <c r="S82" s="0" t="n">
        <f aca="false">Offre!$E$18*(Offre!$C$18^Param!$B$3)*1_Friction!S82</f>
        <v>0.342172324092538</v>
      </c>
      <c r="T82" s="0" t="n">
        <f aca="false">Offre!$E$19*(Offre!$C$19^Param!$B$3)*1_Friction!T82</f>
        <v>1.13567727745422</v>
      </c>
      <c r="U82" s="0" t="n">
        <f aca="false">Offre!$E$20*(Offre!$C$20^Param!$B$3)*1_Friction!U82</f>
        <v>0</v>
      </c>
      <c r="V82" s="0" t="n">
        <f aca="false">Offre!$E$21*(Offre!$C$21^Param!$B$3)*1_Friction!V82</f>
        <v>0</v>
      </c>
      <c r="W82" s="0" t="n">
        <f aca="false">Offre!$E$22*(Offre!$C$22^Param!$B$3)*1_Friction!W82</f>
        <v>0</v>
      </c>
      <c r="X82" s="0" t="n">
        <f aca="false">Offre!$E$23*(Offre!$C$23^Param!$B$3)*1_Friction!X82</f>
        <v>0</v>
      </c>
      <c r="Y82" s="0" t="n">
        <f aca="false">Offre!$E$24*(Offre!$C$24^Param!$B$3)*1_Friction!Y82</f>
        <v>0</v>
      </c>
      <c r="Z82" s="0" t="n">
        <f aca="false">Offre!$E$25*(Offre!$C$25^Param!$B$3)*1_Friction!Z82</f>
        <v>0</v>
      </c>
      <c r="AA82" s="0" t="n">
        <f aca="false">Offre!$E$26*(Offre!$C$26^Param!$B$3)*1_Friction!AA82</f>
        <v>0</v>
      </c>
      <c r="AB82" s="0" t="n">
        <f aca="false">Offre!$E$27*(Offre!$C$27^Param!$B$3)*1_Friction!AB82</f>
        <v>0</v>
      </c>
      <c r="AC82" s="0" t="n">
        <f aca="false">Offre!$E$28*(Offre!$C$28^Param!$B$3)*1_Friction!AC82</f>
        <v>0</v>
      </c>
      <c r="AD82" s="0" t="n">
        <f aca="false">Offre!$E$29*(Offre!$C$29^Param!$B$3)*1_Friction!AD82</f>
        <v>0</v>
      </c>
      <c r="AE82" s="0" t="n">
        <f aca="false">Offre!$E$30*(Offre!$C$30^Param!$B$3)*1_Friction!AE82</f>
        <v>0</v>
      </c>
      <c r="AF82" s="0" t="n">
        <f aca="false">Offre!$E$31*(Offre!$C$31^Param!$B$3)*1_Friction!AF82</f>
        <v>0</v>
      </c>
      <c r="AG82" s="0" t="n">
        <f aca="false">Offre!$E$32*(Offre!$C$32^Param!$B$3)*1_Friction!AG82</f>
        <v>0</v>
      </c>
      <c r="AH82" s="0" t="n">
        <f aca="false">Offre!$E$33*(Offre!$C$33^Param!$B$3)*1_Friction!AH82</f>
        <v>1.04990985192228</v>
      </c>
      <c r="AI82" s="0" t="n">
        <f aca="false">Offre!$E$34*(Offre!$C$34^Param!$B$3)*1_Friction!AI82</f>
        <v>0.571033958120955</v>
      </c>
      <c r="AJ82" s="0" t="n">
        <f aca="false">Offre!$E$35*(Offre!$C$35^Param!$B$3)*1_Friction!AJ82</f>
        <v>0</v>
      </c>
      <c r="AK82" s="0" t="n">
        <f aca="false">Offre!$E$36*(Offre!$C$36^Param!$B$3)*1_Friction!AK82</f>
        <v>0</v>
      </c>
      <c r="AL82" s="0" t="n">
        <f aca="false">Offre!$E$37*(Offre!$C$37^Param!$B$3)*1_Friction!AL82</f>
        <v>0</v>
      </c>
      <c r="AM82" s="0" t="n">
        <f aca="false">Offre!$E$38*(Offre!$C$38^Param!$B$3)*1_Friction!AM82</f>
        <v>10.089861777569</v>
      </c>
      <c r="AN82" s="0" t="n">
        <f aca="false">Offre!$E$39*(Offre!$C$39^Param!$B$3)*1_Friction!AN82</f>
        <v>0</v>
      </c>
      <c r="AO82" s="0" t="n">
        <f aca="false">SUM(C82:AN82)</f>
        <v>33.7162416777675</v>
      </c>
    </row>
    <row r="83" customFormat="false" ht="15" hidden="false" customHeight="true" outlineLevel="0" collapsed="false">
      <c r="A83" s="0" t="s">
        <v>264</v>
      </c>
      <c r="B83" s="0" t="s">
        <v>265</v>
      </c>
      <c r="C83" s="0" t="n">
        <f aca="false">Offre!$E$2*(Offre!$C$2^Param!$B$3)*1_Friction!C83</f>
        <v>12.5681371657719</v>
      </c>
      <c r="D83" s="0" t="n">
        <f aca="false">Offre!$E$3*(Offre!$C$3^Param!$B$3)*1_Friction!D83</f>
        <v>2.6575347610409</v>
      </c>
      <c r="E83" s="0" t="n">
        <f aca="false">Offre!$E$4*(Offre!$C$4^Param!$B$3)*1_Friction!E83</f>
        <v>27.1490044048026</v>
      </c>
      <c r="F83" s="0" t="n">
        <f aca="false">Offre!$E$5*(Offre!$C$5^Param!$B$3)*1_Friction!F83</f>
        <v>4.85982497487977</v>
      </c>
      <c r="G83" s="0" t="n">
        <f aca="false">Offre!$E$6*(Offre!$C$6^Param!$B$3)*1_Friction!G83</f>
        <v>13.4609392763723</v>
      </c>
      <c r="H83" s="0" t="n">
        <f aca="false">Offre!$E$7*(Offre!$C$7^Param!$B$3)*1_Friction!H83</f>
        <v>2.96120469746367</v>
      </c>
      <c r="I83" s="0" t="n">
        <f aca="false">Offre!$E$8*(Offre!$C$8^Param!$B$3)*1_Friction!I83</f>
        <v>6.78400576959634</v>
      </c>
      <c r="J83" s="0" t="n">
        <f aca="false">Offre!$E$9*(Offre!$C$9^Param!$B$3)*1_Friction!J83</f>
        <v>5.33343292425426</v>
      </c>
      <c r="K83" s="0" t="n">
        <f aca="false">Offre!$E$10*(Offre!$C$10^Param!$B$3)*1_Friction!K83</f>
        <v>3.29593177206533</v>
      </c>
      <c r="L83" s="0" t="n">
        <f aca="false">Offre!$E$11*(Offre!$C$11^Param!$B$3)*1_Friction!L83</f>
        <v>3.28288388119389</v>
      </c>
      <c r="M83" s="0" t="n">
        <f aca="false">Offre!$E$12*(Offre!$C$12^Param!$B$3)*1_Friction!M83</f>
        <v>17.478944866485</v>
      </c>
      <c r="N83" s="0" t="n">
        <f aca="false">Offre!$E$13*(Offre!$C$13^Param!$B$3)*1_Friction!N83</f>
        <v>2.36267015752387</v>
      </c>
      <c r="O83" s="0" t="n">
        <f aca="false">Offre!$E$14*(Offre!$C$14^Param!$B$3)*1_Friction!O83</f>
        <v>7.49186872171299</v>
      </c>
      <c r="P83" s="0" t="n">
        <f aca="false">Offre!$E$15*(Offre!$C$15^Param!$B$3)*1_Friction!P83</f>
        <v>3.62022245624346</v>
      </c>
      <c r="Q83" s="0" t="n">
        <f aca="false">Offre!$E$16*(Offre!$C$16^Param!$B$3)*1_Friction!Q83</f>
        <v>31.325299018612</v>
      </c>
      <c r="R83" s="0" t="n">
        <f aca="false">Offre!$E$17*(Offre!$C$17^Param!$B$3)*1_Friction!R83</f>
        <v>4.14548755986148</v>
      </c>
      <c r="S83" s="0" t="n">
        <f aca="false">Offre!$E$18*(Offre!$C$18^Param!$B$3)*1_Friction!S83</f>
        <v>3.059078055678</v>
      </c>
      <c r="T83" s="0" t="n">
        <f aca="false">Offre!$E$19*(Offre!$C$19^Param!$B$3)*1_Friction!T83</f>
        <v>4.8718836936544</v>
      </c>
      <c r="U83" s="0" t="n">
        <f aca="false">Offre!$E$20*(Offre!$C$20^Param!$B$3)*1_Friction!U83</f>
        <v>0.416806657845619</v>
      </c>
      <c r="V83" s="0" t="n">
        <f aca="false">Offre!$E$21*(Offre!$C$21^Param!$B$3)*1_Friction!V83</f>
        <v>2.43961307864282</v>
      </c>
      <c r="W83" s="0" t="n">
        <f aca="false">Offre!$E$22*(Offre!$C$22^Param!$B$3)*1_Friction!W83</f>
        <v>0.388251542885916</v>
      </c>
      <c r="X83" s="0" t="n">
        <f aca="false">Offre!$E$23*(Offre!$C$23^Param!$B$3)*1_Friction!X83</f>
        <v>0.52395192847049</v>
      </c>
      <c r="Y83" s="0" t="n">
        <f aca="false">Offre!$E$24*(Offre!$C$24^Param!$B$3)*1_Friction!Y83</f>
        <v>0.348640363411595</v>
      </c>
      <c r="Z83" s="0" t="n">
        <f aca="false">Offre!$E$25*(Offre!$C$25^Param!$B$3)*1_Friction!Z83</f>
        <v>0.847947488540303</v>
      </c>
      <c r="AA83" s="0" t="n">
        <f aca="false">Offre!$E$26*(Offre!$C$26^Param!$B$3)*1_Friction!AA83</f>
        <v>1.47581666690627</v>
      </c>
      <c r="AB83" s="0" t="n">
        <f aca="false">Offre!$E$27*(Offre!$C$27^Param!$B$3)*1_Friction!AB83</f>
        <v>0.618672132502458</v>
      </c>
      <c r="AC83" s="0" t="n">
        <f aca="false">Offre!$E$28*(Offre!$C$28^Param!$B$3)*1_Friction!AC83</f>
        <v>0</v>
      </c>
      <c r="AD83" s="0" t="n">
        <f aca="false">Offre!$E$29*(Offre!$C$29^Param!$B$3)*1_Friction!AD83</f>
        <v>0</v>
      </c>
      <c r="AE83" s="0" t="n">
        <f aca="false">Offre!$E$30*(Offre!$C$30^Param!$B$3)*1_Friction!AE83</f>
        <v>0</v>
      </c>
      <c r="AF83" s="0" t="n">
        <f aca="false">Offre!$E$31*(Offre!$C$31^Param!$B$3)*1_Friction!AF83</f>
        <v>0</v>
      </c>
      <c r="AG83" s="0" t="n">
        <f aca="false">Offre!$E$32*(Offre!$C$32^Param!$B$3)*1_Friction!AG83</f>
        <v>0</v>
      </c>
      <c r="AH83" s="0" t="n">
        <f aca="false">Offre!$E$33*(Offre!$C$33^Param!$B$3)*1_Friction!AH83</f>
        <v>9.63348922405634</v>
      </c>
      <c r="AI83" s="0" t="n">
        <f aca="false">Offre!$E$34*(Offre!$C$34^Param!$B$3)*1_Friction!AI83</f>
        <v>2.37493964643381</v>
      </c>
      <c r="AJ83" s="0" t="n">
        <f aca="false">Offre!$E$35*(Offre!$C$35^Param!$B$3)*1_Friction!AJ83</f>
        <v>0.733804382499189</v>
      </c>
      <c r="AK83" s="0" t="n">
        <f aca="false">Offre!$E$36*(Offre!$C$36^Param!$B$3)*1_Friction!AK83</f>
        <v>0</v>
      </c>
      <c r="AL83" s="0" t="n">
        <f aca="false">Offre!$E$37*(Offre!$C$37^Param!$B$3)*1_Friction!AL83</f>
        <v>0</v>
      </c>
      <c r="AM83" s="0" t="n">
        <f aca="false">Offre!$E$38*(Offre!$C$38^Param!$B$3)*1_Friction!AM83</f>
        <v>30.4861442876007</v>
      </c>
      <c r="AN83" s="0" t="n">
        <f aca="false">Offre!$E$39*(Offre!$C$39^Param!$B$3)*1_Friction!AN83</f>
        <v>0</v>
      </c>
      <c r="AO83" s="0" t="n">
        <f aca="false">SUM(C83:AN83)</f>
        <v>206.996431557008</v>
      </c>
    </row>
    <row r="84" customFormat="false" ht="15" hidden="false" customHeight="true" outlineLevel="0" collapsed="false">
      <c r="A84" s="0" t="s">
        <v>266</v>
      </c>
      <c r="B84" s="0" t="s">
        <v>267</v>
      </c>
      <c r="C84" s="0" t="n">
        <f aca="false">Offre!$E$2*(Offre!$C$2^Param!$B$3)*1_Friction!C84</f>
        <v>0</v>
      </c>
      <c r="D84" s="0" t="n">
        <f aca="false">Offre!$E$3*(Offre!$C$3^Param!$B$3)*1_Friction!D84</f>
        <v>0</v>
      </c>
      <c r="E84" s="0" t="n">
        <f aca="false">Offre!$E$4*(Offre!$C$4^Param!$B$3)*1_Friction!E84</f>
        <v>0</v>
      </c>
      <c r="F84" s="0" t="n">
        <f aca="false">Offre!$E$5*(Offre!$C$5^Param!$B$3)*1_Friction!F84</f>
        <v>0</v>
      </c>
      <c r="G84" s="0" t="n">
        <f aca="false">Offre!$E$6*(Offre!$C$6^Param!$B$3)*1_Friction!G84</f>
        <v>0</v>
      </c>
      <c r="H84" s="0" t="n">
        <f aca="false">Offre!$E$7*(Offre!$C$7^Param!$B$3)*1_Friction!H84</f>
        <v>0</v>
      </c>
      <c r="I84" s="0" t="n">
        <f aca="false">Offre!$E$8*(Offre!$C$8^Param!$B$3)*1_Friction!I84</f>
        <v>0</v>
      </c>
      <c r="J84" s="0" t="n">
        <f aca="false">Offre!$E$9*(Offre!$C$9^Param!$B$3)*1_Friction!J84</f>
        <v>0</v>
      </c>
      <c r="K84" s="0" t="n">
        <f aca="false">Offre!$E$10*(Offre!$C$10^Param!$B$3)*1_Friction!K84</f>
        <v>0</v>
      </c>
      <c r="L84" s="0" t="n">
        <f aca="false">Offre!$E$11*(Offre!$C$11^Param!$B$3)*1_Friction!L84</f>
        <v>0</v>
      </c>
      <c r="M84" s="0" t="n">
        <f aca="false">Offre!$E$12*(Offre!$C$12^Param!$B$3)*1_Friction!M84</f>
        <v>0</v>
      </c>
      <c r="N84" s="0" t="n">
        <f aca="false">Offre!$E$13*(Offre!$C$13^Param!$B$3)*1_Friction!N84</f>
        <v>0</v>
      </c>
      <c r="O84" s="0" t="n">
        <f aca="false">Offre!$E$14*(Offre!$C$14^Param!$B$3)*1_Friction!O84</f>
        <v>0</v>
      </c>
      <c r="P84" s="0" t="n">
        <f aca="false">Offre!$E$15*(Offre!$C$15^Param!$B$3)*1_Friction!P84</f>
        <v>0</v>
      </c>
      <c r="Q84" s="0" t="n">
        <f aca="false">Offre!$E$16*(Offre!$C$16^Param!$B$3)*1_Friction!Q84</f>
        <v>0</v>
      </c>
      <c r="R84" s="0" t="n">
        <f aca="false">Offre!$E$17*(Offre!$C$17^Param!$B$3)*1_Friction!R84</f>
        <v>0</v>
      </c>
      <c r="S84" s="0" t="n">
        <f aca="false">Offre!$E$18*(Offre!$C$18^Param!$B$3)*1_Friction!S84</f>
        <v>0</v>
      </c>
      <c r="T84" s="0" t="n">
        <f aca="false">Offre!$E$19*(Offre!$C$19^Param!$B$3)*1_Friction!T84</f>
        <v>0</v>
      </c>
      <c r="U84" s="0" t="n">
        <f aca="false">Offre!$E$20*(Offre!$C$20^Param!$B$3)*1_Friction!U84</f>
        <v>0</v>
      </c>
      <c r="V84" s="0" t="n">
        <f aca="false">Offre!$E$21*(Offre!$C$21^Param!$B$3)*1_Friction!V84</f>
        <v>0</v>
      </c>
      <c r="W84" s="0" t="n">
        <f aca="false">Offre!$E$22*(Offre!$C$22^Param!$B$3)*1_Friction!W84</f>
        <v>0</v>
      </c>
      <c r="X84" s="0" t="n">
        <f aca="false">Offre!$E$23*(Offre!$C$23^Param!$B$3)*1_Friction!X84</f>
        <v>0</v>
      </c>
      <c r="Y84" s="0" t="n">
        <f aca="false">Offre!$E$24*(Offre!$C$24^Param!$B$3)*1_Friction!Y84</f>
        <v>0</v>
      </c>
      <c r="Z84" s="0" t="n">
        <f aca="false">Offre!$E$25*(Offre!$C$25^Param!$B$3)*1_Friction!Z84</f>
        <v>0</v>
      </c>
      <c r="AA84" s="0" t="n">
        <f aca="false">Offre!$E$26*(Offre!$C$26^Param!$B$3)*1_Friction!AA84</f>
        <v>0</v>
      </c>
      <c r="AB84" s="0" t="n">
        <f aca="false">Offre!$E$27*(Offre!$C$27^Param!$B$3)*1_Friction!AB84</f>
        <v>0</v>
      </c>
      <c r="AC84" s="0" t="n">
        <f aca="false">Offre!$E$28*(Offre!$C$28^Param!$B$3)*1_Friction!AC84</f>
        <v>3.59545889393704</v>
      </c>
      <c r="AD84" s="0" t="n">
        <f aca="false">Offre!$E$29*(Offre!$C$29^Param!$B$3)*1_Friction!AD84</f>
        <v>17.9871674087556</v>
      </c>
      <c r="AE84" s="0" t="n">
        <f aca="false">Offre!$E$30*(Offre!$C$30^Param!$B$3)*1_Friction!AE84</f>
        <v>10.7893065660807</v>
      </c>
      <c r="AF84" s="0" t="n">
        <f aca="false">Offre!$E$31*(Offre!$C$31^Param!$B$3)*1_Friction!AF84</f>
        <v>7.18348089192775</v>
      </c>
      <c r="AG84" s="0" t="n">
        <f aca="false">Offre!$E$32*(Offre!$C$32^Param!$B$3)*1_Friction!AG84</f>
        <v>0</v>
      </c>
      <c r="AH84" s="0" t="n">
        <f aca="false">Offre!$E$33*(Offre!$C$33^Param!$B$3)*1_Friction!AH84</f>
        <v>0</v>
      </c>
      <c r="AI84" s="0" t="n">
        <f aca="false">Offre!$E$34*(Offre!$C$34^Param!$B$3)*1_Friction!AI84</f>
        <v>0</v>
      </c>
      <c r="AJ84" s="0" t="n">
        <f aca="false">Offre!$E$35*(Offre!$C$35^Param!$B$3)*1_Friction!AJ84</f>
        <v>0</v>
      </c>
      <c r="AK84" s="0" t="n">
        <f aca="false">Offre!$E$36*(Offre!$C$36^Param!$B$3)*1_Friction!AK84</f>
        <v>24.9696626132053</v>
      </c>
      <c r="AL84" s="0" t="n">
        <f aca="false">Offre!$E$37*(Offre!$C$37^Param!$B$3)*1_Friction!AL84</f>
        <v>36</v>
      </c>
      <c r="AM84" s="0" t="n">
        <f aca="false">Offre!$E$38*(Offre!$C$38^Param!$B$3)*1_Friction!AM84</f>
        <v>0</v>
      </c>
      <c r="AN84" s="0" t="n">
        <f aca="false">Offre!$E$39*(Offre!$C$39^Param!$B$3)*1_Friction!AN84</f>
        <v>0</v>
      </c>
      <c r="AO84" s="0" t="n">
        <f aca="false">SUM(C84:AN84)</f>
        <v>100.525076373906</v>
      </c>
    </row>
    <row r="85" customFormat="false" ht="15" hidden="false" customHeight="true" outlineLevel="0" collapsed="false">
      <c r="A85" s="0" t="s">
        <v>268</v>
      </c>
      <c r="B85" s="0" t="s">
        <v>269</v>
      </c>
      <c r="C85" s="0" t="n">
        <f aca="false">Offre!$E$2*(Offre!$C$2^Param!$B$3)*1_Friction!C85</f>
        <v>0</v>
      </c>
      <c r="D85" s="0" t="n">
        <f aca="false">Offre!$E$3*(Offre!$C$3^Param!$B$3)*1_Friction!D85</f>
        <v>0</v>
      </c>
      <c r="E85" s="0" t="n">
        <f aca="false">Offre!$E$4*(Offre!$C$4^Param!$B$3)*1_Friction!E85</f>
        <v>0</v>
      </c>
      <c r="F85" s="0" t="n">
        <f aca="false">Offre!$E$5*(Offre!$C$5^Param!$B$3)*1_Friction!F85</f>
        <v>0</v>
      </c>
      <c r="G85" s="0" t="n">
        <f aca="false">Offre!$E$6*(Offre!$C$6^Param!$B$3)*1_Friction!G85</f>
        <v>0</v>
      </c>
      <c r="H85" s="0" t="n">
        <f aca="false">Offre!$E$7*(Offre!$C$7^Param!$B$3)*1_Friction!H85</f>
        <v>0</v>
      </c>
      <c r="I85" s="0" t="n">
        <f aca="false">Offre!$E$8*(Offre!$C$8^Param!$B$3)*1_Friction!I85</f>
        <v>0</v>
      </c>
      <c r="J85" s="0" t="n">
        <f aca="false">Offre!$E$9*(Offre!$C$9^Param!$B$3)*1_Friction!J85</f>
        <v>0</v>
      </c>
      <c r="K85" s="0" t="n">
        <f aca="false">Offre!$E$10*(Offre!$C$10^Param!$B$3)*1_Friction!K85</f>
        <v>0</v>
      </c>
      <c r="L85" s="0" t="n">
        <f aca="false">Offre!$E$11*(Offre!$C$11^Param!$B$3)*1_Friction!L85</f>
        <v>0</v>
      </c>
      <c r="M85" s="0" t="n">
        <f aca="false">Offre!$E$12*(Offre!$C$12^Param!$B$3)*1_Friction!M85</f>
        <v>0</v>
      </c>
      <c r="N85" s="0" t="n">
        <f aca="false">Offre!$E$13*(Offre!$C$13^Param!$B$3)*1_Friction!N85</f>
        <v>0</v>
      </c>
      <c r="O85" s="0" t="n">
        <f aca="false">Offre!$E$14*(Offre!$C$14^Param!$B$3)*1_Friction!O85</f>
        <v>0</v>
      </c>
      <c r="P85" s="0" t="n">
        <f aca="false">Offre!$E$15*(Offre!$C$15^Param!$B$3)*1_Friction!P85</f>
        <v>0</v>
      </c>
      <c r="Q85" s="0" t="n">
        <f aca="false">Offre!$E$16*(Offre!$C$16^Param!$B$3)*1_Friction!Q85</f>
        <v>0</v>
      </c>
      <c r="R85" s="0" t="n">
        <f aca="false">Offre!$E$17*(Offre!$C$17^Param!$B$3)*1_Friction!R85</f>
        <v>0</v>
      </c>
      <c r="S85" s="0" t="n">
        <f aca="false">Offre!$E$18*(Offre!$C$18^Param!$B$3)*1_Friction!S85</f>
        <v>0</v>
      </c>
      <c r="T85" s="0" t="n">
        <f aca="false">Offre!$E$19*(Offre!$C$19^Param!$B$3)*1_Friction!T85</f>
        <v>0</v>
      </c>
      <c r="U85" s="0" t="n">
        <f aca="false">Offre!$E$20*(Offre!$C$20^Param!$B$3)*1_Friction!U85</f>
        <v>0</v>
      </c>
      <c r="V85" s="0" t="n">
        <f aca="false">Offre!$E$21*(Offre!$C$21^Param!$B$3)*1_Friction!V85</f>
        <v>0</v>
      </c>
      <c r="W85" s="0" t="n">
        <f aca="false">Offre!$E$22*(Offre!$C$22^Param!$B$3)*1_Friction!W85</f>
        <v>0</v>
      </c>
      <c r="X85" s="0" t="n">
        <f aca="false">Offre!$E$23*(Offre!$C$23^Param!$B$3)*1_Friction!X85</f>
        <v>0</v>
      </c>
      <c r="Y85" s="0" t="n">
        <f aca="false">Offre!$E$24*(Offre!$C$24^Param!$B$3)*1_Friction!Y85</f>
        <v>0</v>
      </c>
      <c r="Z85" s="0" t="n">
        <f aca="false">Offre!$E$25*(Offre!$C$25^Param!$B$3)*1_Friction!Z85</f>
        <v>0</v>
      </c>
      <c r="AA85" s="0" t="n">
        <f aca="false">Offre!$E$26*(Offre!$C$26^Param!$B$3)*1_Friction!AA85</f>
        <v>0</v>
      </c>
      <c r="AB85" s="0" t="n">
        <f aca="false">Offre!$E$27*(Offre!$C$27^Param!$B$3)*1_Friction!AB85</f>
        <v>0</v>
      </c>
      <c r="AC85" s="0" t="n">
        <f aca="false">Offre!$E$28*(Offre!$C$28^Param!$B$3)*1_Friction!AC85</f>
        <v>1.8954522423152</v>
      </c>
      <c r="AD85" s="0" t="n">
        <f aca="false">Offre!$E$29*(Offre!$C$29^Param!$B$3)*1_Friction!AD85</f>
        <v>9.61502693320167</v>
      </c>
      <c r="AE85" s="0" t="n">
        <f aca="false">Offre!$E$30*(Offre!$C$30^Param!$B$3)*1_Friction!AE85</f>
        <v>5.87595514038145</v>
      </c>
      <c r="AF85" s="0" t="n">
        <f aca="false">Offre!$E$31*(Offre!$C$31^Param!$B$3)*1_Friction!AF85</f>
        <v>3.90273390066436</v>
      </c>
      <c r="AG85" s="0" t="n">
        <f aca="false">Offre!$E$32*(Offre!$C$32^Param!$B$3)*1_Friction!AG85</f>
        <v>0</v>
      </c>
      <c r="AH85" s="0" t="n">
        <f aca="false">Offre!$E$33*(Offre!$C$33^Param!$B$3)*1_Friction!AH85</f>
        <v>0</v>
      </c>
      <c r="AI85" s="0" t="n">
        <f aca="false">Offre!$E$34*(Offre!$C$34^Param!$B$3)*1_Friction!AI85</f>
        <v>0</v>
      </c>
      <c r="AJ85" s="0" t="n">
        <f aca="false">Offre!$E$35*(Offre!$C$35^Param!$B$3)*1_Friction!AJ85</f>
        <v>0</v>
      </c>
      <c r="AK85" s="0" t="n">
        <f aca="false">Offre!$E$36*(Offre!$C$36^Param!$B$3)*1_Friction!AK85</f>
        <v>16.4433370237316</v>
      </c>
      <c r="AL85" s="0" t="n">
        <f aca="false">Offre!$E$37*(Offre!$C$37^Param!$B$3)*1_Friction!AL85</f>
        <v>18.8749242260579</v>
      </c>
      <c r="AM85" s="0" t="n">
        <f aca="false">Offre!$E$38*(Offre!$C$38^Param!$B$3)*1_Friction!AM85</f>
        <v>0</v>
      </c>
      <c r="AN85" s="0" t="n">
        <f aca="false">Offre!$E$39*(Offre!$C$39^Param!$B$3)*1_Friction!AN85</f>
        <v>0</v>
      </c>
      <c r="AO85" s="0" t="n">
        <f aca="false">SUM(C85:AN85)</f>
        <v>56.6074294663522</v>
      </c>
    </row>
    <row r="86" customFormat="false" ht="15" hidden="false" customHeight="true" outlineLevel="0" collapsed="false">
      <c r="A86" s="0" t="s">
        <v>270</v>
      </c>
      <c r="B86" s="0" t="s">
        <v>271</v>
      </c>
      <c r="C86" s="0" t="n">
        <f aca="false">Offre!$E$2*(Offre!$C$2^Param!$B$3)*1_Friction!C86</f>
        <v>0</v>
      </c>
      <c r="D86" s="0" t="n">
        <f aca="false">Offre!$E$3*(Offre!$C$3^Param!$B$3)*1_Friction!D86</f>
        <v>0.213323321233517</v>
      </c>
      <c r="E86" s="0" t="n">
        <f aca="false">Offre!$E$4*(Offre!$C$4^Param!$B$3)*1_Friction!E86</f>
        <v>2.43197534179356</v>
      </c>
      <c r="F86" s="0" t="n">
        <f aca="false">Offre!$E$5*(Offre!$C$5^Param!$B$3)*1_Friction!F86</f>
        <v>0.449186660756758</v>
      </c>
      <c r="G86" s="0" t="n">
        <f aca="false">Offre!$E$6*(Offre!$C$6^Param!$B$3)*1_Friction!G86</f>
        <v>1.24655810158026</v>
      </c>
      <c r="H86" s="0" t="n">
        <f aca="false">Offre!$E$7*(Offre!$C$7^Param!$B$3)*1_Friction!H86</f>
        <v>0.348950351013151</v>
      </c>
      <c r="I86" s="0" t="n">
        <f aca="false">Offre!$E$8*(Offre!$C$8^Param!$B$3)*1_Friction!I86</f>
        <v>0.790985828120818</v>
      </c>
      <c r="J86" s="0" t="n">
        <f aca="false">Offre!$E$9*(Offre!$C$9^Param!$B$3)*1_Friction!J86</f>
        <v>0.59361597286457</v>
      </c>
      <c r="K86" s="0" t="n">
        <f aca="false">Offre!$E$10*(Offre!$C$10^Param!$B$3)*1_Friction!K86</f>
        <v>0.347526057412591</v>
      </c>
      <c r="L86" s="0" t="n">
        <f aca="false">Offre!$E$11*(Offre!$C$11^Param!$B$3)*1_Friction!L86</f>
        <v>0.396202197154667</v>
      </c>
      <c r="M86" s="0" t="n">
        <f aca="false">Offre!$E$12*(Offre!$C$12^Param!$B$3)*1_Friction!M86</f>
        <v>2.35303064254897</v>
      </c>
      <c r="N86" s="0" t="n">
        <f aca="false">Offre!$E$13*(Offre!$C$13^Param!$B$3)*1_Friction!N86</f>
        <v>0.276532753040998</v>
      </c>
      <c r="O86" s="0" t="n">
        <f aca="false">Offre!$E$14*(Offre!$C$14^Param!$B$3)*1_Friction!O86</f>
        <v>0.892655047220229</v>
      </c>
      <c r="P86" s="0" t="n">
        <f aca="false">Offre!$E$15*(Offre!$C$15^Param!$B$3)*1_Friction!P86</f>
        <v>0.448225302601797</v>
      </c>
      <c r="Q86" s="0" t="n">
        <f aca="false">Offre!$E$16*(Offre!$C$16^Param!$B$3)*1_Friction!Q86</f>
        <v>3.9905025774667</v>
      </c>
      <c r="R86" s="0" t="n">
        <f aca="false">Offre!$E$17*(Offre!$C$17^Param!$B$3)*1_Friction!R86</f>
        <v>0.523086149992688</v>
      </c>
      <c r="S86" s="0" t="n">
        <f aca="false">Offre!$E$18*(Offre!$C$18^Param!$B$3)*1_Friction!S86</f>
        <v>0.372017439556343</v>
      </c>
      <c r="T86" s="0" t="n">
        <f aca="false">Offre!$E$19*(Offre!$C$19^Param!$B$3)*1_Friction!T86</f>
        <v>0.160396974128653</v>
      </c>
      <c r="U86" s="0" t="n">
        <f aca="false">Offre!$E$20*(Offre!$C$20^Param!$B$3)*1_Friction!U86</f>
        <v>0.253871172191441</v>
      </c>
      <c r="V86" s="0" t="n">
        <f aca="false">Offre!$E$21*(Offre!$C$21^Param!$B$3)*1_Friction!V86</f>
        <v>0</v>
      </c>
      <c r="W86" s="0" t="n">
        <f aca="false">Offre!$E$22*(Offre!$C$22^Param!$B$3)*1_Friction!W86</f>
        <v>0</v>
      </c>
      <c r="X86" s="0" t="n">
        <f aca="false">Offre!$E$23*(Offre!$C$23^Param!$B$3)*1_Friction!X86</f>
        <v>0</v>
      </c>
      <c r="Y86" s="0" t="n">
        <f aca="false">Offre!$E$24*(Offre!$C$24^Param!$B$3)*1_Friction!Y86</f>
        <v>0</v>
      </c>
      <c r="Z86" s="0" t="n">
        <f aca="false">Offre!$E$25*(Offre!$C$25^Param!$B$3)*1_Friction!Z86</f>
        <v>0</v>
      </c>
      <c r="AA86" s="0" t="n">
        <f aca="false">Offre!$E$26*(Offre!$C$26^Param!$B$3)*1_Friction!AA86</f>
        <v>0</v>
      </c>
      <c r="AB86" s="0" t="n">
        <f aca="false">Offre!$E$27*(Offre!$C$27^Param!$B$3)*1_Friction!AB86</f>
        <v>0</v>
      </c>
      <c r="AC86" s="0" t="n">
        <f aca="false">Offre!$E$28*(Offre!$C$28^Param!$B$3)*1_Friction!AC86</f>
        <v>1.13667317742501</v>
      </c>
      <c r="AD86" s="0" t="n">
        <f aca="false">Offre!$E$29*(Offre!$C$29^Param!$B$3)*1_Friction!AD86</f>
        <v>5.55614431365531</v>
      </c>
      <c r="AE86" s="0" t="n">
        <f aca="false">Offre!$E$30*(Offre!$C$30^Param!$B$3)*1_Friction!AE86</f>
        <v>3.19576449802045</v>
      </c>
      <c r="AF86" s="0" t="n">
        <f aca="false">Offre!$E$31*(Offre!$C$31^Param!$B$3)*1_Friction!AF86</f>
        <v>2.11931546638322</v>
      </c>
      <c r="AG86" s="0" t="n">
        <f aca="false">Offre!$E$32*(Offre!$C$32^Param!$B$3)*1_Friction!AG86</f>
        <v>0</v>
      </c>
      <c r="AH86" s="0" t="n">
        <f aca="false">Offre!$E$33*(Offre!$C$33^Param!$B$3)*1_Friction!AH86</f>
        <v>1.40625181958567</v>
      </c>
      <c r="AI86" s="0" t="n">
        <f aca="false">Offre!$E$34*(Offre!$C$34^Param!$B$3)*1_Friction!AI86</f>
        <v>0.0668832765256846</v>
      </c>
      <c r="AJ86" s="0" t="n">
        <f aca="false">Offre!$E$35*(Offre!$C$35^Param!$B$3)*1_Friction!AJ86</f>
        <v>0</v>
      </c>
      <c r="AK86" s="0" t="n">
        <f aca="false">Offre!$E$36*(Offre!$C$36^Param!$B$3)*1_Friction!AK86</f>
        <v>5.86259887641005</v>
      </c>
      <c r="AL86" s="0" t="n">
        <f aca="false">Offre!$E$37*(Offre!$C$37^Param!$B$3)*1_Friction!AL86</f>
        <v>10.6413402065779</v>
      </c>
      <c r="AM86" s="0" t="n">
        <f aca="false">Offre!$E$38*(Offre!$C$38^Param!$B$3)*1_Friction!AM86</f>
        <v>0</v>
      </c>
      <c r="AN86" s="0" t="n">
        <f aca="false">Offre!$E$39*(Offre!$C$39^Param!$B$3)*1_Friction!AN86</f>
        <v>0</v>
      </c>
      <c r="AO86" s="0" t="n">
        <f aca="false">SUM(C86:AN86)</f>
        <v>46.073613525261</v>
      </c>
    </row>
    <row r="87" customFormat="false" ht="15" hidden="false" customHeight="true" outlineLevel="0" collapsed="false">
      <c r="A87" s="0" t="s">
        <v>272</v>
      </c>
      <c r="B87" s="0" t="s">
        <v>273</v>
      </c>
      <c r="C87" s="0" t="n">
        <f aca="false">Offre!$E$2*(Offre!$C$2^Param!$B$3)*1_Friction!C87</f>
        <v>0</v>
      </c>
      <c r="D87" s="0" t="n">
        <f aca="false">Offre!$E$3*(Offre!$C$3^Param!$B$3)*1_Friction!D87</f>
        <v>0.0938476118344112</v>
      </c>
      <c r="E87" s="0" t="n">
        <f aca="false">Offre!$E$4*(Offre!$C$4^Param!$B$3)*1_Friction!E87</f>
        <v>1.07289102341317</v>
      </c>
      <c r="F87" s="0" t="n">
        <f aca="false">Offre!$E$5*(Offre!$C$5^Param!$B$3)*1_Friction!F87</f>
        <v>0.198678693404142</v>
      </c>
      <c r="G87" s="0" t="n">
        <f aca="false">Offre!$E$6*(Offre!$C$6^Param!$B$3)*1_Friction!G87</f>
        <v>0.549826179420305</v>
      </c>
      <c r="H87" s="0" t="n">
        <f aca="false">Offre!$E$7*(Offre!$C$7^Param!$B$3)*1_Friction!H87</f>
        <v>0.157296227248377</v>
      </c>
      <c r="I87" s="0" t="n">
        <f aca="false">Offre!$E$8*(Offre!$C$8^Param!$B$3)*1_Friction!I87</f>
        <v>0.355867078951335</v>
      </c>
      <c r="J87" s="0" t="n">
        <f aca="false">Offre!$E$9*(Offre!$C$9^Param!$B$3)*1_Friction!J87</f>
        <v>0.265251877867934</v>
      </c>
      <c r="K87" s="0" t="n">
        <f aca="false">Offre!$E$10*(Offre!$C$10^Param!$B$3)*1_Friction!K87</f>
        <v>0.154372597928705</v>
      </c>
      <c r="L87" s="0" t="n">
        <f aca="false">Offre!$E$11*(Offre!$C$11^Param!$B$3)*1_Friction!L87</f>
        <v>0.178286946230203</v>
      </c>
      <c r="M87" s="0" t="n">
        <f aca="false">Offre!$E$12*(Offre!$C$12^Param!$B$3)*1_Friction!M87</f>
        <v>1.07123649692826</v>
      </c>
      <c r="N87" s="0" t="n">
        <f aca="false">Offre!$E$13*(Offre!$C$13^Param!$B$3)*1_Friction!N87</f>
        <v>0.123780281550156</v>
      </c>
      <c r="O87" s="0" t="n">
        <f aca="false">Offre!$E$14*(Offre!$C$14^Param!$B$3)*1_Friction!O87</f>
        <v>0.400181491227447</v>
      </c>
      <c r="P87" s="0" t="n">
        <f aca="false">Offre!$E$15*(Offre!$C$15^Param!$B$3)*1_Friction!P87</f>
        <v>0.201658011405757</v>
      </c>
      <c r="Q87" s="0" t="n">
        <f aca="false">Offre!$E$16*(Offre!$C$16^Param!$B$3)*1_Friction!Q87</f>
        <v>1.79884970630916</v>
      </c>
      <c r="R87" s="0" t="n">
        <f aca="false">Offre!$E$17*(Offre!$C$17^Param!$B$3)*1_Friction!R87</f>
        <v>0.23513448744348</v>
      </c>
      <c r="S87" s="0" t="n">
        <f aca="false">Offre!$E$18*(Offre!$C$18^Param!$B$3)*1_Friction!S87</f>
        <v>0.166280576512245</v>
      </c>
      <c r="T87" s="0" t="n">
        <f aca="false">Offre!$E$19*(Offre!$C$19^Param!$B$3)*1_Friction!T87</f>
        <v>0</v>
      </c>
      <c r="U87" s="0" t="n">
        <f aca="false">Offre!$E$20*(Offre!$C$20^Param!$B$3)*1_Friction!U87</f>
        <v>0</v>
      </c>
      <c r="V87" s="0" t="n">
        <f aca="false">Offre!$E$21*(Offre!$C$21^Param!$B$3)*1_Friction!V87</f>
        <v>0</v>
      </c>
      <c r="W87" s="0" t="n">
        <f aca="false">Offre!$E$22*(Offre!$C$22^Param!$B$3)*1_Friction!W87</f>
        <v>0</v>
      </c>
      <c r="X87" s="0" t="n">
        <f aca="false">Offre!$E$23*(Offre!$C$23^Param!$B$3)*1_Friction!X87</f>
        <v>0</v>
      </c>
      <c r="Y87" s="0" t="n">
        <f aca="false">Offre!$E$24*(Offre!$C$24^Param!$B$3)*1_Friction!Y87</f>
        <v>0</v>
      </c>
      <c r="Z87" s="0" t="n">
        <f aca="false">Offre!$E$25*(Offre!$C$25^Param!$B$3)*1_Friction!Z87</f>
        <v>0</v>
      </c>
      <c r="AA87" s="0" t="n">
        <f aca="false">Offre!$E$26*(Offre!$C$26^Param!$B$3)*1_Friction!AA87</f>
        <v>0</v>
      </c>
      <c r="AB87" s="0" t="n">
        <f aca="false">Offre!$E$27*(Offre!$C$27^Param!$B$3)*1_Friction!AB87</f>
        <v>0</v>
      </c>
      <c r="AC87" s="0" t="n">
        <f aca="false">Offre!$E$28*(Offre!$C$28^Param!$B$3)*1_Friction!AC87</f>
        <v>1.47937972121864</v>
      </c>
      <c r="AD87" s="0" t="n">
        <f aca="false">Offre!$E$29*(Offre!$C$29^Param!$B$3)*1_Friction!AD87</f>
        <v>7.25117326950905</v>
      </c>
      <c r="AE87" s="0" t="n">
        <f aca="false">Offre!$E$30*(Offre!$C$30^Param!$B$3)*1_Friction!AE87</f>
        <v>4.18986497233723</v>
      </c>
      <c r="AF87" s="0" t="n">
        <f aca="false">Offre!$E$31*(Offre!$C$31^Param!$B$3)*1_Friction!AF87</f>
        <v>2.78158919233476</v>
      </c>
      <c r="AG87" s="0" t="n">
        <f aca="false">Offre!$E$32*(Offre!$C$32^Param!$B$3)*1_Friction!AG87</f>
        <v>0</v>
      </c>
      <c r="AH87" s="0" t="n">
        <f aca="false">Offre!$E$33*(Offre!$C$33^Param!$B$3)*1_Friction!AH87</f>
        <v>0.637871678085313</v>
      </c>
      <c r="AI87" s="0" t="n">
        <f aca="false">Offre!$E$34*(Offre!$C$34^Param!$B$3)*1_Friction!AI87</f>
        <v>0</v>
      </c>
      <c r="AJ87" s="0" t="n">
        <f aca="false">Offre!$E$35*(Offre!$C$35^Param!$B$3)*1_Friction!AJ87</f>
        <v>0</v>
      </c>
      <c r="AK87" s="0" t="n">
        <f aca="false">Offre!$E$36*(Offre!$C$36^Param!$B$3)*1_Friction!AK87</f>
        <v>7.91196132596346</v>
      </c>
      <c r="AL87" s="0" t="n">
        <f aca="false">Offre!$E$37*(Offre!$C$37^Param!$B$3)*1_Friction!AL87</f>
        <v>13.9079459616738</v>
      </c>
      <c r="AM87" s="0" t="n">
        <f aca="false">Offre!$E$38*(Offre!$C$38^Param!$B$3)*1_Friction!AM87</f>
        <v>0</v>
      </c>
      <c r="AN87" s="0" t="n">
        <f aca="false">Offre!$E$39*(Offre!$C$39^Param!$B$3)*1_Friction!AN87</f>
        <v>0</v>
      </c>
      <c r="AO87" s="0" t="n">
        <f aca="false">SUM(C87:AN87)</f>
        <v>45.1832254087973</v>
      </c>
    </row>
    <row r="88" customFormat="false" ht="15" hidden="false" customHeight="true" outlineLevel="0" collapsed="false">
      <c r="A88" s="0" t="s">
        <v>274</v>
      </c>
      <c r="B88" s="0" t="s">
        <v>275</v>
      </c>
      <c r="C88" s="0" t="n">
        <f aca="false">Offre!$E$2*(Offre!$C$2^Param!$B$3)*1_Friction!C88</f>
        <v>0</v>
      </c>
      <c r="D88" s="0" t="n">
        <f aca="false">Offre!$E$3*(Offre!$C$3^Param!$B$3)*1_Friction!D88</f>
        <v>0</v>
      </c>
      <c r="E88" s="0" t="n">
        <f aca="false">Offre!$E$4*(Offre!$C$4^Param!$B$3)*1_Friction!E88</f>
        <v>0</v>
      </c>
      <c r="F88" s="0" t="n">
        <f aca="false">Offre!$E$5*(Offre!$C$5^Param!$B$3)*1_Friction!F88</f>
        <v>0</v>
      </c>
      <c r="G88" s="0" t="n">
        <f aca="false">Offre!$E$6*(Offre!$C$6^Param!$B$3)*1_Friction!G88</f>
        <v>0</v>
      </c>
      <c r="H88" s="0" t="n">
        <f aca="false">Offre!$E$7*(Offre!$C$7^Param!$B$3)*1_Friction!H88</f>
        <v>0</v>
      </c>
      <c r="I88" s="0" t="n">
        <f aca="false">Offre!$E$8*(Offre!$C$8^Param!$B$3)*1_Friction!I88</f>
        <v>0</v>
      </c>
      <c r="J88" s="0" t="n">
        <f aca="false">Offre!$E$9*(Offre!$C$9^Param!$B$3)*1_Friction!J88</f>
        <v>0</v>
      </c>
      <c r="K88" s="0" t="n">
        <f aca="false">Offre!$E$10*(Offre!$C$10^Param!$B$3)*1_Friction!K88</f>
        <v>0</v>
      </c>
      <c r="L88" s="0" t="n">
        <f aca="false">Offre!$E$11*(Offre!$C$11^Param!$B$3)*1_Friction!L88</f>
        <v>0</v>
      </c>
      <c r="M88" s="0" t="n">
        <f aca="false">Offre!$E$12*(Offre!$C$12^Param!$B$3)*1_Friction!M88</f>
        <v>0</v>
      </c>
      <c r="N88" s="0" t="n">
        <f aca="false">Offre!$E$13*(Offre!$C$13^Param!$B$3)*1_Friction!N88</f>
        <v>0</v>
      </c>
      <c r="O88" s="0" t="n">
        <f aca="false">Offre!$E$14*(Offre!$C$14^Param!$B$3)*1_Friction!O88</f>
        <v>0</v>
      </c>
      <c r="P88" s="0" t="n">
        <f aca="false">Offre!$E$15*(Offre!$C$15^Param!$B$3)*1_Friction!P88</f>
        <v>0</v>
      </c>
      <c r="Q88" s="0" t="n">
        <f aca="false">Offre!$E$16*(Offre!$C$16^Param!$B$3)*1_Friction!Q88</f>
        <v>0</v>
      </c>
      <c r="R88" s="0" t="n">
        <f aca="false">Offre!$E$17*(Offre!$C$17^Param!$B$3)*1_Friction!R88</f>
        <v>0</v>
      </c>
      <c r="S88" s="0" t="n">
        <f aca="false">Offre!$E$18*(Offre!$C$18^Param!$B$3)*1_Friction!S88</f>
        <v>0</v>
      </c>
      <c r="T88" s="0" t="n">
        <f aca="false">Offre!$E$19*(Offre!$C$19^Param!$B$3)*1_Friction!T88</f>
        <v>0</v>
      </c>
      <c r="U88" s="0" t="n">
        <f aca="false">Offre!$E$20*(Offre!$C$20^Param!$B$3)*1_Friction!U88</f>
        <v>0</v>
      </c>
      <c r="V88" s="0" t="n">
        <f aca="false">Offre!$E$21*(Offre!$C$21^Param!$B$3)*1_Friction!V88</f>
        <v>0</v>
      </c>
      <c r="W88" s="0" t="n">
        <f aca="false">Offre!$E$22*(Offre!$C$22^Param!$B$3)*1_Friction!W88</f>
        <v>0</v>
      </c>
      <c r="X88" s="0" t="n">
        <f aca="false">Offre!$E$23*(Offre!$C$23^Param!$B$3)*1_Friction!X88</f>
        <v>0</v>
      </c>
      <c r="Y88" s="0" t="n">
        <f aca="false">Offre!$E$24*(Offre!$C$24^Param!$B$3)*1_Friction!Y88</f>
        <v>0</v>
      </c>
      <c r="Z88" s="0" t="n">
        <f aca="false">Offre!$E$25*(Offre!$C$25^Param!$B$3)*1_Friction!Z88</f>
        <v>0</v>
      </c>
      <c r="AA88" s="0" t="n">
        <f aca="false">Offre!$E$26*(Offre!$C$26^Param!$B$3)*1_Friction!AA88</f>
        <v>0</v>
      </c>
      <c r="AB88" s="0" t="n">
        <f aca="false">Offre!$E$27*(Offre!$C$27^Param!$B$3)*1_Friction!AB88</f>
        <v>0</v>
      </c>
      <c r="AC88" s="0" t="n">
        <f aca="false">Offre!$E$28*(Offre!$C$28^Param!$B$3)*1_Friction!AC88</f>
        <v>0.699109878882168</v>
      </c>
      <c r="AD88" s="0" t="n">
        <f aca="false">Offre!$E$29*(Offre!$C$29^Param!$B$3)*1_Friction!AD88</f>
        <v>3.40252766954832</v>
      </c>
      <c r="AE88" s="0" t="n">
        <f aca="false">Offre!$E$30*(Offre!$C$30^Param!$B$3)*1_Friction!AE88</f>
        <v>1.94150680003648</v>
      </c>
      <c r="AF88" s="0" t="n">
        <f aca="false">Offre!$E$31*(Offre!$C$31^Param!$B$3)*1_Friction!AF88</f>
        <v>1.28626988382051</v>
      </c>
      <c r="AG88" s="0" t="n">
        <f aca="false">Offre!$E$32*(Offre!$C$32^Param!$B$3)*1_Friction!AG88</f>
        <v>0</v>
      </c>
      <c r="AH88" s="0" t="n">
        <f aca="false">Offre!$E$33*(Offre!$C$33^Param!$B$3)*1_Friction!AH88</f>
        <v>0</v>
      </c>
      <c r="AI88" s="0" t="n">
        <f aca="false">Offre!$E$34*(Offre!$C$34^Param!$B$3)*1_Friction!AI88</f>
        <v>0</v>
      </c>
      <c r="AJ88" s="0" t="n">
        <f aca="false">Offre!$E$35*(Offre!$C$35^Param!$B$3)*1_Friction!AJ88</f>
        <v>0</v>
      </c>
      <c r="AK88" s="0" t="n">
        <f aca="false">Offre!$E$36*(Offre!$C$36^Param!$B$3)*1_Friction!AK88</f>
        <v>3.40494833173525</v>
      </c>
      <c r="AL88" s="0" t="n">
        <f aca="false">Offre!$E$37*(Offre!$C$37^Param!$B$3)*1_Friction!AL88</f>
        <v>6.4474639202223</v>
      </c>
      <c r="AM88" s="0" t="n">
        <f aca="false">Offre!$E$38*(Offre!$C$38^Param!$B$3)*1_Friction!AM88</f>
        <v>0</v>
      </c>
      <c r="AN88" s="0" t="n">
        <f aca="false">Offre!$E$39*(Offre!$C$39^Param!$B$3)*1_Friction!AN88</f>
        <v>0</v>
      </c>
      <c r="AO88" s="0" t="n">
        <f aca="false">SUM(C88:AN88)</f>
        <v>17.181826484245</v>
      </c>
    </row>
    <row r="89" customFormat="false" ht="15" hidden="false" customHeight="true" outlineLevel="0" collapsed="false">
      <c r="A89" s="0" t="s">
        <v>276</v>
      </c>
      <c r="B89" s="0" t="s">
        <v>277</v>
      </c>
      <c r="C89" s="0" t="n">
        <f aca="false">Offre!$E$2*(Offre!$C$2^Param!$B$3)*1_Friction!C89</f>
        <v>0</v>
      </c>
      <c r="D89" s="0" t="n">
        <f aca="false">Offre!$E$3*(Offre!$C$3^Param!$B$3)*1_Friction!D89</f>
        <v>0</v>
      </c>
      <c r="E89" s="0" t="n">
        <f aca="false">Offre!$E$4*(Offre!$C$4^Param!$B$3)*1_Friction!E89</f>
        <v>0</v>
      </c>
      <c r="F89" s="0" t="n">
        <f aca="false">Offre!$E$5*(Offre!$C$5^Param!$B$3)*1_Friction!F89</f>
        <v>0</v>
      </c>
      <c r="G89" s="0" t="n">
        <f aca="false">Offre!$E$6*(Offre!$C$6^Param!$B$3)*1_Friction!G89</f>
        <v>0</v>
      </c>
      <c r="H89" s="0" t="n">
        <f aca="false">Offre!$E$7*(Offre!$C$7^Param!$B$3)*1_Friction!H89</f>
        <v>0</v>
      </c>
      <c r="I89" s="0" t="n">
        <f aca="false">Offre!$E$8*(Offre!$C$8^Param!$B$3)*1_Friction!I89</f>
        <v>0</v>
      </c>
      <c r="J89" s="0" t="n">
        <f aca="false">Offre!$E$9*(Offre!$C$9^Param!$B$3)*1_Friction!J89</f>
        <v>0</v>
      </c>
      <c r="K89" s="0" t="n">
        <f aca="false">Offre!$E$10*(Offre!$C$10^Param!$B$3)*1_Friction!K89</f>
        <v>0</v>
      </c>
      <c r="L89" s="0" t="n">
        <f aca="false">Offre!$E$11*(Offre!$C$11^Param!$B$3)*1_Friction!L89</f>
        <v>0</v>
      </c>
      <c r="M89" s="0" t="n">
        <f aca="false">Offre!$E$12*(Offre!$C$12^Param!$B$3)*1_Friction!M89</f>
        <v>0</v>
      </c>
      <c r="N89" s="0" t="n">
        <f aca="false">Offre!$E$13*(Offre!$C$13^Param!$B$3)*1_Friction!N89</f>
        <v>0</v>
      </c>
      <c r="O89" s="0" t="n">
        <f aca="false">Offre!$E$14*(Offre!$C$14^Param!$B$3)*1_Friction!O89</f>
        <v>0</v>
      </c>
      <c r="P89" s="0" t="n">
        <f aca="false">Offre!$E$15*(Offre!$C$15^Param!$B$3)*1_Friction!P89</f>
        <v>0</v>
      </c>
      <c r="Q89" s="0" t="n">
        <f aca="false">Offre!$E$16*(Offre!$C$16^Param!$B$3)*1_Friction!Q89</f>
        <v>0</v>
      </c>
      <c r="R89" s="0" t="n">
        <f aca="false">Offre!$E$17*(Offre!$C$17^Param!$B$3)*1_Friction!R89</f>
        <v>0</v>
      </c>
      <c r="S89" s="0" t="n">
        <f aca="false">Offre!$E$18*(Offre!$C$18^Param!$B$3)*1_Friction!S89</f>
        <v>0</v>
      </c>
      <c r="T89" s="0" t="n">
        <f aca="false">Offre!$E$19*(Offre!$C$19^Param!$B$3)*1_Friction!T89</f>
        <v>0</v>
      </c>
      <c r="U89" s="0" t="n">
        <f aca="false">Offre!$E$20*(Offre!$C$20^Param!$B$3)*1_Friction!U89</f>
        <v>0</v>
      </c>
      <c r="V89" s="0" t="n">
        <f aca="false">Offre!$E$21*(Offre!$C$21^Param!$B$3)*1_Friction!V89</f>
        <v>0</v>
      </c>
      <c r="W89" s="0" t="n">
        <f aca="false">Offre!$E$22*(Offre!$C$22^Param!$B$3)*1_Friction!W89</f>
        <v>0</v>
      </c>
      <c r="X89" s="0" t="n">
        <f aca="false">Offre!$E$23*(Offre!$C$23^Param!$B$3)*1_Friction!X89</f>
        <v>0</v>
      </c>
      <c r="Y89" s="0" t="n">
        <f aca="false">Offre!$E$24*(Offre!$C$24^Param!$B$3)*1_Friction!Y89</f>
        <v>0</v>
      </c>
      <c r="Z89" s="0" t="n">
        <f aca="false">Offre!$E$25*(Offre!$C$25^Param!$B$3)*1_Friction!Z89</f>
        <v>0</v>
      </c>
      <c r="AA89" s="0" t="n">
        <f aca="false">Offre!$E$26*(Offre!$C$26^Param!$B$3)*1_Friction!AA89</f>
        <v>0</v>
      </c>
      <c r="AB89" s="0" t="n">
        <f aca="false">Offre!$E$27*(Offre!$C$27^Param!$B$3)*1_Friction!AB89</f>
        <v>0</v>
      </c>
      <c r="AC89" s="0" t="n">
        <f aca="false">Offre!$E$28*(Offre!$C$28^Param!$B$3)*1_Friction!AC89</f>
        <v>0.121651726965115</v>
      </c>
      <c r="AD89" s="0" t="n">
        <f aca="false">Offre!$E$29*(Offre!$C$29^Param!$B$3)*1_Friction!AD89</f>
        <v>0.585668229394399</v>
      </c>
      <c r="AE89" s="0" t="n">
        <f aca="false">Offre!$E$30*(Offre!$C$30^Param!$B$3)*1_Friction!AE89</f>
        <v>0.32674246615397</v>
      </c>
      <c r="AF89" s="0" t="n">
        <f aca="false">Offre!$E$31*(Offre!$C$31^Param!$B$3)*1_Friction!AF89</f>
        <v>0.216085736836786</v>
      </c>
      <c r="AG89" s="0" t="n">
        <f aca="false">Offre!$E$32*(Offre!$C$32^Param!$B$3)*1_Friction!AG89</f>
        <v>0</v>
      </c>
      <c r="AH89" s="0" t="n">
        <f aca="false">Offre!$E$33*(Offre!$C$33^Param!$B$3)*1_Friction!AH89</f>
        <v>0</v>
      </c>
      <c r="AI89" s="0" t="n">
        <f aca="false">Offre!$E$34*(Offre!$C$34^Param!$B$3)*1_Friction!AI89</f>
        <v>0</v>
      </c>
      <c r="AJ89" s="0" t="n">
        <f aca="false">Offre!$E$35*(Offre!$C$35^Param!$B$3)*1_Friction!AJ89</f>
        <v>0</v>
      </c>
      <c r="AK89" s="0" t="n">
        <f aca="false">Offre!$E$36*(Offre!$C$36^Param!$B$3)*1_Friction!AK89</f>
        <v>0.507636131796993</v>
      </c>
      <c r="AL89" s="0" t="n">
        <f aca="false">Offre!$E$37*(Offre!$C$37^Param!$B$3)*1_Friction!AL89</f>
        <v>1.08332631051184</v>
      </c>
      <c r="AM89" s="0" t="n">
        <f aca="false">Offre!$E$38*(Offre!$C$38^Param!$B$3)*1_Friction!AM89</f>
        <v>0</v>
      </c>
      <c r="AN89" s="0" t="n">
        <f aca="false">Offre!$E$39*(Offre!$C$39^Param!$B$3)*1_Friction!AN89</f>
        <v>0</v>
      </c>
      <c r="AO89" s="0" t="n">
        <f aca="false">SUM(C89:AN89)</f>
        <v>2.84111060165911</v>
      </c>
    </row>
    <row r="90" customFormat="false" ht="15" hidden="false" customHeight="true" outlineLevel="0" collapsed="false">
      <c r="A90" s="0" t="s">
        <v>278</v>
      </c>
      <c r="B90" s="0" t="s">
        <v>279</v>
      </c>
      <c r="C90" s="0" t="n">
        <f aca="false">Offre!$E$2*(Offre!$C$2^Param!$B$3)*1_Friction!C90</f>
        <v>0</v>
      </c>
      <c r="D90" s="0" t="n">
        <f aca="false">Offre!$E$3*(Offre!$C$3^Param!$B$3)*1_Friction!D90</f>
        <v>0</v>
      </c>
      <c r="E90" s="0" t="n">
        <f aca="false">Offre!$E$4*(Offre!$C$4^Param!$B$3)*1_Friction!E90</f>
        <v>0</v>
      </c>
      <c r="F90" s="0" t="n">
        <f aca="false">Offre!$E$5*(Offre!$C$5^Param!$B$3)*1_Friction!F90</f>
        <v>0</v>
      </c>
      <c r="G90" s="0" t="n">
        <f aca="false">Offre!$E$6*(Offre!$C$6^Param!$B$3)*1_Friction!G90</f>
        <v>0</v>
      </c>
      <c r="H90" s="0" t="n">
        <f aca="false">Offre!$E$7*(Offre!$C$7^Param!$B$3)*1_Friction!H90</f>
        <v>0</v>
      </c>
      <c r="I90" s="0" t="n">
        <f aca="false">Offre!$E$8*(Offre!$C$8^Param!$B$3)*1_Friction!I90</f>
        <v>0</v>
      </c>
      <c r="J90" s="0" t="n">
        <f aca="false">Offre!$E$9*(Offre!$C$9^Param!$B$3)*1_Friction!J90</f>
        <v>0</v>
      </c>
      <c r="K90" s="0" t="n">
        <f aca="false">Offre!$E$10*(Offre!$C$10^Param!$B$3)*1_Friction!K90</f>
        <v>0</v>
      </c>
      <c r="L90" s="0" t="n">
        <f aca="false">Offre!$E$11*(Offre!$C$11^Param!$B$3)*1_Friction!L90</f>
        <v>0</v>
      </c>
      <c r="M90" s="0" t="n">
        <f aca="false">Offre!$E$12*(Offre!$C$12^Param!$B$3)*1_Friction!M90</f>
        <v>0</v>
      </c>
      <c r="N90" s="0" t="n">
        <f aca="false">Offre!$E$13*(Offre!$C$13^Param!$B$3)*1_Friction!N90</f>
        <v>0</v>
      </c>
      <c r="O90" s="0" t="n">
        <f aca="false">Offre!$E$14*(Offre!$C$14^Param!$B$3)*1_Friction!O90</f>
        <v>0</v>
      </c>
      <c r="P90" s="0" t="n">
        <f aca="false">Offre!$E$15*(Offre!$C$15^Param!$B$3)*1_Friction!P90</f>
        <v>0</v>
      </c>
      <c r="Q90" s="0" t="n">
        <f aca="false">Offre!$E$16*(Offre!$C$16^Param!$B$3)*1_Friction!Q90</f>
        <v>0</v>
      </c>
      <c r="R90" s="0" t="n">
        <f aca="false">Offre!$E$17*(Offre!$C$17^Param!$B$3)*1_Friction!R90</f>
        <v>0</v>
      </c>
      <c r="S90" s="0" t="n">
        <f aca="false">Offre!$E$18*(Offre!$C$18^Param!$B$3)*1_Friction!S90</f>
        <v>0</v>
      </c>
      <c r="T90" s="0" t="n">
        <f aca="false">Offre!$E$19*(Offre!$C$19^Param!$B$3)*1_Friction!T90</f>
        <v>0</v>
      </c>
      <c r="U90" s="0" t="n">
        <f aca="false">Offre!$E$20*(Offre!$C$20^Param!$B$3)*1_Friction!U90</f>
        <v>0</v>
      </c>
      <c r="V90" s="0" t="n">
        <f aca="false">Offre!$E$21*(Offre!$C$21^Param!$B$3)*1_Friction!V90</f>
        <v>0</v>
      </c>
      <c r="W90" s="0" t="n">
        <f aca="false">Offre!$E$22*(Offre!$C$22^Param!$B$3)*1_Friction!W90</f>
        <v>0</v>
      </c>
      <c r="X90" s="0" t="n">
        <f aca="false">Offre!$E$23*(Offre!$C$23^Param!$B$3)*1_Friction!X90</f>
        <v>0</v>
      </c>
      <c r="Y90" s="0" t="n">
        <f aca="false">Offre!$E$24*(Offre!$C$24^Param!$B$3)*1_Friction!Y90</f>
        <v>0</v>
      </c>
      <c r="Z90" s="0" t="n">
        <f aca="false">Offre!$E$25*(Offre!$C$25^Param!$B$3)*1_Friction!Z90</f>
        <v>0</v>
      </c>
      <c r="AA90" s="0" t="n">
        <f aca="false">Offre!$E$26*(Offre!$C$26^Param!$B$3)*1_Friction!AA90</f>
        <v>0</v>
      </c>
      <c r="AB90" s="0" t="n">
        <f aca="false">Offre!$E$27*(Offre!$C$27^Param!$B$3)*1_Friction!AB90</f>
        <v>0</v>
      </c>
      <c r="AC90" s="0" t="n">
        <f aca="false">Offre!$E$28*(Offre!$C$28^Param!$B$3)*1_Friction!AC90</f>
        <v>0.258958696763079</v>
      </c>
      <c r="AD90" s="0" t="n">
        <f aca="false">Offre!$E$29*(Offre!$C$29^Param!$B$3)*1_Friction!AD90</f>
        <v>1.25229558878967</v>
      </c>
      <c r="AE90" s="0" t="n">
        <f aca="false">Offre!$E$30*(Offre!$C$30^Param!$B$3)*1_Friction!AE90</f>
        <v>0.704637825962862</v>
      </c>
      <c r="AF90" s="0" t="n">
        <f aca="false">Offre!$E$31*(Offre!$C$31^Param!$B$3)*1_Friction!AF90</f>
        <v>0.466069299515196</v>
      </c>
      <c r="AG90" s="0" t="n">
        <f aca="false">Offre!$E$32*(Offre!$C$32^Param!$B$3)*1_Friction!AG90</f>
        <v>0</v>
      </c>
      <c r="AH90" s="0" t="n">
        <f aca="false">Offre!$E$33*(Offre!$C$33^Param!$B$3)*1_Friction!AH90</f>
        <v>0</v>
      </c>
      <c r="AI90" s="0" t="n">
        <f aca="false">Offre!$E$34*(Offre!$C$34^Param!$B$3)*1_Friction!AI90</f>
        <v>0</v>
      </c>
      <c r="AJ90" s="0" t="n">
        <f aca="false">Offre!$E$35*(Offre!$C$35^Param!$B$3)*1_Friction!AJ90</f>
        <v>0</v>
      </c>
      <c r="AK90" s="0" t="n">
        <f aca="false">Offre!$E$36*(Offre!$C$36^Param!$B$3)*1_Friction!AK90</f>
        <v>1.14793511473246</v>
      </c>
      <c r="AL90" s="0" t="n">
        <f aca="false">Offre!$E$37*(Offre!$C$37^Param!$B$3)*1_Friction!AL90</f>
        <v>2.34694277688263</v>
      </c>
      <c r="AM90" s="0" t="n">
        <f aca="false">Offre!$E$38*(Offre!$C$38^Param!$B$3)*1_Friction!AM90</f>
        <v>0</v>
      </c>
      <c r="AN90" s="0" t="n">
        <f aca="false">Offre!$E$39*(Offre!$C$39^Param!$B$3)*1_Friction!AN90</f>
        <v>0</v>
      </c>
      <c r="AO90" s="0" t="n">
        <f aca="false">SUM(C90:AN90)</f>
        <v>6.17683930264591</v>
      </c>
    </row>
    <row r="91" customFormat="false" ht="15" hidden="false" customHeight="true" outlineLevel="0" collapsed="false">
      <c r="A91" s="0" t="s">
        <v>280</v>
      </c>
      <c r="B91" s="0" t="s">
        <v>281</v>
      </c>
      <c r="C91" s="0" t="n">
        <f aca="false">Offre!$E$2*(Offre!$C$2^Param!$B$3)*1_Friction!C91</f>
        <v>0</v>
      </c>
      <c r="D91" s="0" t="n">
        <f aca="false">Offre!$E$3*(Offre!$C$3^Param!$B$3)*1_Friction!D91</f>
        <v>0</v>
      </c>
      <c r="E91" s="0" t="n">
        <f aca="false">Offre!$E$4*(Offre!$C$4^Param!$B$3)*1_Friction!E91</f>
        <v>0</v>
      </c>
      <c r="F91" s="0" t="n">
        <f aca="false">Offre!$E$5*(Offre!$C$5^Param!$B$3)*1_Friction!F91</f>
        <v>0</v>
      </c>
      <c r="G91" s="0" t="n">
        <f aca="false">Offre!$E$6*(Offre!$C$6^Param!$B$3)*1_Friction!G91</f>
        <v>0</v>
      </c>
      <c r="H91" s="0" t="n">
        <f aca="false">Offre!$E$7*(Offre!$C$7^Param!$B$3)*1_Friction!H91</f>
        <v>0</v>
      </c>
      <c r="I91" s="0" t="n">
        <f aca="false">Offre!$E$8*(Offre!$C$8^Param!$B$3)*1_Friction!I91</f>
        <v>0</v>
      </c>
      <c r="J91" s="0" t="n">
        <f aca="false">Offre!$E$9*(Offre!$C$9^Param!$B$3)*1_Friction!J91</f>
        <v>0</v>
      </c>
      <c r="K91" s="0" t="n">
        <f aca="false">Offre!$E$10*(Offre!$C$10^Param!$B$3)*1_Friction!K91</f>
        <v>0</v>
      </c>
      <c r="L91" s="0" t="n">
        <f aca="false">Offre!$E$11*(Offre!$C$11^Param!$B$3)*1_Friction!L91</f>
        <v>0</v>
      </c>
      <c r="M91" s="0" t="n">
        <f aca="false">Offre!$E$12*(Offre!$C$12^Param!$B$3)*1_Friction!M91</f>
        <v>0</v>
      </c>
      <c r="N91" s="0" t="n">
        <f aca="false">Offre!$E$13*(Offre!$C$13^Param!$B$3)*1_Friction!N91</f>
        <v>0</v>
      </c>
      <c r="O91" s="0" t="n">
        <f aca="false">Offre!$E$14*(Offre!$C$14^Param!$B$3)*1_Friction!O91</f>
        <v>0</v>
      </c>
      <c r="P91" s="0" t="n">
        <f aca="false">Offre!$E$15*(Offre!$C$15^Param!$B$3)*1_Friction!P91</f>
        <v>0</v>
      </c>
      <c r="Q91" s="0" t="n">
        <f aca="false">Offre!$E$16*(Offre!$C$16^Param!$B$3)*1_Friction!Q91</f>
        <v>0</v>
      </c>
      <c r="R91" s="0" t="n">
        <f aca="false">Offre!$E$17*(Offre!$C$17^Param!$B$3)*1_Friction!R91</f>
        <v>0</v>
      </c>
      <c r="S91" s="0" t="n">
        <f aca="false">Offre!$E$18*(Offre!$C$18^Param!$B$3)*1_Friction!S91</f>
        <v>0</v>
      </c>
      <c r="T91" s="0" t="n">
        <f aca="false">Offre!$E$19*(Offre!$C$19^Param!$B$3)*1_Friction!T91</f>
        <v>0</v>
      </c>
      <c r="U91" s="0" t="n">
        <f aca="false">Offre!$E$20*(Offre!$C$20^Param!$B$3)*1_Friction!U91</f>
        <v>0</v>
      </c>
      <c r="V91" s="0" t="n">
        <f aca="false">Offre!$E$21*(Offre!$C$21^Param!$B$3)*1_Friction!V91</f>
        <v>0</v>
      </c>
      <c r="W91" s="0" t="n">
        <f aca="false">Offre!$E$22*(Offre!$C$22^Param!$B$3)*1_Friction!W91</f>
        <v>0</v>
      </c>
      <c r="X91" s="0" t="n">
        <f aca="false">Offre!$E$23*(Offre!$C$23^Param!$B$3)*1_Friction!X91</f>
        <v>0</v>
      </c>
      <c r="Y91" s="0" t="n">
        <f aca="false">Offre!$E$24*(Offre!$C$24^Param!$B$3)*1_Friction!Y91</f>
        <v>0</v>
      </c>
      <c r="Z91" s="0" t="n">
        <f aca="false">Offre!$E$25*(Offre!$C$25^Param!$B$3)*1_Friction!Z91</f>
        <v>0</v>
      </c>
      <c r="AA91" s="0" t="n">
        <f aca="false">Offre!$E$26*(Offre!$C$26^Param!$B$3)*1_Friction!AA91</f>
        <v>0</v>
      </c>
      <c r="AB91" s="0" t="n">
        <f aca="false">Offre!$E$27*(Offre!$C$27^Param!$B$3)*1_Friction!AB91</f>
        <v>0</v>
      </c>
      <c r="AC91" s="0" t="n">
        <f aca="false">Offre!$E$28*(Offre!$C$28^Param!$B$3)*1_Friction!AC91</f>
        <v>0.350962326870884</v>
      </c>
      <c r="AD91" s="0" t="n">
        <f aca="false">Offre!$E$29*(Offre!$C$29^Param!$B$3)*1_Friction!AD91</f>
        <v>1.70057915269887</v>
      </c>
      <c r="AE91" s="0" t="n">
        <f aca="false">Offre!$E$30*(Offre!$C$30^Param!$B$3)*1_Friction!AE91</f>
        <v>0.960496867934936</v>
      </c>
      <c r="AF91" s="0" t="n">
        <f aca="false">Offre!$E$31*(Offre!$C$31^Param!$B$3)*1_Friction!AF91</f>
        <v>0.63606740132878</v>
      </c>
      <c r="AG91" s="0" t="n">
        <f aca="false">Offre!$E$32*(Offre!$C$32^Param!$B$3)*1_Friction!AG91</f>
        <v>0</v>
      </c>
      <c r="AH91" s="0" t="n">
        <f aca="false">Offre!$E$33*(Offre!$C$33^Param!$B$3)*1_Friction!AH91</f>
        <v>0</v>
      </c>
      <c r="AI91" s="0" t="n">
        <f aca="false">Offre!$E$34*(Offre!$C$34^Param!$B$3)*1_Friction!AI91</f>
        <v>0</v>
      </c>
      <c r="AJ91" s="0" t="n">
        <f aca="false">Offre!$E$35*(Offre!$C$35^Param!$B$3)*1_Friction!AJ91</f>
        <v>0</v>
      </c>
      <c r="AK91" s="0" t="n">
        <f aca="false">Offre!$E$36*(Offre!$C$36^Param!$B$3)*1_Friction!AK91</f>
        <v>1.5979652874971</v>
      </c>
      <c r="AL91" s="0" t="n">
        <f aca="false">Offre!$E$37*(Offre!$C$37^Param!$B$3)*1_Friction!AL91</f>
        <v>3.18743085490265</v>
      </c>
      <c r="AM91" s="0" t="n">
        <f aca="false">Offre!$E$38*(Offre!$C$38^Param!$B$3)*1_Friction!AM91</f>
        <v>0</v>
      </c>
      <c r="AN91" s="0" t="n">
        <f aca="false">Offre!$E$39*(Offre!$C$39^Param!$B$3)*1_Friction!AN91</f>
        <v>0</v>
      </c>
      <c r="AO91" s="0" t="n">
        <f aca="false">SUM(C91:AN91)</f>
        <v>8.43350189123322</v>
      </c>
    </row>
    <row r="92" customFormat="false" ht="15" hidden="false" customHeight="true" outlineLevel="0" collapsed="false">
      <c r="A92" s="0" t="s">
        <v>282</v>
      </c>
      <c r="B92" s="0" t="s">
        <v>283</v>
      </c>
      <c r="C92" s="0" t="n">
        <f aca="false">Offre!$E$2*(Offre!$C$2^Param!$B$3)*1_Friction!C92</f>
        <v>0</v>
      </c>
      <c r="D92" s="0" t="n">
        <f aca="false">Offre!$E$3*(Offre!$C$3^Param!$B$3)*1_Friction!D92</f>
        <v>0</v>
      </c>
      <c r="E92" s="0" t="n">
        <f aca="false">Offre!$E$4*(Offre!$C$4^Param!$B$3)*1_Friction!E92</f>
        <v>0</v>
      </c>
      <c r="F92" s="0" t="n">
        <f aca="false">Offre!$E$5*(Offre!$C$5^Param!$B$3)*1_Friction!F92</f>
        <v>0</v>
      </c>
      <c r="G92" s="0" t="n">
        <f aca="false">Offre!$E$6*(Offre!$C$6^Param!$B$3)*1_Friction!G92</f>
        <v>0</v>
      </c>
      <c r="H92" s="0" t="n">
        <f aca="false">Offre!$E$7*(Offre!$C$7^Param!$B$3)*1_Friction!H92</f>
        <v>0</v>
      </c>
      <c r="I92" s="0" t="n">
        <f aca="false">Offre!$E$8*(Offre!$C$8^Param!$B$3)*1_Friction!I92</f>
        <v>0</v>
      </c>
      <c r="J92" s="0" t="n">
        <f aca="false">Offre!$E$9*(Offre!$C$9^Param!$B$3)*1_Friction!J92</f>
        <v>0</v>
      </c>
      <c r="K92" s="0" t="n">
        <f aca="false">Offre!$E$10*(Offre!$C$10^Param!$B$3)*1_Friction!K92</f>
        <v>0</v>
      </c>
      <c r="L92" s="0" t="n">
        <f aca="false">Offre!$E$11*(Offre!$C$11^Param!$B$3)*1_Friction!L92</f>
        <v>0</v>
      </c>
      <c r="M92" s="0" t="n">
        <f aca="false">Offre!$E$12*(Offre!$C$12^Param!$B$3)*1_Friction!M92</f>
        <v>0</v>
      </c>
      <c r="N92" s="0" t="n">
        <f aca="false">Offre!$E$13*(Offre!$C$13^Param!$B$3)*1_Friction!N92</f>
        <v>0</v>
      </c>
      <c r="O92" s="0" t="n">
        <f aca="false">Offre!$E$14*(Offre!$C$14^Param!$B$3)*1_Friction!O92</f>
        <v>0</v>
      </c>
      <c r="P92" s="0" t="n">
        <f aca="false">Offre!$E$15*(Offre!$C$15^Param!$B$3)*1_Friction!P92</f>
        <v>0</v>
      </c>
      <c r="Q92" s="0" t="n">
        <f aca="false">Offre!$E$16*(Offre!$C$16^Param!$B$3)*1_Friction!Q92</f>
        <v>0</v>
      </c>
      <c r="R92" s="0" t="n">
        <f aca="false">Offre!$E$17*(Offre!$C$17^Param!$B$3)*1_Friction!R92</f>
        <v>0</v>
      </c>
      <c r="S92" s="0" t="n">
        <f aca="false">Offre!$E$18*(Offre!$C$18^Param!$B$3)*1_Friction!S92</f>
        <v>0</v>
      </c>
      <c r="T92" s="0" t="n">
        <f aca="false">Offre!$E$19*(Offre!$C$19^Param!$B$3)*1_Friction!T92</f>
        <v>0</v>
      </c>
      <c r="U92" s="0" t="n">
        <f aca="false">Offre!$E$20*(Offre!$C$20^Param!$B$3)*1_Friction!U92</f>
        <v>0</v>
      </c>
      <c r="V92" s="0" t="n">
        <f aca="false">Offre!$E$21*(Offre!$C$21^Param!$B$3)*1_Friction!V92</f>
        <v>0</v>
      </c>
      <c r="W92" s="0" t="n">
        <f aca="false">Offre!$E$22*(Offre!$C$22^Param!$B$3)*1_Friction!W92</f>
        <v>0</v>
      </c>
      <c r="X92" s="0" t="n">
        <f aca="false">Offre!$E$23*(Offre!$C$23^Param!$B$3)*1_Friction!X92</f>
        <v>0</v>
      </c>
      <c r="Y92" s="0" t="n">
        <f aca="false">Offre!$E$24*(Offre!$C$24^Param!$B$3)*1_Friction!Y92</f>
        <v>0</v>
      </c>
      <c r="Z92" s="0" t="n">
        <f aca="false">Offre!$E$25*(Offre!$C$25^Param!$B$3)*1_Friction!Z92</f>
        <v>0</v>
      </c>
      <c r="AA92" s="0" t="n">
        <f aca="false">Offre!$E$26*(Offre!$C$26^Param!$B$3)*1_Friction!AA92</f>
        <v>0</v>
      </c>
      <c r="AB92" s="0" t="n">
        <f aca="false">Offre!$E$27*(Offre!$C$27^Param!$B$3)*1_Friction!AB92</f>
        <v>0</v>
      </c>
      <c r="AC92" s="0" t="n">
        <f aca="false">Offre!$E$28*(Offre!$C$28^Param!$B$3)*1_Friction!AC92</f>
        <v>0.452710430460722</v>
      </c>
      <c r="AD92" s="0" t="n">
        <f aca="false">Offre!$E$29*(Offre!$C$29^Param!$B$3)*1_Friction!AD92</f>
        <v>2.19594230169662</v>
      </c>
      <c r="AE92" s="0" t="n">
        <f aca="false">Offre!$E$30*(Offre!$C$30^Param!$B$3)*1_Friction!AE92</f>
        <v>1.24531200630702</v>
      </c>
      <c r="AF92" s="0" t="n">
        <f aca="false">Offre!$E$31*(Offre!$C$31^Param!$B$3)*1_Friction!AF92</f>
        <v>0.824404770934157</v>
      </c>
      <c r="AG92" s="0" t="n">
        <f aca="false">Offre!$E$32*(Offre!$C$32^Param!$B$3)*1_Friction!AG92</f>
        <v>0</v>
      </c>
      <c r="AH92" s="0" t="n">
        <f aca="false">Offre!$E$33*(Offre!$C$33^Param!$B$3)*1_Friction!AH92</f>
        <v>0</v>
      </c>
      <c r="AI92" s="0" t="n">
        <f aca="false">Offre!$E$34*(Offre!$C$34^Param!$B$3)*1_Friction!AI92</f>
        <v>0</v>
      </c>
      <c r="AJ92" s="0" t="n">
        <f aca="false">Offre!$E$35*(Offre!$C$35^Param!$B$3)*1_Friction!AJ92</f>
        <v>0</v>
      </c>
      <c r="AK92" s="0" t="n">
        <f aca="false">Offre!$E$36*(Offre!$C$36^Param!$B$3)*1_Friction!AK92</f>
        <v>2.10925599207304</v>
      </c>
      <c r="AL92" s="0" t="n">
        <f aca="false">Offre!$E$37*(Offre!$C$37^Param!$B$3)*1_Friction!AL92</f>
        <v>4.13361154267693</v>
      </c>
      <c r="AM92" s="0" t="n">
        <f aca="false">Offre!$E$38*(Offre!$C$38^Param!$B$3)*1_Friction!AM92</f>
        <v>0</v>
      </c>
      <c r="AN92" s="0" t="n">
        <f aca="false">Offre!$E$39*(Offre!$C$39^Param!$B$3)*1_Friction!AN92</f>
        <v>0</v>
      </c>
      <c r="AO92" s="0" t="n">
        <f aca="false">SUM(C92:AN92)</f>
        <v>10.9612370441485</v>
      </c>
    </row>
    <row r="93" customFormat="false" ht="15" hidden="false" customHeight="true" outlineLevel="0" collapsed="false">
      <c r="A93" s="0" t="s">
        <v>284</v>
      </c>
      <c r="B93" s="0" t="s">
        <v>285</v>
      </c>
      <c r="C93" s="0" t="n">
        <f aca="false">Offre!$E$2*(Offre!$C$2^Param!$B$3)*1_Friction!C93</f>
        <v>0</v>
      </c>
      <c r="D93" s="0" t="n">
        <f aca="false">Offre!$E$3*(Offre!$C$3^Param!$B$3)*1_Friction!D93</f>
        <v>0</v>
      </c>
      <c r="E93" s="0" t="n">
        <f aca="false">Offre!$E$4*(Offre!$C$4^Param!$B$3)*1_Friction!E93</f>
        <v>0</v>
      </c>
      <c r="F93" s="0" t="n">
        <f aca="false">Offre!$E$5*(Offre!$C$5^Param!$B$3)*1_Friction!F93</f>
        <v>0</v>
      </c>
      <c r="G93" s="0" t="n">
        <f aca="false">Offre!$E$6*(Offre!$C$6^Param!$B$3)*1_Friction!G93</f>
        <v>0</v>
      </c>
      <c r="H93" s="0" t="n">
        <f aca="false">Offre!$E$7*(Offre!$C$7^Param!$B$3)*1_Friction!H93</f>
        <v>0</v>
      </c>
      <c r="I93" s="0" t="n">
        <f aca="false">Offre!$E$8*(Offre!$C$8^Param!$B$3)*1_Friction!I93</f>
        <v>0</v>
      </c>
      <c r="J93" s="0" t="n">
        <f aca="false">Offre!$E$9*(Offre!$C$9^Param!$B$3)*1_Friction!J93</f>
        <v>0</v>
      </c>
      <c r="K93" s="0" t="n">
        <f aca="false">Offre!$E$10*(Offre!$C$10^Param!$B$3)*1_Friction!K93</f>
        <v>0</v>
      </c>
      <c r="L93" s="0" t="n">
        <f aca="false">Offre!$E$11*(Offre!$C$11^Param!$B$3)*1_Friction!L93</f>
        <v>0</v>
      </c>
      <c r="M93" s="0" t="n">
        <f aca="false">Offre!$E$12*(Offre!$C$12^Param!$B$3)*1_Friction!M93</f>
        <v>0</v>
      </c>
      <c r="N93" s="0" t="n">
        <f aca="false">Offre!$E$13*(Offre!$C$13^Param!$B$3)*1_Friction!N93</f>
        <v>0</v>
      </c>
      <c r="O93" s="0" t="n">
        <f aca="false">Offre!$E$14*(Offre!$C$14^Param!$B$3)*1_Friction!O93</f>
        <v>0</v>
      </c>
      <c r="P93" s="0" t="n">
        <f aca="false">Offre!$E$15*(Offre!$C$15^Param!$B$3)*1_Friction!P93</f>
        <v>0</v>
      </c>
      <c r="Q93" s="0" t="n">
        <f aca="false">Offre!$E$16*(Offre!$C$16^Param!$B$3)*1_Friction!Q93</f>
        <v>0</v>
      </c>
      <c r="R93" s="0" t="n">
        <f aca="false">Offre!$E$17*(Offre!$C$17^Param!$B$3)*1_Friction!R93</f>
        <v>0</v>
      </c>
      <c r="S93" s="0" t="n">
        <f aca="false">Offre!$E$18*(Offre!$C$18^Param!$B$3)*1_Friction!S93</f>
        <v>0</v>
      </c>
      <c r="T93" s="0" t="n">
        <f aca="false">Offre!$E$19*(Offre!$C$19^Param!$B$3)*1_Friction!T93</f>
        <v>0</v>
      </c>
      <c r="U93" s="0" t="n">
        <f aca="false">Offre!$E$20*(Offre!$C$20^Param!$B$3)*1_Friction!U93</f>
        <v>0</v>
      </c>
      <c r="V93" s="0" t="n">
        <f aca="false">Offre!$E$21*(Offre!$C$21^Param!$B$3)*1_Friction!V93</f>
        <v>0</v>
      </c>
      <c r="W93" s="0" t="n">
        <f aca="false">Offre!$E$22*(Offre!$C$22^Param!$B$3)*1_Friction!W93</f>
        <v>0</v>
      </c>
      <c r="X93" s="0" t="n">
        <f aca="false">Offre!$E$23*(Offre!$C$23^Param!$B$3)*1_Friction!X93</f>
        <v>0</v>
      </c>
      <c r="Y93" s="0" t="n">
        <f aca="false">Offre!$E$24*(Offre!$C$24^Param!$B$3)*1_Friction!Y93</f>
        <v>0</v>
      </c>
      <c r="Z93" s="0" t="n">
        <f aca="false">Offre!$E$25*(Offre!$C$25^Param!$B$3)*1_Friction!Z93</f>
        <v>0</v>
      </c>
      <c r="AA93" s="0" t="n">
        <f aca="false">Offre!$E$26*(Offre!$C$26^Param!$B$3)*1_Friction!AA93</f>
        <v>0</v>
      </c>
      <c r="AB93" s="0" t="n">
        <f aca="false">Offre!$E$27*(Offre!$C$27^Param!$B$3)*1_Friction!AB93</f>
        <v>0</v>
      </c>
      <c r="AC93" s="0" t="n">
        <f aca="false">Offre!$E$28*(Offre!$C$28^Param!$B$3)*1_Friction!AC93</f>
        <v>2.41130696594453</v>
      </c>
      <c r="AD93" s="0" t="n">
        <f aca="false">Offre!$E$29*(Offre!$C$29^Param!$B$3)*1_Friction!AD93</f>
        <v>12.1946425003218</v>
      </c>
      <c r="AE93" s="0" t="n">
        <f aca="false">Offre!$E$30*(Offre!$C$30^Param!$B$3)*1_Friction!AE93</f>
        <v>7.31243056852634</v>
      </c>
      <c r="AF93" s="0" t="n">
        <f aca="false">Offre!$E$31*(Offre!$C$31^Param!$B$3)*1_Friction!AF93</f>
        <v>4.77451146862314</v>
      </c>
      <c r="AG93" s="0" t="n">
        <f aca="false">Offre!$E$32*(Offre!$C$32^Param!$B$3)*1_Friction!AG93</f>
        <v>0</v>
      </c>
      <c r="AH93" s="0" t="n">
        <f aca="false">Offre!$E$33*(Offre!$C$33^Param!$B$3)*1_Friction!AH93</f>
        <v>0</v>
      </c>
      <c r="AI93" s="0" t="n">
        <f aca="false">Offre!$E$34*(Offre!$C$34^Param!$B$3)*1_Friction!AI93</f>
        <v>0</v>
      </c>
      <c r="AJ93" s="0" t="n">
        <f aca="false">Offre!$E$35*(Offre!$C$35^Param!$B$3)*1_Friction!AJ93</f>
        <v>0</v>
      </c>
      <c r="AK93" s="0" t="n">
        <f aca="false">Offre!$E$36*(Offre!$C$36^Param!$B$3)*1_Friction!AK93</f>
        <v>14.9845016500946</v>
      </c>
      <c r="AL93" s="0" t="n">
        <f aca="false">Offre!$E$37*(Offre!$C$37^Param!$B$3)*1_Friction!AL93</f>
        <v>24.0038154196538</v>
      </c>
      <c r="AM93" s="0" t="n">
        <f aca="false">Offre!$E$38*(Offre!$C$38^Param!$B$3)*1_Friction!AM93</f>
        <v>0</v>
      </c>
      <c r="AN93" s="0" t="n">
        <f aca="false">Offre!$E$39*(Offre!$C$39^Param!$B$3)*1_Friction!AN93</f>
        <v>0</v>
      </c>
      <c r="AO93" s="0" t="n">
        <f aca="false">SUM(C93:AN93)</f>
        <v>65.6812085731642</v>
      </c>
    </row>
    <row r="94" customFormat="false" ht="15" hidden="false" customHeight="true" outlineLevel="0" collapsed="false">
      <c r="A94" s="0" t="s">
        <v>286</v>
      </c>
      <c r="B94" s="0" t="s">
        <v>287</v>
      </c>
      <c r="C94" s="0" t="n">
        <f aca="false">Offre!$E$2*(Offre!$C$2^Param!$B$3)*1_Friction!C94</f>
        <v>0</v>
      </c>
      <c r="D94" s="0" t="n">
        <f aca="false">Offre!$E$3*(Offre!$C$3^Param!$B$3)*1_Friction!D94</f>
        <v>0</v>
      </c>
      <c r="E94" s="0" t="n">
        <f aca="false">Offre!$E$4*(Offre!$C$4^Param!$B$3)*1_Friction!E94</f>
        <v>0</v>
      </c>
      <c r="F94" s="0" t="n">
        <f aca="false">Offre!$E$5*(Offre!$C$5^Param!$B$3)*1_Friction!F94</f>
        <v>0</v>
      </c>
      <c r="G94" s="0" t="n">
        <f aca="false">Offre!$E$6*(Offre!$C$6^Param!$B$3)*1_Friction!G94</f>
        <v>0</v>
      </c>
      <c r="H94" s="0" t="n">
        <f aca="false">Offre!$E$7*(Offre!$C$7^Param!$B$3)*1_Friction!H94</f>
        <v>0</v>
      </c>
      <c r="I94" s="0" t="n">
        <f aca="false">Offre!$E$8*(Offre!$C$8^Param!$B$3)*1_Friction!I94</f>
        <v>0</v>
      </c>
      <c r="J94" s="0" t="n">
        <f aca="false">Offre!$E$9*(Offre!$C$9^Param!$B$3)*1_Friction!J94</f>
        <v>0</v>
      </c>
      <c r="K94" s="0" t="n">
        <f aca="false">Offre!$E$10*(Offre!$C$10^Param!$B$3)*1_Friction!K94</f>
        <v>0</v>
      </c>
      <c r="L94" s="0" t="n">
        <f aca="false">Offre!$E$11*(Offre!$C$11^Param!$B$3)*1_Friction!L94</f>
        <v>0</v>
      </c>
      <c r="M94" s="0" t="n">
        <f aca="false">Offre!$E$12*(Offre!$C$12^Param!$B$3)*1_Friction!M94</f>
        <v>0</v>
      </c>
      <c r="N94" s="0" t="n">
        <f aca="false">Offre!$E$13*(Offre!$C$13^Param!$B$3)*1_Friction!N94</f>
        <v>0</v>
      </c>
      <c r="O94" s="0" t="n">
        <f aca="false">Offre!$E$14*(Offre!$C$14^Param!$B$3)*1_Friction!O94</f>
        <v>0</v>
      </c>
      <c r="P94" s="0" t="n">
        <f aca="false">Offre!$E$15*(Offre!$C$15^Param!$B$3)*1_Friction!P94</f>
        <v>0</v>
      </c>
      <c r="Q94" s="0" t="n">
        <f aca="false">Offre!$E$16*(Offre!$C$16^Param!$B$3)*1_Friction!Q94</f>
        <v>0</v>
      </c>
      <c r="R94" s="0" t="n">
        <f aca="false">Offre!$E$17*(Offre!$C$17^Param!$B$3)*1_Friction!R94</f>
        <v>0</v>
      </c>
      <c r="S94" s="0" t="n">
        <f aca="false">Offre!$E$18*(Offre!$C$18^Param!$B$3)*1_Friction!S94</f>
        <v>0</v>
      </c>
      <c r="T94" s="0" t="n">
        <f aca="false">Offre!$E$19*(Offre!$C$19^Param!$B$3)*1_Friction!T94</f>
        <v>0</v>
      </c>
      <c r="U94" s="0" t="n">
        <f aca="false">Offre!$E$20*(Offre!$C$20^Param!$B$3)*1_Friction!U94</f>
        <v>0.565996645699716</v>
      </c>
      <c r="V94" s="0" t="n">
        <f aca="false">Offre!$E$21*(Offre!$C$21^Param!$B$3)*1_Friction!V94</f>
        <v>0</v>
      </c>
      <c r="W94" s="0" t="n">
        <f aca="false">Offre!$E$22*(Offre!$C$22^Param!$B$3)*1_Friction!W94</f>
        <v>0</v>
      </c>
      <c r="X94" s="0" t="n">
        <f aca="false">Offre!$E$23*(Offre!$C$23^Param!$B$3)*1_Friction!X94</f>
        <v>0</v>
      </c>
      <c r="Y94" s="0" t="n">
        <f aca="false">Offre!$E$24*(Offre!$C$24^Param!$B$3)*1_Friction!Y94</f>
        <v>0</v>
      </c>
      <c r="Z94" s="0" t="n">
        <f aca="false">Offre!$E$25*(Offre!$C$25^Param!$B$3)*1_Friction!Z94</f>
        <v>0</v>
      </c>
      <c r="AA94" s="0" t="n">
        <f aca="false">Offre!$E$26*(Offre!$C$26^Param!$B$3)*1_Friction!AA94</f>
        <v>0</v>
      </c>
      <c r="AB94" s="0" t="n">
        <f aca="false">Offre!$E$27*(Offre!$C$27^Param!$B$3)*1_Friction!AB94</f>
        <v>0</v>
      </c>
      <c r="AC94" s="0" t="n">
        <f aca="false">Offre!$E$28*(Offre!$C$28^Param!$B$3)*1_Friction!AC94</f>
        <v>1.2502435543803</v>
      </c>
      <c r="AD94" s="0" t="n">
        <f aca="false">Offre!$E$29*(Offre!$C$29^Param!$B$3)*1_Friction!AD94</f>
        <v>6.36518996321636</v>
      </c>
      <c r="AE94" s="0" t="n">
        <f aca="false">Offre!$E$30*(Offre!$C$30^Param!$B$3)*1_Friction!AE94</f>
        <v>3.81540109433137</v>
      </c>
      <c r="AF94" s="0" t="n">
        <f aca="false">Offre!$E$31*(Offre!$C$31^Param!$B$3)*1_Friction!AF94</f>
        <v>2.45897716895241</v>
      </c>
      <c r="AG94" s="0" t="n">
        <f aca="false">Offre!$E$32*(Offre!$C$32^Param!$B$3)*1_Friction!AG94</f>
        <v>0</v>
      </c>
      <c r="AH94" s="0" t="n">
        <f aca="false">Offre!$E$33*(Offre!$C$33^Param!$B$3)*1_Friction!AH94</f>
        <v>0</v>
      </c>
      <c r="AI94" s="0" t="n">
        <f aca="false">Offre!$E$34*(Offre!$C$34^Param!$B$3)*1_Friction!AI94</f>
        <v>0</v>
      </c>
      <c r="AJ94" s="0" t="n">
        <f aca="false">Offre!$E$35*(Offre!$C$35^Param!$B$3)*1_Friction!AJ94</f>
        <v>0</v>
      </c>
      <c r="AK94" s="0" t="n">
        <f aca="false">Offre!$E$36*(Offre!$C$36^Param!$B$3)*1_Friction!AK94</f>
        <v>7.19706237892209</v>
      </c>
      <c r="AL94" s="0" t="n">
        <f aca="false">Offre!$E$37*(Offre!$C$37^Param!$B$3)*1_Friction!AL94</f>
        <v>12.3984301114094</v>
      </c>
      <c r="AM94" s="0" t="n">
        <f aca="false">Offre!$E$38*(Offre!$C$38^Param!$B$3)*1_Friction!AM94</f>
        <v>0</v>
      </c>
      <c r="AN94" s="0" t="n">
        <f aca="false">Offre!$E$39*(Offre!$C$39^Param!$B$3)*1_Friction!AN94</f>
        <v>0</v>
      </c>
      <c r="AO94" s="0" t="n">
        <f aca="false">SUM(C94:AN94)</f>
        <v>34.0513009169117</v>
      </c>
    </row>
    <row r="95" customFormat="false" ht="15" hidden="false" customHeight="true" outlineLevel="0" collapsed="false">
      <c r="A95" s="0" t="s">
        <v>288</v>
      </c>
      <c r="B95" s="0" t="s">
        <v>289</v>
      </c>
      <c r="C95" s="0" t="n">
        <f aca="false">Offre!$E$2*(Offre!$C$2^Param!$B$3)*1_Friction!C95</f>
        <v>0</v>
      </c>
      <c r="D95" s="0" t="n">
        <f aca="false">Offre!$E$3*(Offre!$C$3^Param!$B$3)*1_Friction!D95</f>
        <v>0</v>
      </c>
      <c r="E95" s="0" t="n">
        <f aca="false">Offre!$E$4*(Offre!$C$4^Param!$B$3)*1_Friction!E95</f>
        <v>0</v>
      </c>
      <c r="F95" s="0" t="n">
        <f aca="false">Offre!$E$5*(Offre!$C$5^Param!$B$3)*1_Friction!F95</f>
        <v>0</v>
      </c>
      <c r="G95" s="0" t="n">
        <f aca="false">Offre!$E$6*(Offre!$C$6^Param!$B$3)*1_Friction!G95</f>
        <v>0</v>
      </c>
      <c r="H95" s="0" t="n">
        <f aca="false">Offre!$E$7*(Offre!$C$7^Param!$B$3)*1_Friction!H95</f>
        <v>0</v>
      </c>
      <c r="I95" s="0" t="n">
        <f aca="false">Offre!$E$8*(Offre!$C$8^Param!$B$3)*1_Friction!I95</f>
        <v>0</v>
      </c>
      <c r="J95" s="0" t="n">
        <f aca="false">Offre!$E$9*(Offre!$C$9^Param!$B$3)*1_Friction!J95</f>
        <v>0</v>
      </c>
      <c r="K95" s="0" t="n">
        <f aca="false">Offre!$E$10*(Offre!$C$10^Param!$B$3)*1_Friction!K95</f>
        <v>0</v>
      </c>
      <c r="L95" s="0" t="n">
        <f aca="false">Offre!$E$11*(Offre!$C$11^Param!$B$3)*1_Friction!L95</f>
        <v>0</v>
      </c>
      <c r="M95" s="0" t="n">
        <f aca="false">Offre!$E$12*(Offre!$C$12^Param!$B$3)*1_Friction!M95</f>
        <v>0</v>
      </c>
      <c r="N95" s="0" t="n">
        <f aca="false">Offre!$E$13*(Offre!$C$13^Param!$B$3)*1_Friction!N95</f>
        <v>0</v>
      </c>
      <c r="O95" s="0" t="n">
        <f aca="false">Offre!$E$14*(Offre!$C$14^Param!$B$3)*1_Friction!O95</f>
        <v>0</v>
      </c>
      <c r="P95" s="0" t="n">
        <f aca="false">Offre!$E$15*(Offre!$C$15^Param!$B$3)*1_Friction!P95</f>
        <v>0</v>
      </c>
      <c r="Q95" s="0" t="n">
        <f aca="false">Offre!$E$16*(Offre!$C$16^Param!$B$3)*1_Friction!Q95</f>
        <v>0</v>
      </c>
      <c r="R95" s="0" t="n">
        <f aca="false">Offre!$E$17*(Offre!$C$17^Param!$B$3)*1_Friction!R95</f>
        <v>0</v>
      </c>
      <c r="S95" s="0" t="n">
        <f aca="false">Offre!$E$18*(Offre!$C$18^Param!$B$3)*1_Friction!S95</f>
        <v>0</v>
      </c>
      <c r="T95" s="0" t="n">
        <f aca="false">Offre!$E$19*(Offre!$C$19^Param!$B$3)*1_Friction!T95</f>
        <v>0</v>
      </c>
      <c r="U95" s="0" t="n">
        <f aca="false">Offre!$E$20*(Offre!$C$20^Param!$B$3)*1_Friction!U95</f>
        <v>0</v>
      </c>
      <c r="V95" s="0" t="n">
        <f aca="false">Offre!$E$21*(Offre!$C$21^Param!$B$3)*1_Friction!V95</f>
        <v>0</v>
      </c>
      <c r="W95" s="0" t="n">
        <f aca="false">Offre!$E$22*(Offre!$C$22^Param!$B$3)*1_Friction!W95</f>
        <v>0</v>
      </c>
      <c r="X95" s="0" t="n">
        <f aca="false">Offre!$E$23*(Offre!$C$23^Param!$B$3)*1_Friction!X95</f>
        <v>0</v>
      </c>
      <c r="Y95" s="0" t="n">
        <f aca="false">Offre!$E$24*(Offre!$C$24^Param!$B$3)*1_Friction!Y95</f>
        <v>0</v>
      </c>
      <c r="Z95" s="0" t="n">
        <f aca="false">Offre!$E$25*(Offre!$C$25^Param!$B$3)*1_Friction!Z95</f>
        <v>0</v>
      </c>
      <c r="AA95" s="0" t="n">
        <f aca="false">Offre!$E$26*(Offre!$C$26^Param!$B$3)*1_Friction!AA95</f>
        <v>0</v>
      </c>
      <c r="AB95" s="0" t="n">
        <f aca="false">Offre!$E$27*(Offre!$C$27^Param!$B$3)*1_Friction!AB95</f>
        <v>0</v>
      </c>
      <c r="AC95" s="0" t="n">
        <f aca="false">Offre!$E$28*(Offre!$C$28^Param!$B$3)*1_Friction!AC95</f>
        <v>3.11238005967351</v>
      </c>
      <c r="AD95" s="0" t="n">
        <f aca="false">Offre!$E$29*(Offre!$C$29^Param!$B$3)*1_Friction!AD95</f>
        <v>15.6685729297036</v>
      </c>
      <c r="AE95" s="0" t="n">
        <f aca="false">Offre!$E$30*(Offre!$C$30^Param!$B$3)*1_Friction!AE95</f>
        <v>9.48202430347199</v>
      </c>
      <c r="AF95" s="0" t="n">
        <f aca="false">Offre!$E$31*(Offre!$C$31^Param!$B$3)*1_Friction!AF95</f>
        <v>6.31044775406039</v>
      </c>
      <c r="AG95" s="0" t="n">
        <f aca="false">Offre!$E$32*(Offre!$C$32^Param!$B$3)*1_Friction!AG95</f>
        <v>0</v>
      </c>
      <c r="AH95" s="0" t="n">
        <f aca="false">Offre!$E$33*(Offre!$C$33^Param!$B$3)*1_Friction!AH95</f>
        <v>0</v>
      </c>
      <c r="AI95" s="0" t="n">
        <f aca="false">Offre!$E$34*(Offre!$C$34^Param!$B$3)*1_Friction!AI95</f>
        <v>0</v>
      </c>
      <c r="AJ95" s="0" t="n">
        <f aca="false">Offre!$E$35*(Offre!$C$35^Param!$B$3)*1_Friction!AJ95</f>
        <v>0</v>
      </c>
      <c r="AK95" s="0" t="n">
        <f aca="false">Offre!$E$36*(Offre!$C$36^Param!$B$3)*1_Friction!AK95</f>
        <v>24.0409670668742</v>
      </c>
      <c r="AL95" s="0" t="n">
        <f aca="false">Offre!$E$37*(Offre!$C$37^Param!$B$3)*1_Friction!AL95</f>
        <v>31.0670510906428</v>
      </c>
      <c r="AM95" s="0" t="n">
        <f aca="false">Offre!$E$38*(Offre!$C$38^Param!$B$3)*1_Friction!AM95</f>
        <v>0</v>
      </c>
      <c r="AN95" s="0" t="n">
        <f aca="false">Offre!$E$39*(Offre!$C$39^Param!$B$3)*1_Friction!AN95</f>
        <v>0</v>
      </c>
      <c r="AO95" s="0" t="n">
        <f aca="false">SUM(C95:AN95)</f>
        <v>89.6814432044266</v>
      </c>
    </row>
    <row r="96" customFormat="false" ht="15" hidden="false" customHeight="true" outlineLevel="0" collapsed="false">
      <c r="A96" s="0" t="s">
        <v>290</v>
      </c>
      <c r="B96" s="0" t="s">
        <v>291</v>
      </c>
      <c r="C96" s="0" t="n">
        <f aca="false">Offre!$E$2*(Offre!$C$2^Param!$B$3)*1_Friction!C96</f>
        <v>0</v>
      </c>
      <c r="D96" s="0" t="n">
        <f aca="false">Offre!$E$3*(Offre!$C$3^Param!$B$3)*1_Friction!D96</f>
        <v>0</v>
      </c>
      <c r="E96" s="0" t="n">
        <f aca="false">Offre!$E$4*(Offre!$C$4^Param!$B$3)*1_Friction!E96</f>
        <v>0</v>
      </c>
      <c r="F96" s="0" t="n">
        <f aca="false">Offre!$E$5*(Offre!$C$5^Param!$B$3)*1_Friction!F96</f>
        <v>0</v>
      </c>
      <c r="G96" s="0" t="n">
        <f aca="false">Offre!$E$6*(Offre!$C$6^Param!$B$3)*1_Friction!G96</f>
        <v>0</v>
      </c>
      <c r="H96" s="0" t="n">
        <f aca="false">Offre!$E$7*(Offre!$C$7^Param!$B$3)*1_Friction!H96</f>
        <v>0</v>
      </c>
      <c r="I96" s="0" t="n">
        <f aca="false">Offre!$E$8*(Offre!$C$8^Param!$B$3)*1_Friction!I96</f>
        <v>0</v>
      </c>
      <c r="J96" s="0" t="n">
        <f aca="false">Offre!$E$9*(Offre!$C$9^Param!$B$3)*1_Friction!J96</f>
        <v>0</v>
      </c>
      <c r="K96" s="0" t="n">
        <f aca="false">Offre!$E$10*(Offre!$C$10^Param!$B$3)*1_Friction!K96</f>
        <v>0</v>
      </c>
      <c r="L96" s="0" t="n">
        <f aca="false">Offre!$E$11*(Offre!$C$11^Param!$B$3)*1_Friction!L96</f>
        <v>0</v>
      </c>
      <c r="M96" s="0" t="n">
        <f aca="false">Offre!$E$12*(Offre!$C$12^Param!$B$3)*1_Friction!M96</f>
        <v>0</v>
      </c>
      <c r="N96" s="0" t="n">
        <f aca="false">Offre!$E$13*(Offre!$C$13^Param!$B$3)*1_Friction!N96</f>
        <v>0</v>
      </c>
      <c r="O96" s="0" t="n">
        <f aca="false">Offre!$E$14*(Offre!$C$14^Param!$B$3)*1_Friction!O96</f>
        <v>0</v>
      </c>
      <c r="P96" s="0" t="n">
        <f aca="false">Offre!$E$15*(Offre!$C$15^Param!$B$3)*1_Friction!P96</f>
        <v>0</v>
      </c>
      <c r="Q96" s="0" t="n">
        <f aca="false">Offre!$E$16*(Offre!$C$16^Param!$B$3)*1_Friction!Q96</f>
        <v>0</v>
      </c>
      <c r="R96" s="0" t="n">
        <f aca="false">Offre!$E$17*(Offre!$C$17^Param!$B$3)*1_Friction!R96</f>
        <v>0</v>
      </c>
      <c r="S96" s="0" t="n">
        <f aca="false">Offre!$E$18*(Offre!$C$18^Param!$B$3)*1_Friction!S96</f>
        <v>0</v>
      </c>
      <c r="T96" s="0" t="n">
        <f aca="false">Offre!$E$19*(Offre!$C$19^Param!$B$3)*1_Friction!T96</f>
        <v>0</v>
      </c>
      <c r="U96" s="0" t="n">
        <f aca="false">Offre!$E$20*(Offre!$C$20^Param!$B$3)*1_Friction!U96</f>
        <v>0</v>
      </c>
      <c r="V96" s="0" t="n">
        <f aca="false">Offre!$E$21*(Offre!$C$21^Param!$B$3)*1_Friction!V96</f>
        <v>0</v>
      </c>
      <c r="W96" s="0" t="n">
        <f aca="false">Offre!$E$22*(Offre!$C$22^Param!$B$3)*1_Friction!W96</f>
        <v>0</v>
      </c>
      <c r="X96" s="0" t="n">
        <f aca="false">Offre!$E$23*(Offre!$C$23^Param!$B$3)*1_Friction!X96</f>
        <v>0</v>
      </c>
      <c r="Y96" s="0" t="n">
        <f aca="false">Offre!$E$24*(Offre!$C$24^Param!$B$3)*1_Friction!Y96</f>
        <v>0</v>
      </c>
      <c r="Z96" s="0" t="n">
        <f aca="false">Offre!$E$25*(Offre!$C$25^Param!$B$3)*1_Friction!Z96</f>
        <v>0</v>
      </c>
      <c r="AA96" s="0" t="n">
        <f aca="false">Offre!$E$26*(Offre!$C$26^Param!$B$3)*1_Friction!AA96</f>
        <v>0</v>
      </c>
      <c r="AB96" s="0" t="n">
        <f aca="false">Offre!$E$27*(Offre!$C$27^Param!$B$3)*1_Friction!AB96</f>
        <v>0</v>
      </c>
      <c r="AC96" s="0" t="n">
        <f aca="false">Offre!$E$28*(Offre!$C$28^Param!$B$3)*1_Friction!AC96</f>
        <v>3.52217672391158</v>
      </c>
      <c r="AD96" s="0" t="n">
        <f aca="false">Offre!$E$29*(Offre!$C$29^Param!$B$3)*1_Friction!AD96</f>
        <v>17.6566760716902</v>
      </c>
      <c r="AE96" s="0" t="n">
        <f aca="false">Offre!$E$30*(Offre!$C$30^Param!$B$3)*1_Friction!AE96</f>
        <v>10.5918971617091</v>
      </c>
      <c r="AF96" s="0" t="n">
        <f aca="false">Offre!$E$31*(Offre!$C$31^Param!$B$3)*1_Friction!AF96</f>
        <v>7.02702676229352</v>
      </c>
      <c r="AG96" s="0" t="n">
        <f aca="false">Offre!$E$32*(Offre!$C$32^Param!$B$3)*1_Friction!AG96</f>
        <v>0</v>
      </c>
      <c r="AH96" s="0" t="n">
        <f aca="false">Offre!$E$33*(Offre!$C$33^Param!$B$3)*1_Friction!AH96</f>
        <v>0</v>
      </c>
      <c r="AI96" s="0" t="n">
        <f aca="false">Offre!$E$34*(Offre!$C$34^Param!$B$3)*1_Friction!AI96</f>
        <v>0</v>
      </c>
      <c r="AJ96" s="0" t="n">
        <f aca="false">Offre!$E$35*(Offre!$C$35^Param!$B$3)*1_Friction!AJ96</f>
        <v>0</v>
      </c>
      <c r="AK96" s="0" t="n">
        <f aca="false">Offre!$E$36*(Offre!$C$36^Param!$B$3)*1_Friction!AK96</f>
        <v>24.0242265702879</v>
      </c>
      <c r="AL96" s="0" t="n">
        <f aca="false">Offre!$E$37*(Offre!$C$37^Param!$B$3)*1_Friction!AL96</f>
        <v>35.1967449228272</v>
      </c>
      <c r="AM96" s="0" t="n">
        <f aca="false">Offre!$E$38*(Offre!$C$38^Param!$B$3)*1_Friction!AM96</f>
        <v>0</v>
      </c>
      <c r="AN96" s="0" t="n">
        <f aca="false">Offre!$E$39*(Offre!$C$39^Param!$B$3)*1_Friction!AN96</f>
        <v>0</v>
      </c>
      <c r="AO96" s="0" t="n">
        <f aca="false">SUM(C96:AN96)</f>
        <v>98.0187482127195</v>
      </c>
    </row>
    <row r="97" customFormat="false" ht="15" hidden="false" customHeight="true" outlineLevel="0" collapsed="false">
      <c r="A97" s="0" t="s">
        <v>292</v>
      </c>
      <c r="B97" s="0" t="s">
        <v>293</v>
      </c>
      <c r="C97" s="0" t="n">
        <f aca="false">Offre!$E$2*(Offre!$C$2^Param!$B$3)*1_Friction!C97</f>
        <v>0</v>
      </c>
      <c r="D97" s="0" t="n">
        <f aca="false">Offre!$E$3*(Offre!$C$3^Param!$B$3)*1_Friction!D97</f>
        <v>0</v>
      </c>
      <c r="E97" s="0" t="n">
        <f aca="false">Offre!$E$4*(Offre!$C$4^Param!$B$3)*1_Friction!E97</f>
        <v>0</v>
      </c>
      <c r="F97" s="0" t="n">
        <f aca="false">Offre!$E$5*(Offre!$C$5^Param!$B$3)*1_Friction!F97</f>
        <v>0</v>
      </c>
      <c r="G97" s="0" t="n">
        <f aca="false">Offre!$E$6*(Offre!$C$6^Param!$B$3)*1_Friction!G97</f>
        <v>0</v>
      </c>
      <c r="H97" s="0" t="n">
        <f aca="false">Offre!$E$7*(Offre!$C$7^Param!$B$3)*1_Friction!H97</f>
        <v>0</v>
      </c>
      <c r="I97" s="0" t="n">
        <f aca="false">Offre!$E$8*(Offre!$C$8^Param!$B$3)*1_Friction!I97</f>
        <v>0</v>
      </c>
      <c r="J97" s="0" t="n">
        <f aca="false">Offre!$E$9*(Offre!$C$9^Param!$B$3)*1_Friction!J97</f>
        <v>0</v>
      </c>
      <c r="K97" s="0" t="n">
        <f aca="false">Offre!$E$10*(Offre!$C$10^Param!$B$3)*1_Friction!K97</f>
        <v>0</v>
      </c>
      <c r="L97" s="0" t="n">
        <f aca="false">Offre!$E$11*(Offre!$C$11^Param!$B$3)*1_Friction!L97</f>
        <v>0</v>
      </c>
      <c r="M97" s="0" t="n">
        <f aca="false">Offre!$E$12*(Offre!$C$12^Param!$B$3)*1_Friction!M97</f>
        <v>0</v>
      </c>
      <c r="N97" s="0" t="n">
        <f aca="false">Offre!$E$13*(Offre!$C$13^Param!$B$3)*1_Friction!N97</f>
        <v>0</v>
      </c>
      <c r="O97" s="0" t="n">
        <f aca="false">Offre!$E$14*(Offre!$C$14^Param!$B$3)*1_Friction!O97</f>
        <v>0</v>
      </c>
      <c r="P97" s="0" t="n">
        <f aca="false">Offre!$E$15*(Offre!$C$15^Param!$B$3)*1_Friction!P97</f>
        <v>0</v>
      </c>
      <c r="Q97" s="0" t="n">
        <f aca="false">Offre!$E$16*(Offre!$C$16^Param!$B$3)*1_Friction!Q97</f>
        <v>0</v>
      </c>
      <c r="R97" s="0" t="n">
        <f aca="false">Offre!$E$17*(Offre!$C$17^Param!$B$3)*1_Friction!R97</f>
        <v>0</v>
      </c>
      <c r="S97" s="0" t="n">
        <f aca="false">Offre!$E$18*(Offre!$C$18^Param!$B$3)*1_Friction!S97</f>
        <v>0</v>
      </c>
      <c r="T97" s="0" t="n">
        <f aca="false">Offre!$E$19*(Offre!$C$19^Param!$B$3)*1_Friction!T97</f>
        <v>0</v>
      </c>
      <c r="U97" s="0" t="n">
        <f aca="false">Offre!$E$20*(Offre!$C$20^Param!$B$3)*1_Friction!U97</f>
        <v>0</v>
      </c>
      <c r="V97" s="0" t="n">
        <f aca="false">Offre!$E$21*(Offre!$C$21^Param!$B$3)*1_Friction!V97</f>
        <v>0</v>
      </c>
      <c r="W97" s="0" t="n">
        <f aca="false">Offre!$E$22*(Offre!$C$22^Param!$B$3)*1_Friction!W97</f>
        <v>0</v>
      </c>
      <c r="X97" s="0" t="n">
        <f aca="false">Offre!$E$23*(Offre!$C$23^Param!$B$3)*1_Friction!X97</f>
        <v>0</v>
      </c>
      <c r="Y97" s="0" t="n">
        <f aca="false">Offre!$E$24*(Offre!$C$24^Param!$B$3)*1_Friction!Y97</f>
        <v>0</v>
      </c>
      <c r="Z97" s="0" t="n">
        <f aca="false">Offre!$E$25*(Offre!$C$25^Param!$B$3)*1_Friction!Z97</f>
        <v>0</v>
      </c>
      <c r="AA97" s="0" t="n">
        <f aca="false">Offre!$E$26*(Offre!$C$26^Param!$B$3)*1_Friction!AA97</f>
        <v>0</v>
      </c>
      <c r="AB97" s="0" t="n">
        <f aca="false">Offre!$E$27*(Offre!$C$27^Param!$B$3)*1_Friction!AB97</f>
        <v>0</v>
      </c>
      <c r="AC97" s="0" t="n">
        <f aca="false">Offre!$E$28*(Offre!$C$28^Param!$B$3)*1_Friction!AC97</f>
        <v>1.75419116972844</v>
      </c>
      <c r="AD97" s="0" t="n">
        <f aca="false">Offre!$E$29*(Offre!$C$29^Param!$B$3)*1_Friction!AD97</f>
        <v>8.64356987254024</v>
      </c>
      <c r="AE97" s="0" t="n">
        <f aca="false">Offre!$E$30*(Offre!$C$30^Param!$B$3)*1_Friction!AE97</f>
        <v>5.49167986468818</v>
      </c>
      <c r="AF97" s="0" t="n">
        <f aca="false">Offre!$E$31*(Offre!$C$31^Param!$B$3)*1_Friction!AF97</f>
        <v>3.64820357284959</v>
      </c>
      <c r="AG97" s="0" t="n">
        <f aca="false">Offre!$E$32*(Offre!$C$32^Param!$B$3)*1_Friction!AG97</f>
        <v>0</v>
      </c>
      <c r="AH97" s="0" t="n">
        <f aca="false">Offre!$E$33*(Offre!$C$33^Param!$B$3)*1_Friction!AH97</f>
        <v>0</v>
      </c>
      <c r="AI97" s="0" t="n">
        <f aca="false">Offre!$E$34*(Offre!$C$34^Param!$B$3)*1_Friction!AI97</f>
        <v>0</v>
      </c>
      <c r="AJ97" s="0" t="n">
        <f aca="false">Offre!$E$35*(Offre!$C$35^Param!$B$3)*1_Friction!AJ97</f>
        <v>0</v>
      </c>
      <c r="AK97" s="0" t="n">
        <f aca="false">Offre!$E$36*(Offre!$C$36^Param!$B$3)*1_Friction!AK97</f>
        <v>11.1765066708657</v>
      </c>
      <c r="AL97" s="0" t="n">
        <f aca="false">Offre!$E$37*(Offre!$C$37^Param!$B$3)*1_Friction!AL97</f>
        <v>17.3719343628677</v>
      </c>
      <c r="AM97" s="0" t="n">
        <f aca="false">Offre!$E$38*(Offre!$C$38^Param!$B$3)*1_Friction!AM97</f>
        <v>0</v>
      </c>
      <c r="AN97" s="0" t="n">
        <f aca="false">Offre!$E$39*(Offre!$C$39^Param!$B$3)*1_Friction!AN97</f>
        <v>0</v>
      </c>
      <c r="AO97" s="0" t="n">
        <f aca="false">SUM(C97:AN97)</f>
        <v>48.0860855135399</v>
      </c>
    </row>
    <row r="98" customFormat="false" ht="15" hidden="false" customHeight="true" outlineLevel="0" collapsed="false">
      <c r="A98" s="0" t="s">
        <v>294</v>
      </c>
      <c r="B98" s="0" t="s">
        <v>295</v>
      </c>
      <c r="C98" s="0" t="n">
        <f aca="false">Offre!$E$2*(Offre!$C$2^Param!$B$3)*1_Friction!C98</f>
        <v>0</v>
      </c>
      <c r="D98" s="0" t="n">
        <f aca="false">Offre!$E$3*(Offre!$C$3^Param!$B$3)*1_Friction!D98</f>
        <v>0</v>
      </c>
      <c r="E98" s="0" t="n">
        <f aca="false">Offre!$E$4*(Offre!$C$4^Param!$B$3)*1_Friction!E98</f>
        <v>0</v>
      </c>
      <c r="F98" s="0" t="n">
        <f aca="false">Offre!$E$5*(Offre!$C$5^Param!$B$3)*1_Friction!F98</f>
        <v>0</v>
      </c>
      <c r="G98" s="0" t="n">
        <f aca="false">Offre!$E$6*(Offre!$C$6^Param!$B$3)*1_Friction!G98</f>
        <v>0</v>
      </c>
      <c r="H98" s="0" t="n">
        <f aca="false">Offre!$E$7*(Offre!$C$7^Param!$B$3)*1_Friction!H98</f>
        <v>0</v>
      </c>
      <c r="I98" s="0" t="n">
        <f aca="false">Offre!$E$8*(Offre!$C$8^Param!$B$3)*1_Friction!I98</f>
        <v>0</v>
      </c>
      <c r="J98" s="0" t="n">
        <f aca="false">Offre!$E$9*(Offre!$C$9^Param!$B$3)*1_Friction!J98</f>
        <v>0</v>
      </c>
      <c r="K98" s="0" t="n">
        <f aca="false">Offre!$E$10*(Offre!$C$10^Param!$B$3)*1_Friction!K98</f>
        <v>0</v>
      </c>
      <c r="L98" s="0" t="n">
        <f aca="false">Offre!$E$11*(Offre!$C$11^Param!$B$3)*1_Friction!L98</f>
        <v>0</v>
      </c>
      <c r="M98" s="0" t="n">
        <f aca="false">Offre!$E$12*(Offre!$C$12^Param!$B$3)*1_Friction!M98</f>
        <v>0</v>
      </c>
      <c r="N98" s="0" t="n">
        <f aca="false">Offre!$E$13*(Offre!$C$13^Param!$B$3)*1_Friction!N98</f>
        <v>0</v>
      </c>
      <c r="O98" s="0" t="n">
        <f aca="false">Offre!$E$14*(Offre!$C$14^Param!$B$3)*1_Friction!O98</f>
        <v>0</v>
      </c>
      <c r="P98" s="0" t="n">
        <f aca="false">Offre!$E$15*(Offre!$C$15^Param!$B$3)*1_Friction!P98</f>
        <v>0</v>
      </c>
      <c r="Q98" s="0" t="n">
        <f aca="false">Offre!$E$16*(Offre!$C$16^Param!$B$3)*1_Friction!Q98</f>
        <v>0</v>
      </c>
      <c r="R98" s="0" t="n">
        <f aca="false">Offre!$E$17*(Offre!$C$17^Param!$B$3)*1_Friction!R98</f>
        <v>0</v>
      </c>
      <c r="S98" s="0" t="n">
        <f aca="false">Offre!$E$18*(Offre!$C$18^Param!$B$3)*1_Friction!S98</f>
        <v>0</v>
      </c>
      <c r="T98" s="0" t="n">
        <f aca="false">Offre!$E$19*(Offre!$C$19^Param!$B$3)*1_Friction!T98</f>
        <v>0</v>
      </c>
      <c r="U98" s="0" t="n">
        <f aca="false">Offre!$E$20*(Offre!$C$20^Param!$B$3)*1_Friction!U98</f>
        <v>0</v>
      </c>
      <c r="V98" s="0" t="n">
        <f aca="false">Offre!$E$21*(Offre!$C$21^Param!$B$3)*1_Friction!V98</f>
        <v>0</v>
      </c>
      <c r="W98" s="0" t="n">
        <f aca="false">Offre!$E$22*(Offre!$C$22^Param!$B$3)*1_Friction!W98</f>
        <v>0</v>
      </c>
      <c r="X98" s="0" t="n">
        <f aca="false">Offre!$E$23*(Offre!$C$23^Param!$B$3)*1_Friction!X98</f>
        <v>0</v>
      </c>
      <c r="Y98" s="0" t="n">
        <f aca="false">Offre!$E$24*(Offre!$C$24^Param!$B$3)*1_Friction!Y98</f>
        <v>0</v>
      </c>
      <c r="Z98" s="0" t="n">
        <f aca="false">Offre!$E$25*(Offre!$C$25^Param!$B$3)*1_Friction!Z98</f>
        <v>0</v>
      </c>
      <c r="AA98" s="0" t="n">
        <f aca="false">Offre!$E$26*(Offre!$C$26^Param!$B$3)*1_Friction!AA98</f>
        <v>0</v>
      </c>
      <c r="AB98" s="0" t="n">
        <f aca="false">Offre!$E$27*(Offre!$C$27^Param!$B$3)*1_Friction!AB98</f>
        <v>0</v>
      </c>
      <c r="AC98" s="0" t="n">
        <f aca="false">Offre!$E$28*(Offre!$C$28^Param!$B$3)*1_Friction!AC98</f>
        <v>2.76461854426676</v>
      </c>
      <c r="AD98" s="0" t="n">
        <f aca="false">Offre!$E$29*(Offre!$C$29^Param!$B$3)*1_Friction!AD98</f>
        <v>13.6767691788508</v>
      </c>
      <c r="AE98" s="0" t="n">
        <f aca="false">Offre!$E$30*(Offre!$C$30^Param!$B$3)*1_Friction!AE98</f>
        <v>8.03652314738687</v>
      </c>
      <c r="AF98" s="0" t="n">
        <f aca="false">Offre!$E$31*(Offre!$C$31^Param!$B$3)*1_Friction!AF98</f>
        <v>5.34517104980329</v>
      </c>
      <c r="AG98" s="0" t="n">
        <f aca="false">Offre!$E$32*(Offre!$C$32^Param!$B$3)*1_Friction!AG98</f>
        <v>0</v>
      </c>
      <c r="AH98" s="0" t="n">
        <f aca="false">Offre!$E$33*(Offre!$C$33^Param!$B$3)*1_Friction!AH98</f>
        <v>0</v>
      </c>
      <c r="AI98" s="0" t="n">
        <f aca="false">Offre!$E$34*(Offre!$C$34^Param!$B$3)*1_Friction!AI98</f>
        <v>0</v>
      </c>
      <c r="AJ98" s="0" t="n">
        <f aca="false">Offre!$E$35*(Offre!$C$35^Param!$B$3)*1_Friction!AJ98</f>
        <v>0</v>
      </c>
      <c r="AK98" s="0" t="n">
        <f aca="false">Offre!$E$36*(Offre!$C$36^Param!$B$3)*1_Friction!AK98</f>
        <v>16.6612729978727</v>
      </c>
      <c r="AL98" s="0" t="n">
        <f aca="false">Offre!$E$37*(Offre!$C$37^Param!$B$3)*1_Friction!AL98</f>
        <v>26.7884104912896</v>
      </c>
      <c r="AM98" s="0" t="n">
        <f aca="false">Offre!$E$38*(Offre!$C$38^Param!$B$3)*1_Friction!AM98</f>
        <v>0</v>
      </c>
      <c r="AN98" s="0" t="n">
        <f aca="false">Offre!$E$39*(Offre!$C$39^Param!$B$3)*1_Friction!AN98</f>
        <v>0</v>
      </c>
      <c r="AO98" s="0" t="n">
        <f aca="false">SUM(C98:AN98)</f>
        <v>73.27276540947</v>
      </c>
    </row>
    <row r="99" customFormat="false" ht="15" hidden="false" customHeight="true" outlineLevel="0" collapsed="false">
      <c r="A99" s="0" t="s">
        <v>296</v>
      </c>
      <c r="B99" s="0" t="s">
        <v>297</v>
      </c>
      <c r="C99" s="0" t="n">
        <f aca="false">Offre!$E$2*(Offre!$C$2^Param!$B$3)*1_Friction!C99</f>
        <v>0</v>
      </c>
      <c r="D99" s="0" t="n">
        <f aca="false">Offre!$E$3*(Offre!$C$3^Param!$B$3)*1_Friction!D99</f>
        <v>0</v>
      </c>
      <c r="E99" s="0" t="n">
        <f aca="false">Offre!$E$4*(Offre!$C$4^Param!$B$3)*1_Friction!E99</f>
        <v>0</v>
      </c>
      <c r="F99" s="0" t="n">
        <f aca="false">Offre!$E$5*(Offre!$C$5^Param!$B$3)*1_Friction!F99</f>
        <v>0</v>
      </c>
      <c r="G99" s="0" t="n">
        <f aca="false">Offre!$E$6*(Offre!$C$6^Param!$B$3)*1_Friction!G99</f>
        <v>0</v>
      </c>
      <c r="H99" s="0" t="n">
        <f aca="false">Offre!$E$7*(Offre!$C$7^Param!$B$3)*1_Friction!H99</f>
        <v>0</v>
      </c>
      <c r="I99" s="0" t="n">
        <f aca="false">Offre!$E$8*(Offre!$C$8^Param!$B$3)*1_Friction!I99</f>
        <v>0</v>
      </c>
      <c r="J99" s="0" t="n">
        <f aca="false">Offre!$E$9*(Offre!$C$9^Param!$B$3)*1_Friction!J99</f>
        <v>0</v>
      </c>
      <c r="K99" s="0" t="n">
        <f aca="false">Offre!$E$10*(Offre!$C$10^Param!$B$3)*1_Friction!K99</f>
        <v>0</v>
      </c>
      <c r="L99" s="0" t="n">
        <f aca="false">Offre!$E$11*(Offre!$C$11^Param!$B$3)*1_Friction!L99</f>
        <v>0</v>
      </c>
      <c r="M99" s="0" t="n">
        <f aca="false">Offre!$E$12*(Offre!$C$12^Param!$B$3)*1_Friction!M99</f>
        <v>0</v>
      </c>
      <c r="N99" s="0" t="n">
        <f aca="false">Offre!$E$13*(Offre!$C$13^Param!$B$3)*1_Friction!N99</f>
        <v>0</v>
      </c>
      <c r="O99" s="0" t="n">
        <f aca="false">Offre!$E$14*(Offre!$C$14^Param!$B$3)*1_Friction!O99</f>
        <v>0</v>
      </c>
      <c r="P99" s="0" t="n">
        <f aca="false">Offre!$E$15*(Offre!$C$15^Param!$B$3)*1_Friction!P99</f>
        <v>0</v>
      </c>
      <c r="Q99" s="0" t="n">
        <f aca="false">Offre!$E$16*(Offre!$C$16^Param!$B$3)*1_Friction!Q99</f>
        <v>0</v>
      </c>
      <c r="R99" s="0" t="n">
        <f aca="false">Offre!$E$17*(Offre!$C$17^Param!$B$3)*1_Friction!R99</f>
        <v>0</v>
      </c>
      <c r="S99" s="0" t="n">
        <f aca="false">Offre!$E$18*(Offre!$C$18^Param!$B$3)*1_Friction!S99</f>
        <v>0</v>
      </c>
      <c r="T99" s="0" t="n">
        <f aca="false">Offre!$E$19*(Offre!$C$19^Param!$B$3)*1_Friction!T99</f>
        <v>0</v>
      </c>
      <c r="U99" s="0" t="n">
        <f aca="false">Offre!$E$20*(Offre!$C$20^Param!$B$3)*1_Friction!U99</f>
        <v>0</v>
      </c>
      <c r="V99" s="0" t="n">
        <f aca="false">Offre!$E$21*(Offre!$C$21^Param!$B$3)*1_Friction!V99</f>
        <v>0</v>
      </c>
      <c r="W99" s="0" t="n">
        <f aca="false">Offre!$E$22*(Offre!$C$22^Param!$B$3)*1_Friction!W99</f>
        <v>0</v>
      </c>
      <c r="X99" s="0" t="n">
        <f aca="false">Offre!$E$23*(Offre!$C$23^Param!$B$3)*1_Friction!X99</f>
        <v>0</v>
      </c>
      <c r="Y99" s="0" t="n">
        <f aca="false">Offre!$E$24*(Offre!$C$24^Param!$B$3)*1_Friction!Y99</f>
        <v>0</v>
      </c>
      <c r="Z99" s="0" t="n">
        <f aca="false">Offre!$E$25*(Offre!$C$25^Param!$B$3)*1_Friction!Z99</f>
        <v>0</v>
      </c>
      <c r="AA99" s="0" t="n">
        <f aca="false">Offre!$E$26*(Offre!$C$26^Param!$B$3)*1_Friction!AA99</f>
        <v>0</v>
      </c>
      <c r="AB99" s="0" t="n">
        <f aca="false">Offre!$E$27*(Offre!$C$27^Param!$B$3)*1_Friction!AB99</f>
        <v>0</v>
      </c>
      <c r="AC99" s="0" t="n">
        <f aca="false">Offre!$E$28*(Offre!$C$28^Param!$B$3)*1_Friction!AC99</f>
        <v>0.190950390189089</v>
      </c>
      <c r="AD99" s="0" t="n">
        <f aca="false">Offre!$E$29*(Offre!$C$29^Param!$B$3)*1_Friction!AD99</f>
        <v>0.984785433796774</v>
      </c>
      <c r="AE99" s="0" t="n">
        <f aca="false">Offre!$E$30*(Offre!$C$30^Param!$B$3)*1_Friction!AE99</f>
        <v>0.589911270681426</v>
      </c>
      <c r="AF99" s="0" t="n">
        <f aca="false">Offre!$E$31*(Offre!$C$31^Param!$B$3)*1_Friction!AF99</f>
        <v>0.371716217122346</v>
      </c>
      <c r="AG99" s="0" t="n">
        <f aca="false">Offre!$E$32*(Offre!$C$32^Param!$B$3)*1_Friction!AG99</f>
        <v>0</v>
      </c>
      <c r="AH99" s="0" t="n">
        <f aca="false">Offre!$E$33*(Offre!$C$33^Param!$B$3)*1_Friction!AH99</f>
        <v>0</v>
      </c>
      <c r="AI99" s="0" t="n">
        <f aca="false">Offre!$E$34*(Offre!$C$34^Param!$B$3)*1_Friction!AI99</f>
        <v>0</v>
      </c>
      <c r="AJ99" s="0" t="n">
        <f aca="false">Offre!$E$35*(Offre!$C$35^Param!$B$3)*1_Friction!AJ99</f>
        <v>0</v>
      </c>
      <c r="AK99" s="0" t="n">
        <f aca="false">Offre!$E$36*(Offre!$C$36^Param!$B$3)*1_Friction!AK99</f>
        <v>0.9632590959633</v>
      </c>
      <c r="AL99" s="0" t="n">
        <f aca="false">Offre!$E$37*(Offre!$C$37^Param!$B$3)*1_Friction!AL99</f>
        <v>1.88930685689918</v>
      </c>
      <c r="AM99" s="0" t="n">
        <f aca="false">Offre!$E$38*(Offre!$C$38^Param!$B$3)*1_Friction!AM99</f>
        <v>0</v>
      </c>
      <c r="AN99" s="0" t="n">
        <f aca="false">Offre!$E$39*(Offre!$C$39^Param!$B$3)*1_Friction!AN99</f>
        <v>0</v>
      </c>
      <c r="AO99" s="0" t="n">
        <f aca="false">SUM(C99:AN99)</f>
        <v>4.98992926465212</v>
      </c>
    </row>
    <row r="100" customFormat="false" ht="15" hidden="false" customHeight="true" outlineLevel="0" collapsed="false">
      <c r="A100" s="0" t="s">
        <v>298</v>
      </c>
      <c r="B100" s="0" t="s">
        <v>299</v>
      </c>
      <c r="C100" s="0" t="n">
        <f aca="false">Offre!$E$2*(Offre!$C$2^Param!$B$3)*1_Friction!C100</f>
        <v>0</v>
      </c>
      <c r="D100" s="0" t="n">
        <f aca="false">Offre!$E$3*(Offre!$C$3^Param!$B$3)*1_Friction!D100</f>
        <v>0</v>
      </c>
      <c r="E100" s="0" t="n">
        <f aca="false">Offre!$E$4*(Offre!$C$4^Param!$B$3)*1_Friction!E100</f>
        <v>0</v>
      </c>
      <c r="F100" s="0" t="n">
        <f aca="false">Offre!$E$5*(Offre!$C$5^Param!$B$3)*1_Friction!F100</f>
        <v>0</v>
      </c>
      <c r="G100" s="0" t="n">
        <f aca="false">Offre!$E$6*(Offre!$C$6^Param!$B$3)*1_Friction!G100</f>
        <v>0</v>
      </c>
      <c r="H100" s="0" t="n">
        <f aca="false">Offre!$E$7*(Offre!$C$7^Param!$B$3)*1_Friction!H100</f>
        <v>0</v>
      </c>
      <c r="I100" s="0" t="n">
        <f aca="false">Offre!$E$8*(Offre!$C$8^Param!$B$3)*1_Friction!I100</f>
        <v>0</v>
      </c>
      <c r="J100" s="0" t="n">
        <f aca="false">Offre!$E$9*(Offre!$C$9^Param!$B$3)*1_Friction!J100</f>
        <v>0</v>
      </c>
      <c r="K100" s="0" t="n">
        <f aca="false">Offre!$E$10*(Offre!$C$10^Param!$B$3)*1_Friction!K100</f>
        <v>0</v>
      </c>
      <c r="L100" s="0" t="n">
        <f aca="false">Offre!$E$11*(Offre!$C$11^Param!$B$3)*1_Friction!L100</f>
        <v>0</v>
      </c>
      <c r="M100" s="0" t="n">
        <f aca="false">Offre!$E$12*(Offre!$C$12^Param!$B$3)*1_Friction!M100</f>
        <v>0</v>
      </c>
      <c r="N100" s="0" t="n">
        <f aca="false">Offre!$E$13*(Offre!$C$13^Param!$B$3)*1_Friction!N100</f>
        <v>0</v>
      </c>
      <c r="O100" s="0" t="n">
        <f aca="false">Offre!$E$14*(Offre!$C$14^Param!$B$3)*1_Friction!O100</f>
        <v>0</v>
      </c>
      <c r="P100" s="0" t="n">
        <f aca="false">Offre!$E$15*(Offre!$C$15^Param!$B$3)*1_Friction!P100</f>
        <v>0</v>
      </c>
      <c r="Q100" s="0" t="n">
        <f aca="false">Offre!$E$16*(Offre!$C$16^Param!$B$3)*1_Friction!Q100</f>
        <v>0</v>
      </c>
      <c r="R100" s="0" t="n">
        <f aca="false">Offre!$E$17*(Offre!$C$17^Param!$B$3)*1_Friction!R100</f>
        <v>0</v>
      </c>
      <c r="S100" s="0" t="n">
        <f aca="false">Offre!$E$18*(Offre!$C$18^Param!$B$3)*1_Friction!S100</f>
        <v>0</v>
      </c>
      <c r="T100" s="0" t="n">
        <f aca="false">Offre!$E$19*(Offre!$C$19^Param!$B$3)*1_Friction!T100</f>
        <v>0</v>
      </c>
      <c r="U100" s="0" t="n">
        <f aca="false">Offre!$E$20*(Offre!$C$20^Param!$B$3)*1_Friction!U100</f>
        <v>0</v>
      </c>
      <c r="V100" s="0" t="n">
        <f aca="false">Offre!$E$21*(Offre!$C$21^Param!$B$3)*1_Friction!V100</f>
        <v>0</v>
      </c>
      <c r="W100" s="0" t="n">
        <f aca="false">Offre!$E$22*(Offre!$C$22^Param!$B$3)*1_Friction!W100</f>
        <v>0</v>
      </c>
      <c r="X100" s="0" t="n">
        <f aca="false">Offre!$E$23*(Offre!$C$23^Param!$B$3)*1_Friction!X100</f>
        <v>0</v>
      </c>
      <c r="Y100" s="0" t="n">
        <f aca="false">Offre!$E$24*(Offre!$C$24^Param!$B$3)*1_Friction!Y100</f>
        <v>0</v>
      </c>
      <c r="Z100" s="0" t="n">
        <f aca="false">Offre!$E$25*(Offre!$C$25^Param!$B$3)*1_Friction!Z100</f>
        <v>0</v>
      </c>
      <c r="AA100" s="0" t="n">
        <f aca="false">Offre!$E$26*(Offre!$C$26^Param!$B$3)*1_Friction!AA100</f>
        <v>0</v>
      </c>
      <c r="AB100" s="0" t="n">
        <f aca="false">Offre!$E$27*(Offre!$C$27^Param!$B$3)*1_Friction!AB100</f>
        <v>0</v>
      </c>
      <c r="AC100" s="0" t="n">
        <f aca="false">Offre!$E$28*(Offre!$C$28^Param!$B$3)*1_Friction!AC100</f>
        <v>1.25208370910058</v>
      </c>
      <c r="AD100" s="0" t="n">
        <f aca="false">Offre!$E$29*(Offre!$C$29^Param!$B$3)*1_Friction!AD100</f>
        <v>6.37757561116619</v>
      </c>
      <c r="AE100" s="0" t="n">
        <f aca="false">Offre!$E$30*(Offre!$C$30^Param!$B$3)*1_Friction!AE100</f>
        <v>3.82097112271763</v>
      </c>
      <c r="AF100" s="0" t="n">
        <f aca="false">Offre!$E$31*(Offre!$C$31^Param!$B$3)*1_Friction!AF100</f>
        <v>2.46262494439451</v>
      </c>
      <c r="AG100" s="0" t="n">
        <f aca="false">Offre!$E$32*(Offre!$C$32^Param!$B$3)*1_Friction!AG100</f>
        <v>0</v>
      </c>
      <c r="AH100" s="0" t="n">
        <f aca="false">Offre!$E$33*(Offre!$C$33^Param!$B$3)*1_Friction!AH100</f>
        <v>0</v>
      </c>
      <c r="AI100" s="0" t="n">
        <f aca="false">Offre!$E$34*(Offre!$C$34^Param!$B$3)*1_Friction!AI100</f>
        <v>0</v>
      </c>
      <c r="AJ100" s="0" t="n">
        <f aca="false">Offre!$E$35*(Offre!$C$35^Param!$B$3)*1_Friction!AJ100</f>
        <v>0</v>
      </c>
      <c r="AK100" s="0" t="n">
        <f aca="false">Offre!$E$36*(Offre!$C$36^Param!$B$3)*1_Friction!AK100</f>
        <v>7.2086486657346</v>
      </c>
      <c r="AL100" s="0" t="n">
        <f aca="false">Offre!$E$37*(Offre!$C$37^Param!$B$3)*1_Friction!AL100</f>
        <v>12.4595541174727</v>
      </c>
      <c r="AM100" s="0" t="n">
        <f aca="false">Offre!$E$38*(Offre!$C$38^Param!$B$3)*1_Friction!AM100</f>
        <v>0</v>
      </c>
      <c r="AN100" s="0" t="n">
        <f aca="false">Offre!$E$39*(Offre!$C$39^Param!$B$3)*1_Friction!AN100</f>
        <v>0</v>
      </c>
      <c r="AO100" s="0" t="n">
        <f aca="false">SUM(C100:AN100)</f>
        <v>33.5814581705862</v>
      </c>
    </row>
    <row r="101" customFormat="false" ht="15" hidden="false" customHeight="true" outlineLevel="0" collapsed="false">
      <c r="A101" s="0" t="s">
        <v>300</v>
      </c>
      <c r="B101" s="0" t="s">
        <v>301</v>
      </c>
      <c r="C101" s="0" t="n">
        <f aca="false">Offre!$E$2*(Offre!$C$2^Param!$B$3)*1_Friction!C101</f>
        <v>0</v>
      </c>
      <c r="D101" s="0" t="n">
        <f aca="false">Offre!$E$3*(Offre!$C$3^Param!$B$3)*1_Friction!D101</f>
        <v>0</v>
      </c>
      <c r="E101" s="0" t="n">
        <f aca="false">Offre!$E$4*(Offre!$C$4^Param!$B$3)*1_Friction!E101</f>
        <v>0</v>
      </c>
      <c r="F101" s="0" t="n">
        <f aca="false">Offre!$E$5*(Offre!$C$5^Param!$B$3)*1_Friction!F101</f>
        <v>0</v>
      </c>
      <c r="G101" s="0" t="n">
        <f aca="false">Offre!$E$6*(Offre!$C$6^Param!$B$3)*1_Friction!G101</f>
        <v>0</v>
      </c>
      <c r="H101" s="0" t="n">
        <f aca="false">Offre!$E$7*(Offre!$C$7^Param!$B$3)*1_Friction!H101</f>
        <v>0</v>
      </c>
      <c r="I101" s="0" t="n">
        <f aca="false">Offre!$E$8*(Offre!$C$8^Param!$B$3)*1_Friction!I101</f>
        <v>0</v>
      </c>
      <c r="J101" s="0" t="n">
        <f aca="false">Offre!$E$9*(Offre!$C$9^Param!$B$3)*1_Friction!J101</f>
        <v>0</v>
      </c>
      <c r="K101" s="0" t="n">
        <f aca="false">Offre!$E$10*(Offre!$C$10^Param!$B$3)*1_Friction!K101</f>
        <v>0</v>
      </c>
      <c r="L101" s="0" t="n">
        <f aca="false">Offre!$E$11*(Offre!$C$11^Param!$B$3)*1_Friction!L101</f>
        <v>0</v>
      </c>
      <c r="M101" s="0" t="n">
        <f aca="false">Offre!$E$12*(Offre!$C$12^Param!$B$3)*1_Friction!M101</f>
        <v>0</v>
      </c>
      <c r="N101" s="0" t="n">
        <f aca="false">Offre!$E$13*(Offre!$C$13^Param!$B$3)*1_Friction!N101</f>
        <v>0</v>
      </c>
      <c r="O101" s="0" t="n">
        <f aca="false">Offre!$E$14*(Offre!$C$14^Param!$B$3)*1_Friction!O101</f>
        <v>0</v>
      </c>
      <c r="P101" s="0" t="n">
        <f aca="false">Offre!$E$15*(Offre!$C$15^Param!$B$3)*1_Friction!P101</f>
        <v>0</v>
      </c>
      <c r="Q101" s="0" t="n">
        <f aca="false">Offre!$E$16*(Offre!$C$16^Param!$B$3)*1_Friction!Q101</f>
        <v>0</v>
      </c>
      <c r="R101" s="0" t="n">
        <f aca="false">Offre!$E$17*(Offre!$C$17^Param!$B$3)*1_Friction!R101</f>
        <v>0</v>
      </c>
      <c r="S101" s="0" t="n">
        <f aca="false">Offre!$E$18*(Offre!$C$18^Param!$B$3)*1_Friction!S101</f>
        <v>0</v>
      </c>
      <c r="T101" s="0" t="n">
        <f aca="false">Offre!$E$19*(Offre!$C$19^Param!$B$3)*1_Friction!T101</f>
        <v>0</v>
      </c>
      <c r="U101" s="0" t="n">
        <f aca="false">Offre!$E$20*(Offre!$C$20^Param!$B$3)*1_Friction!U101</f>
        <v>1.01851131339868</v>
      </c>
      <c r="V101" s="0" t="n">
        <f aca="false">Offre!$E$21*(Offre!$C$21^Param!$B$3)*1_Friction!V101</f>
        <v>0</v>
      </c>
      <c r="W101" s="0" t="n">
        <f aca="false">Offre!$E$22*(Offre!$C$22^Param!$B$3)*1_Friction!W101</f>
        <v>0</v>
      </c>
      <c r="X101" s="0" t="n">
        <f aca="false">Offre!$E$23*(Offre!$C$23^Param!$B$3)*1_Friction!X101</f>
        <v>0</v>
      </c>
      <c r="Y101" s="0" t="n">
        <f aca="false">Offre!$E$24*(Offre!$C$24^Param!$B$3)*1_Friction!Y101</f>
        <v>0</v>
      </c>
      <c r="Z101" s="0" t="n">
        <f aca="false">Offre!$E$25*(Offre!$C$25^Param!$B$3)*1_Friction!Z101</f>
        <v>0</v>
      </c>
      <c r="AA101" s="0" t="n">
        <f aca="false">Offre!$E$26*(Offre!$C$26^Param!$B$3)*1_Friction!AA101</f>
        <v>0</v>
      </c>
      <c r="AB101" s="0" t="n">
        <f aca="false">Offre!$E$27*(Offre!$C$27^Param!$B$3)*1_Friction!AB101</f>
        <v>0</v>
      </c>
      <c r="AC101" s="0" t="n">
        <f aca="false">Offre!$E$28*(Offre!$C$28^Param!$B$3)*1_Friction!AC101</f>
        <v>0.224344595557992</v>
      </c>
      <c r="AD101" s="0" t="n">
        <f aca="false">Offre!$E$29*(Offre!$C$29^Param!$B$3)*1_Friction!AD101</f>
        <v>1.156009410036</v>
      </c>
      <c r="AE101" s="0" t="n">
        <f aca="false">Offre!$E$30*(Offre!$C$30^Param!$B$3)*1_Friction!AE101</f>
        <v>0.692510240523521</v>
      </c>
      <c r="AF101" s="0" t="n">
        <f aca="false">Offre!$E$31*(Offre!$C$31^Param!$B$3)*1_Friction!AF101</f>
        <v>0.437051380565552</v>
      </c>
      <c r="AG101" s="0" t="n">
        <f aca="false">Offre!$E$32*(Offre!$C$32^Param!$B$3)*1_Friction!AG101</f>
        <v>0</v>
      </c>
      <c r="AH101" s="0" t="n">
        <f aca="false">Offre!$E$33*(Offre!$C$33^Param!$B$3)*1_Friction!AH101</f>
        <v>0</v>
      </c>
      <c r="AI101" s="0" t="n">
        <f aca="false">Offre!$E$34*(Offre!$C$34^Param!$B$3)*1_Friction!AI101</f>
        <v>0</v>
      </c>
      <c r="AJ101" s="0" t="n">
        <f aca="false">Offre!$E$35*(Offre!$C$35^Param!$B$3)*1_Friction!AJ101</f>
        <v>0</v>
      </c>
      <c r="AK101" s="0" t="n">
        <f aca="false">Offre!$E$36*(Offre!$C$36^Param!$B$3)*1_Friction!AK101</f>
        <v>1.14216356980819</v>
      </c>
      <c r="AL101" s="0" t="n">
        <f aca="false">Offre!$E$37*(Offre!$C$37^Param!$B$3)*1_Friction!AL101</f>
        <v>2.22037310193538</v>
      </c>
      <c r="AM101" s="0" t="n">
        <f aca="false">Offre!$E$38*(Offre!$C$38^Param!$B$3)*1_Friction!AM101</f>
        <v>0</v>
      </c>
      <c r="AN101" s="0" t="n">
        <f aca="false">Offre!$E$39*(Offre!$C$39^Param!$B$3)*1_Friction!AN101</f>
        <v>0</v>
      </c>
      <c r="AO101" s="0" t="n">
        <f aca="false">SUM(C101:AN101)</f>
        <v>6.89096361182531</v>
      </c>
    </row>
    <row r="102" customFormat="false" ht="15" hidden="false" customHeight="true" outlineLevel="0" collapsed="false">
      <c r="A102" s="0" t="s">
        <v>302</v>
      </c>
      <c r="B102" s="0" t="s">
        <v>303</v>
      </c>
      <c r="C102" s="0" t="n">
        <f aca="false">Offre!$E$2*(Offre!$C$2^Param!$B$3)*1_Friction!C102</f>
        <v>0</v>
      </c>
      <c r="D102" s="0" t="n">
        <f aca="false">Offre!$E$3*(Offre!$C$3^Param!$B$3)*1_Friction!D102</f>
        <v>0</v>
      </c>
      <c r="E102" s="0" t="n">
        <f aca="false">Offre!$E$4*(Offre!$C$4^Param!$B$3)*1_Friction!E102</f>
        <v>0</v>
      </c>
      <c r="F102" s="0" t="n">
        <f aca="false">Offre!$E$5*(Offre!$C$5^Param!$B$3)*1_Friction!F102</f>
        <v>0</v>
      </c>
      <c r="G102" s="0" t="n">
        <f aca="false">Offre!$E$6*(Offre!$C$6^Param!$B$3)*1_Friction!G102</f>
        <v>0</v>
      </c>
      <c r="H102" s="0" t="n">
        <f aca="false">Offre!$E$7*(Offre!$C$7^Param!$B$3)*1_Friction!H102</f>
        <v>0</v>
      </c>
      <c r="I102" s="0" t="n">
        <f aca="false">Offre!$E$8*(Offre!$C$8^Param!$B$3)*1_Friction!I102</f>
        <v>0</v>
      </c>
      <c r="J102" s="0" t="n">
        <f aca="false">Offre!$E$9*(Offre!$C$9^Param!$B$3)*1_Friction!J102</f>
        <v>0</v>
      </c>
      <c r="K102" s="0" t="n">
        <f aca="false">Offre!$E$10*(Offre!$C$10^Param!$B$3)*1_Friction!K102</f>
        <v>0</v>
      </c>
      <c r="L102" s="0" t="n">
        <f aca="false">Offre!$E$11*(Offre!$C$11^Param!$B$3)*1_Friction!L102</f>
        <v>0</v>
      </c>
      <c r="M102" s="0" t="n">
        <f aca="false">Offre!$E$12*(Offre!$C$12^Param!$B$3)*1_Friction!M102</f>
        <v>0</v>
      </c>
      <c r="N102" s="0" t="n">
        <f aca="false">Offre!$E$13*(Offre!$C$13^Param!$B$3)*1_Friction!N102</f>
        <v>0</v>
      </c>
      <c r="O102" s="0" t="n">
        <f aca="false">Offre!$E$14*(Offre!$C$14^Param!$B$3)*1_Friction!O102</f>
        <v>0</v>
      </c>
      <c r="P102" s="0" t="n">
        <f aca="false">Offre!$E$15*(Offre!$C$15^Param!$B$3)*1_Friction!P102</f>
        <v>0</v>
      </c>
      <c r="Q102" s="0" t="n">
        <f aca="false">Offre!$E$16*(Offre!$C$16^Param!$B$3)*1_Friction!Q102</f>
        <v>0</v>
      </c>
      <c r="R102" s="0" t="n">
        <f aca="false">Offre!$E$17*(Offre!$C$17^Param!$B$3)*1_Friction!R102</f>
        <v>0</v>
      </c>
      <c r="S102" s="0" t="n">
        <f aca="false">Offre!$E$18*(Offre!$C$18^Param!$B$3)*1_Friction!S102</f>
        <v>0</v>
      </c>
      <c r="T102" s="0" t="n">
        <f aca="false">Offre!$E$19*(Offre!$C$19^Param!$B$3)*1_Friction!T102</f>
        <v>0</v>
      </c>
      <c r="U102" s="0" t="n">
        <f aca="false">Offre!$E$20*(Offre!$C$20^Param!$B$3)*1_Friction!U102</f>
        <v>0.473803190515735</v>
      </c>
      <c r="V102" s="0" t="n">
        <f aca="false">Offre!$E$21*(Offre!$C$21^Param!$B$3)*1_Friction!V102</f>
        <v>0</v>
      </c>
      <c r="W102" s="0" t="n">
        <f aca="false">Offre!$E$22*(Offre!$C$22^Param!$B$3)*1_Friction!W102</f>
        <v>0</v>
      </c>
      <c r="X102" s="0" t="n">
        <f aca="false">Offre!$E$23*(Offre!$C$23^Param!$B$3)*1_Friction!X102</f>
        <v>0</v>
      </c>
      <c r="Y102" s="0" t="n">
        <f aca="false">Offre!$E$24*(Offre!$C$24^Param!$B$3)*1_Friction!Y102</f>
        <v>0</v>
      </c>
      <c r="Z102" s="0" t="n">
        <f aca="false">Offre!$E$25*(Offre!$C$25^Param!$B$3)*1_Friction!Z102</f>
        <v>0</v>
      </c>
      <c r="AA102" s="0" t="n">
        <f aca="false">Offre!$E$26*(Offre!$C$26^Param!$B$3)*1_Friction!AA102</f>
        <v>0</v>
      </c>
      <c r="AB102" s="0" t="n">
        <f aca="false">Offre!$E$27*(Offre!$C$27^Param!$B$3)*1_Friction!AB102</f>
        <v>0</v>
      </c>
      <c r="AC102" s="0" t="n">
        <f aca="false">Offre!$E$28*(Offre!$C$28^Param!$B$3)*1_Friction!AC102</f>
        <v>0</v>
      </c>
      <c r="AD102" s="0" t="n">
        <f aca="false">Offre!$E$29*(Offre!$C$29^Param!$B$3)*1_Friction!AD102</f>
        <v>0</v>
      </c>
      <c r="AE102" s="0" t="n">
        <f aca="false">Offre!$E$30*(Offre!$C$30^Param!$B$3)*1_Friction!AE102</f>
        <v>0</v>
      </c>
      <c r="AF102" s="0" t="n">
        <f aca="false">Offre!$E$31*(Offre!$C$31^Param!$B$3)*1_Friction!AF102</f>
        <v>0</v>
      </c>
      <c r="AG102" s="0" t="n">
        <f aca="false">Offre!$E$32*(Offre!$C$32^Param!$B$3)*1_Friction!AG102</f>
        <v>0</v>
      </c>
      <c r="AH102" s="0" t="n">
        <f aca="false">Offre!$E$33*(Offre!$C$33^Param!$B$3)*1_Friction!AH102</f>
        <v>0</v>
      </c>
      <c r="AI102" s="0" t="n">
        <f aca="false">Offre!$E$34*(Offre!$C$34^Param!$B$3)*1_Friction!AI102</f>
        <v>0</v>
      </c>
      <c r="AJ102" s="0" t="n">
        <f aca="false">Offre!$E$35*(Offre!$C$35^Param!$B$3)*1_Friction!AJ102</f>
        <v>0</v>
      </c>
      <c r="AK102" s="0" t="n">
        <f aca="false">Offre!$E$36*(Offre!$C$36^Param!$B$3)*1_Friction!AK102</f>
        <v>0</v>
      </c>
      <c r="AL102" s="0" t="n">
        <f aca="false">Offre!$E$37*(Offre!$C$37^Param!$B$3)*1_Friction!AL102</f>
        <v>0</v>
      </c>
      <c r="AM102" s="0" t="n">
        <f aca="false">Offre!$E$38*(Offre!$C$38^Param!$B$3)*1_Friction!AM102</f>
        <v>0</v>
      </c>
      <c r="AN102" s="0" t="n">
        <f aca="false">Offre!$E$39*(Offre!$C$39^Param!$B$3)*1_Friction!AN102</f>
        <v>0</v>
      </c>
      <c r="AO102" s="0" t="n">
        <f aca="false">SUM(C102:AN102)</f>
        <v>0.473803190515735</v>
      </c>
    </row>
    <row r="103" customFormat="false" ht="15" hidden="false" customHeight="true" outlineLevel="0" collapsed="false">
      <c r="A103" s="0" t="s">
        <v>304</v>
      </c>
      <c r="B103" s="0" t="s">
        <v>305</v>
      </c>
      <c r="C103" s="0" t="n">
        <f aca="false">Offre!$E$2*(Offre!$C$2^Param!$B$3)*1_Friction!C103</f>
        <v>0</v>
      </c>
      <c r="D103" s="0" t="n">
        <f aca="false">Offre!$E$3*(Offre!$C$3^Param!$B$3)*1_Friction!D103</f>
        <v>0</v>
      </c>
      <c r="E103" s="0" t="n">
        <f aca="false">Offre!$E$4*(Offre!$C$4^Param!$B$3)*1_Friction!E103</f>
        <v>0</v>
      </c>
      <c r="F103" s="0" t="n">
        <f aca="false">Offre!$E$5*(Offre!$C$5^Param!$B$3)*1_Friction!F103</f>
        <v>0</v>
      </c>
      <c r="G103" s="0" t="n">
        <f aca="false">Offre!$E$6*(Offre!$C$6^Param!$B$3)*1_Friction!G103</f>
        <v>0</v>
      </c>
      <c r="H103" s="0" t="n">
        <f aca="false">Offre!$E$7*(Offre!$C$7^Param!$B$3)*1_Friction!H103</f>
        <v>0</v>
      </c>
      <c r="I103" s="0" t="n">
        <f aca="false">Offre!$E$8*(Offre!$C$8^Param!$B$3)*1_Friction!I103</f>
        <v>0</v>
      </c>
      <c r="J103" s="0" t="n">
        <f aca="false">Offre!$E$9*(Offre!$C$9^Param!$B$3)*1_Friction!J103</f>
        <v>0</v>
      </c>
      <c r="K103" s="0" t="n">
        <f aca="false">Offre!$E$10*(Offre!$C$10^Param!$B$3)*1_Friction!K103</f>
        <v>0</v>
      </c>
      <c r="L103" s="0" t="n">
        <f aca="false">Offre!$E$11*(Offre!$C$11^Param!$B$3)*1_Friction!L103</f>
        <v>0</v>
      </c>
      <c r="M103" s="0" t="n">
        <f aca="false">Offre!$E$12*(Offre!$C$12^Param!$B$3)*1_Friction!M103</f>
        <v>0</v>
      </c>
      <c r="N103" s="0" t="n">
        <f aca="false">Offre!$E$13*(Offre!$C$13^Param!$B$3)*1_Friction!N103</f>
        <v>0</v>
      </c>
      <c r="O103" s="0" t="n">
        <f aca="false">Offre!$E$14*(Offre!$C$14^Param!$B$3)*1_Friction!O103</f>
        <v>0</v>
      </c>
      <c r="P103" s="0" t="n">
        <f aca="false">Offre!$E$15*(Offre!$C$15^Param!$B$3)*1_Friction!P103</f>
        <v>0</v>
      </c>
      <c r="Q103" s="0" t="n">
        <f aca="false">Offre!$E$16*(Offre!$C$16^Param!$B$3)*1_Friction!Q103</f>
        <v>0</v>
      </c>
      <c r="R103" s="0" t="n">
        <f aca="false">Offre!$E$17*(Offre!$C$17^Param!$B$3)*1_Friction!R103</f>
        <v>0</v>
      </c>
      <c r="S103" s="0" t="n">
        <f aca="false">Offre!$E$18*(Offre!$C$18^Param!$B$3)*1_Friction!S103</f>
        <v>0</v>
      </c>
      <c r="T103" s="0" t="n">
        <f aca="false">Offre!$E$19*(Offre!$C$19^Param!$B$3)*1_Friction!T103</f>
        <v>0</v>
      </c>
      <c r="U103" s="0" t="n">
        <f aca="false">Offre!$E$20*(Offre!$C$20^Param!$B$3)*1_Friction!U103</f>
        <v>0.907853678067237</v>
      </c>
      <c r="V103" s="0" t="n">
        <f aca="false">Offre!$E$21*(Offre!$C$21^Param!$B$3)*1_Friction!V103</f>
        <v>0</v>
      </c>
      <c r="W103" s="0" t="n">
        <f aca="false">Offre!$E$22*(Offre!$C$22^Param!$B$3)*1_Friction!W103</f>
        <v>0</v>
      </c>
      <c r="X103" s="0" t="n">
        <f aca="false">Offre!$E$23*(Offre!$C$23^Param!$B$3)*1_Friction!X103</f>
        <v>0</v>
      </c>
      <c r="Y103" s="0" t="n">
        <f aca="false">Offre!$E$24*(Offre!$C$24^Param!$B$3)*1_Friction!Y103</f>
        <v>0</v>
      </c>
      <c r="Z103" s="0" t="n">
        <f aca="false">Offre!$E$25*(Offre!$C$25^Param!$B$3)*1_Friction!Z103</f>
        <v>0</v>
      </c>
      <c r="AA103" s="0" t="n">
        <f aca="false">Offre!$E$26*(Offre!$C$26^Param!$B$3)*1_Friction!AA103</f>
        <v>0</v>
      </c>
      <c r="AB103" s="0" t="n">
        <f aca="false">Offre!$E$27*(Offre!$C$27^Param!$B$3)*1_Friction!AB103</f>
        <v>0</v>
      </c>
      <c r="AC103" s="0" t="n">
        <f aca="false">Offre!$E$28*(Offre!$C$28^Param!$B$3)*1_Friction!AC103</f>
        <v>0</v>
      </c>
      <c r="AD103" s="0" t="n">
        <f aca="false">Offre!$E$29*(Offre!$C$29^Param!$B$3)*1_Friction!AD103</f>
        <v>0</v>
      </c>
      <c r="AE103" s="0" t="n">
        <f aca="false">Offre!$E$30*(Offre!$C$30^Param!$B$3)*1_Friction!AE103</f>
        <v>0</v>
      </c>
      <c r="AF103" s="0" t="n">
        <f aca="false">Offre!$E$31*(Offre!$C$31^Param!$B$3)*1_Friction!AF103</f>
        <v>0</v>
      </c>
      <c r="AG103" s="0" t="n">
        <f aca="false">Offre!$E$32*(Offre!$C$32^Param!$B$3)*1_Friction!AG103</f>
        <v>0</v>
      </c>
      <c r="AH103" s="0" t="n">
        <f aca="false">Offre!$E$33*(Offre!$C$33^Param!$B$3)*1_Friction!AH103</f>
        <v>0</v>
      </c>
      <c r="AI103" s="0" t="n">
        <f aca="false">Offre!$E$34*(Offre!$C$34^Param!$B$3)*1_Friction!AI103</f>
        <v>0</v>
      </c>
      <c r="AJ103" s="0" t="n">
        <f aca="false">Offre!$E$35*(Offre!$C$35^Param!$B$3)*1_Friction!AJ103</f>
        <v>0</v>
      </c>
      <c r="AK103" s="0" t="n">
        <f aca="false">Offre!$E$36*(Offre!$C$36^Param!$B$3)*1_Friction!AK103</f>
        <v>0</v>
      </c>
      <c r="AL103" s="0" t="n">
        <f aca="false">Offre!$E$37*(Offre!$C$37^Param!$B$3)*1_Friction!AL103</f>
        <v>0</v>
      </c>
      <c r="AM103" s="0" t="n">
        <f aca="false">Offre!$E$38*(Offre!$C$38^Param!$B$3)*1_Friction!AM103</f>
        <v>0</v>
      </c>
      <c r="AN103" s="0" t="n">
        <f aca="false">Offre!$E$39*(Offre!$C$39^Param!$B$3)*1_Friction!AN103</f>
        <v>0</v>
      </c>
      <c r="AO103" s="0" t="n">
        <f aca="false">SUM(C103:AN103)</f>
        <v>0.907853678067237</v>
      </c>
    </row>
    <row r="104" customFormat="false" ht="15" hidden="false" customHeight="true" outlineLevel="0" collapsed="false">
      <c r="A104" s="0" t="s">
        <v>306</v>
      </c>
      <c r="B104" s="0" t="s">
        <v>307</v>
      </c>
      <c r="C104" s="0" t="n">
        <f aca="false">Offre!$E$2*(Offre!$C$2^Param!$B$3)*1_Friction!C104</f>
        <v>0</v>
      </c>
      <c r="D104" s="0" t="n">
        <f aca="false">Offre!$E$3*(Offre!$C$3^Param!$B$3)*1_Friction!D104</f>
        <v>0</v>
      </c>
      <c r="E104" s="0" t="n">
        <f aca="false">Offre!$E$4*(Offre!$C$4^Param!$B$3)*1_Friction!E104</f>
        <v>0</v>
      </c>
      <c r="F104" s="0" t="n">
        <f aca="false">Offre!$E$5*(Offre!$C$5^Param!$B$3)*1_Friction!F104</f>
        <v>0</v>
      </c>
      <c r="G104" s="0" t="n">
        <f aca="false">Offre!$E$6*(Offre!$C$6^Param!$B$3)*1_Friction!G104</f>
        <v>0</v>
      </c>
      <c r="H104" s="0" t="n">
        <f aca="false">Offre!$E$7*(Offre!$C$7^Param!$B$3)*1_Friction!H104</f>
        <v>0</v>
      </c>
      <c r="I104" s="0" t="n">
        <f aca="false">Offre!$E$8*(Offre!$C$8^Param!$B$3)*1_Friction!I104</f>
        <v>0</v>
      </c>
      <c r="J104" s="0" t="n">
        <f aca="false">Offre!$E$9*(Offre!$C$9^Param!$B$3)*1_Friction!J104</f>
        <v>0</v>
      </c>
      <c r="K104" s="0" t="n">
        <f aca="false">Offre!$E$10*(Offre!$C$10^Param!$B$3)*1_Friction!K104</f>
        <v>0</v>
      </c>
      <c r="L104" s="0" t="n">
        <f aca="false">Offre!$E$11*(Offre!$C$11^Param!$B$3)*1_Friction!L104</f>
        <v>0</v>
      </c>
      <c r="M104" s="0" t="n">
        <f aca="false">Offre!$E$12*(Offre!$C$12^Param!$B$3)*1_Friction!M104</f>
        <v>0</v>
      </c>
      <c r="N104" s="0" t="n">
        <f aca="false">Offre!$E$13*(Offre!$C$13^Param!$B$3)*1_Friction!N104</f>
        <v>0</v>
      </c>
      <c r="O104" s="0" t="n">
        <f aca="false">Offre!$E$14*(Offre!$C$14^Param!$B$3)*1_Friction!O104</f>
        <v>0</v>
      </c>
      <c r="P104" s="0" t="n">
        <f aca="false">Offre!$E$15*(Offre!$C$15^Param!$B$3)*1_Friction!P104</f>
        <v>0</v>
      </c>
      <c r="Q104" s="0" t="n">
        <f aca="false">Offre!$E$16*(Offre!$C$16^Param!$B$3)*1_Friction!Q104</f>
        <v>0</v>
      </c>
      <c r="R104" s="0" t="n">
        <f aca="false">Offre!$E$17*(Offre!$C$17^Param!$B$3)*1_Friction!R104</f>
        <v>0</v>
      </c>
      <c r="S104" s="0" t="n">
        <f aca="false">Offre!$E$18*(Offre!$C$18^Param!$B$3)*1_Friction!S104</f>
        <v>0</v>
      </c>
      <c r="T104" s="0" t="n">
        <f aca="false">Offre!$E$19*(Offre!$C$19^Param!$B$3)*1_Friction!T104</f>
        <v>0</v>
      </c>
      <c r="U104" s="0" t="n">
        <f aca="false">Offre!$E$20*(Offre!$C$20^Param!$B$3)*1_Friction!U104</f>
        <v>0</v>
      </c>
      <c r="V104" s="0" t="n">
        <f aca="false">Offre!$E$21*(Offre!$C$21^Param!$B$3)*1_Friction!V104</f>
        <v>0</v>
      </c>
      <c r="W104" s="0" t="n">
        <f aca="false">Offre!$E$22*(Offre!$C$22^Param!$B$3)*1_Friction!W104</f>
        <v>0</v>
      </c>
      <c r="X104" s="0" t="n">
        <f aca="false">Offre!$E$23*(Offre!$C$23^Param!$B$3)*1_Friction!X104</f>
        <v>0</v>
      </c>
      <c r="Y104" s="0" t="n">
        <f aca="false">Offre!$E$24*(Offre!$C$24^Param!$B$3)*1_Friction!Y104</f>
        <v>0</v>
      </c>
      <c r="Z104" s="0" t="n">
        <f aca="false">Offre!$E$25*(Offre!$C$25^Param!$B$3)*1_Friction!Z104</f>
        <v>0</v>
      </c>
      <c r="AA104" s="0" t="n">
        <f aca="false">Offre!$E$26*(Offre!$C$26^Param!$B$3)*1_Friction!AA104</f>
        <v>0</v>
      </c>
      <c r="AB104" s="0" t="n">
        <f aca="false">Offre!$E$27*(Offre!$C$27^Param!$B$3)*1_Friction!AB104</f>
        <v>0</v>
      </c>
      <c r="AC104" s="0" t="n">
        <f aca="false">Offre!$E$28*(Offre!$C$28^Param!$B$3)*1_Friction!AC104</f>
        <v>0.901495601058248</v>
      </c>
      <c r="AD104" s="0" t="n">
        <f aca="false">Offre!$E$29*(Offre!$C$29^Param!$B$3)*1_Friction!AD104</f>
        <v>4.60424794181384</v>
      </c>
      <c r="AE104" s="0" t="n">
        <f aca="false">Offre!$E$30*(Offre!$C$30^Param!$B$3)*1_Friction!AE104</f>
        <v>2.83857386544698</v>
      </c>
      <c r="AF104" s="0" t="n">
        <f aca="false">Offre!$E$31*(Offre!$C$31^Param!$B$3)*1_Friction!AF104</f>
        <v>1.8819687064649</v>
      </c>
      <c r="AG104" s="0" t="n">
        <f aca="false">Offre!$E$32*(Offre!$C$32^Param!$B$3)*1_Friction!AG104</f>
        <v>0</v>
      </c>
      <c r="AH104" s="0" t="n">
        <f aca="false">Offre!$E$33*(Offre!$C$33^Param!$B$3)*1_Friction!AH104</f>
        <v>0</v>
      </c>
      <c r="AI104" s="0" t="n">
        <f aca="false">Offre!$E$34*(Offre!$C$34^Param!$B$3)*1_Friction!AI104</f>
        <v>0</v>
      </c>
      <c r="AJ104" s="0" t="n">
        <f aca="false">Offre!$E$35*(Offre!$C$35^Param!$B$3)*1_Friction!AJ104</f>
        <v>0</v>
      </c>
      <c r="AK104" s="0" t="n">
        <f aca="false">Offre!$E$36*(Offre!$C$36^Param!$B$3)*1_Friction!AK104</f>
        <v>8.67877249404699</v>
      </c>
      <c r="AL104" s="0" t="n">
        <f aca="false">Offre!$E$37*(Offre!$C$37^Param!$B$3)*1_Friction!AL104</f>
        <v>8.93927917906405</v>
      </c>
      <c r="AM104" s="0" t="n">
        <f aca="false">Offre!$E$38*(Offre!$C$38^Param!$B$3)*1_Friction!AM104</f>
        <v>0</v>
      </c>
      <c r="AN104" s="0" t="n">
        <f aca="false">Offre!$E$39*(Offre!$C$39^Param!$B$3)*1_Friction!AN104</f>
        <v>0</v>
      </c>
      <c r="AO104" s="0" t="n">
        <f aca="false">SUM(C104:AN104)</f>
        <v>27.844337787895</v>
      </c>
    </row>
    <row r="105" customFormat="false" ht="15" hidden="false" customHeight="true" outlineLevel="0" collapsed="false">
      <c r="A105" s="0" t="s">
        <v>308</v>
      </c>
      <c r="B105" s="0" t="s">
        <v>309</v>
      </c>
      <c r="C105" s="0" t="n">
        <f aca="false">Offre!$E$2*(Offre!$C$2^Param!$B$3)*1_Friction!C105</f>
        <v>0</v>
      </c>
      <c r="D105" s="0" t="n">
        <f aca="false">Offre!$E$3*(Offre!$C$3^Param!$B$3)*1_Friction!D105</f>
        <v>0</v>
      </c>
      <c r="E105" s="0" t="n">
        <f aca="false">Offre!$E$4*(Offre!$C$4^Param!$B$3)*1_Friction!E105</f>
        <v>0</v>
      </c>
      <c r="F105" s="0" t="n">
        <f aca="false">Offre!$E$5*(Offre!$C$5^Param!$B$3)*1_Friction!F105</f>
        <v>0</v>
      </c>
      <c r="G105" s="0" t="n">
        <f aca="false">Offre!$E$6*(Offre!$C$6^Param!$B$3)*1_Friction!G105</f>
        <v>0</v>
      </c>
      <c r="H105" s="0" t="n">
        <f aca="false">Offre!$E$7*(Offre!$C$7^Param!$B$3)*1_Friction!H105</f>
        <v>0</v>
      </c>
      <c r="I105" s="0" t="n">
        <f aca="false">Offre!$E$8*(Offre!$C$8^Param!$B$3)*1_Friction!I105</f>
        <v>0</v>
      </c>
      <c r="J105" s="0" t="n">
        <f aca="false">Offre!$E$9*(Offre!$C$9^Param!$B$3)*1_Friction!J105</f>
        <v>0</v>
      </c>
      <c r="K105" s="0" t="n">
        <f aca="false">Offre!$E$10*(Offre!$C$10^Param!$B$3)*1_Friction!K105</f>
        <v>0</v>
      </c>
      <c r="L105" s="0" t="n">
        <f aca="false">Offre!$E$11*(Offre!$C$11^Param!$B$3)*1_Friction!L105</f>
        <v>0</v>
      </c>
      <c r="M105" s="0" t="n">
        <f aca="false">Offre!$E$12*(Offre!$C$12^Param!$B$3)*1_Friction!M105</f>
        <v>0</v>
      </c>
      <c r="N105" s="0" t="n">
        <f aca="false">Offre!$E$13*(Offre!$C$13^Param!$B$3)*1_Friction!N105</f>
        <v>0</v>
      </c>
      <c r="O105" s="0" t="n">
        <f aca="false">Offre!$E$14*(Offre!$C$14^Param!$B$3)*1_Friction!O105</f>
        <v>0</v>
      </c>
      <c r="P105" s="0" t="n">
        <f aca="false">Offre!$E$15*(Offre!$C$15^Param!$B$3)*1_Friction!P105</f>
        <v>0</v>
      </c>
      <c r="Q105" s="0" t="n">
        <f aca="false">Offre!$E$16*(Offre!$C$16^Param!$B$3)*1_Friction!Q105</f>
        <v>0</v>
      </c>
      <c r="R105" s="0" t="n">
        <f aca="false">Offre!$E$17*(Offre!$C$17^Param!$B$3)*1_Friction!R105</f>
        <v>0</v>
      </c>
      <c r="S105" s="0" t="n">
        <f aca="false">Offre!$E$18*(Offre!$C$18^Param!$B$3)*1_Friction!S105</f>
        <v>0</v>
      </c>
      <c r="T105" s="0" t="n">
        <f aca="false">Offre!$E$19*(Offre!$C$19^Param!$B$3)*1_Friction!T105</f>
        <v>0</v>
      </c>
      <c r="U105" s="0" t="n">
        <f aca="false">Offre!$E$20*(Offre!$C$20^Param!$B$3)*1_Friction!U105</f>
        <v>0</v>
      </c>
      <c r="V105" s="0" t="n">
        <f aca="false">Offre!$E$21*(Offre!$C$21^Param!$B$3)*1_Friction!V105</f>
        <v>0</v>
      </c>
      <c r="W105" s="0" t="n">
        <f aca="false">Offre!$E$22*(Offre!$C$22^Param!$B$3)*1_Friction!W105</f>
        <v>0</v>
      </c>
      <c r="X105" s="0" t="n">
        <f aca="false">Offre!$E$23*(Offre!$C$23^Param!$B$3)*1_Friction!X105</f>
        <v>0</v>
      </c>
      <c r="Y105" s="0" t="n">
        <f aca="false">Offre!$E$24*(Offre!$C$24^Param!$B$3)*1_Friction!Y105</f>
        <v>0</v>
      </c>
      <c r="Z105" s="0" t="n">
        <f aca="false">Offre!$E$25*(Offre!$C$25^Param!$B$3)*1_Friction!Z105</f>
        <v>0</v>
      </c>
      <c r="AA105" s="0" t="n">
        <f aca="false">Offre!$E$26*(Offre!$C$26^Param!$B$3)*1_Friction!AA105</f>
        <v>0</v>
      </c>
      <c r="AB105" s="0" t="n">
        <f aca="false">Offre!$E$27*(Offre!$C$27^Param!$B$3)*1_Friction!AB105</f>
        <v>0</v>
      </c>
      <c r="AC105" s="0" t="n">
        <f aca="false">Offre!$E$28*(Offre!$C$28^Param!$B$3)*1_Friction!AC105</f>
        <v>0.680505533909664</v>
      </c>
      <c r="AD105" s="0" t="n">
        <f aca="false">Offre!$E$29*(Offre!$C$29^Param!$B$3)*1_Friction!AD105</f>
        <v>3.48276153802963</v>
      </c>
      <c r="AE105" s="0" t="n">
        <f aca="false">Offre!$E$30*(Offre!$C$30^Param!$B$3)*1_Friction!AE105</f>
        <v>2.15289019057371</v>
      </c>
      <c r="AF105" s="0" t="n">
        <f aca="false">Offre!$E$31*(Offre!$C$31^Param!$B$3)*1_Friction!AF105</f>
        <v>1.42658622862179</v>
      </c>
      <c r="AG105" s="0" t="n">
        <f aca="false">Offre!$E$32*(Offre!$C$32^Param!$B$3)*1_Friction!AG105</f>
        <v>0</v>
      </c>
      <c r="AH105" s="0" t="n">
        <f aca="false">Offre!$E$33*(Offre!$C$33^Param!$B$3)*1_Friction!AH105</f>
        <v>0</v>
      </c>
      <c r="AI105" s="0" t="n">
        <f aca="false">Offre!$E$34*(Offre!$C$34^Param!$B$3)*1_Friction!AI105</f>
        <v>0</v>
      </c>
      <c r="AJ105" s="0" t="n">
        <f aca="false">Offre!$E$35*(Offre!$C$35^Param!$B$3)*1_Friction!AJ105</f>
        <v>0</v>
      </c>
      <c r="AK105" s="0" t="n">
        <f aca="false">Offre!$E$36*(Offre!$C$36^Param!$B$3)*1_Friction!AK105</f>
        <v>5.90677532570285</v>
      </c>
      <c r="AL105" s="0" t="n">
        <f aca="false">Offre!$E$37*(Offre!$C$37^Param!$B$3)*1_Friction!AL105</f>
        <v>6.73411112174807</v>
      </c>
      <c r="AM105" s="0" t="n">
        <f aca="false">Offre!$E$38*(Offre!$C$38^Param!$B$3)*1_Friction!AM105</f>
        <v>0</v>
      </c>
      <c r="AN105" s="0" t="n">
        <f aca="false">Offre!$E$39*(Offre!$C$39^Param!$B$3)*1_Friction!AN105</f>
        <v>0</v>
      </c>
      <c r="AO105" s="0" t="n">
        <f aca="false">SUM(C105:AN105)</f>
        <v>20.3836299385857</v>
      </c>
    </row>
    <row r="106" customFormat="false" ht="15" hidden="false" customHeight="true" outlineLevel="0" collapsed="false">
      <c r="A106" s="0" t="s">
        <v>310</v>
      </c>
      <c r="B106" s="0" t="s">
        <v>311</v>
      </c>
      <c r="C106" s="0" t="n">
        <f aca="false">Offre!$E$2*(Offre!$C$2^Param!$B$3)*1_Friction!C106</f>
        <v>1.21278688559955</v>
      </c>
      <c r="D106" s="0" t="n">
        <f aca="false">Offre!$E$3*(Offre!$C$3^Param!$B$3)*1_Friction!D106</f>
        <v>0.461981420017898</v>
      </c>
      <c r="E106" s="0" t="n">
        <f aca="false">Offre!$E$4*(Offre!$C$4^Param!$B$3)*1_Friction!E106</f>
        <v>4.56943886196699</v>
      </c>
      <c r="F106" s="0" t="n">
        <f aca="false">Offre!$E$5*(Offre!$C$5^Param!$B$3)*1_Friction!F106</f>
        <v>0.842118525085208</v>
      </c>
      <c r="G106" s="0" t="n">
        <f aca="false">Offre!$E$6*(Offre!$C$6^Param!$B$3)*1_Friction!G106</f>
        <v>2.22348095806605</v>
      </c>
      <c r="H106" s="0" t="n">
        <f aca="false">Offre!$E$7*(Offre!$C$7^Param!$B$3)*1_Friction!H106</f>
        <v>0.644284508246624</v>
      </c>
      <c r="I106" s="0" t="n">
        <f aca="false">Offre!$E$8*(Offre!$C$8^Param!$B$3)*1_Friction!I106</f>
        <v>1.27481777368678</v>
      </c>
      <c r="J106" s="0" t="n">
        <f aca="false">Offre!$E$9*(Offre!$C$9^Param!$B$3)*1_Friction!J106</f>
        <v>0.975639291201342</v>
      </c>
      <c r="K106" s="0" t="n">
        <f aca="false">Offre!$E$10*(Offre!$C$10^Param!$B$3)*1_Friction!K106</f>
        <v>0.600115719760247</v>
      </c>
      <c r="L106" s="0" t="n">
        <f aca="false">Offre!$E$11*(Offre!$C$11^Param!$B$3)*1_Friction!L106</f>
        <v>0.639003918844478</v>
      </c>
      <c r="M106" s="0" t="n">
        <f aca="false">Offre!$E$12*(Offre!$C$12^Param!$B$3)*1_Friction!M106</f>
        <v>3.72938557400989</v>
      </c>
      <c r="N106" s="0" t="n">
        <f aca="false">Offre!$E$13*(Offre!$C$13^Param!$B$3)*1_Friction!N106</f>
        <v>0.464325941149721</v>
      </c>
      <c r="O106" s="0" t="n">
        <f aca="false">Offre!$E$14*(Offre!$C$14^Param!$B$3)*1_Friction!O106</f>
        <v>1.4432293223047</v>
      </c>
      <c r="P106" s="0" t="n">
        <f aca="false">Offre!$E$15*(Offre!$C$15^Param!$B$3)*1_Friction!P106</f>
        <v>0.695730963488083</v>
      </c>
      <c r="Q106" s="0" t="n">
        <f aca="false">Offre!$E$16*(Offre!$C$16^Param!$B$3)*1_Friction!Q106</f>
        <v>5.9658972391645</v>
      </c>
      <c r="R106" s="0" t="n">
        <f aca="false">Offre!$E$17*(Offre!$C$17^Param!$B$3)*1_Friction!R106</f>
        <v>0.786783459419288</v>
      </c>
      <c r="S106" s="0" t="n">
        <f aca="false">Offre!$E$18*(Offre!$C$18^Param!$B$3)*1_Friction!S106</f>
        <v>0.576285076782016</v>
      </c>
      <c r="T106" s="0" t="n">
        <f aca="false">Offre!$E$19*(Offre!$C$19^Param!$B$3)*1_Friction!T106</f>
        <v>6.40464714863821</v>
      </c>
      <c r="U106" s="0" t="n">
        <f aca="false">Offre!$E$20*(Offre!$C$20^Param!$B$3)*1_Friction!U106</f>
        <v>12.1747570030432</v>
      </c>
      <c r="V106" s="0" t="n">
        <f aca="false">Offre!$E$21*(Offre!$C$21^Param!$B$3)*1_Friction!V106</f>
        <v>101.651072527281</v>
      </c>
      <c r="W106" s="0" t="n">
        <f aca="false">Offre!$E$22*(Offre!$C$22^Param!$B$3)*1_Friction!W106</f>
        <v>19.619809904327</v>
      </c>
      <c r="X106" s="0" t="n">
        <f aca="false">Offre!$E$23*(Offre!$C$23^Param!$B$3)*1_Friction!X106</f>
        <v>26.740686610383</v>
      </c>
      <c r="Y106" s="0" t="n">
        <f aca="false">Offre!$E$24*(Offre!$C$24^Param!$B$3)*1_Friction!Y106</f>
        <v>17.8254501133542</v>
      </c>
      <c r="Z106" s="0" t="n">
        <f aca="false">Offre!$E$25*(Offre!$C$25^Param!$B$3)*1_Friction!Z106</f>
        <v>44.5007017346132</v>
      </c>
      <c r="AA106" s="0" t="n">
        <f aca="false">Offre!$E$26*(Offre!$C$26^Param!$B$3)*1_Friction!AA106</f>
        <v>88.2481521897271</v>
      </c>
      <c r="AB106" s="0" t="n">
        <f aca="false">Offre!$E$27*(Offre!$C$27^Param!$B$3)*1_Friction!AB106</f>
        <v>39.5063448511883</v>
      </c>
      <c r="AC106" s="0" t="n">
        <f aca="false">Offre!$E$28*(Offre!$C$28^Param!$B$3)*1_Friction!AC106</f>
        <v>0</v>
      </c>
      <c r="AD106" s="0" t="n">
        <f aca="false">Offre!$E$29*(Offre!$C$29^Param!$B$3)*1_Friction!AD106</f>
        <v>0</v>
      </c>
      <c r="AE106" s="0" t="n">
        <f aca="false">Offre!$E$30*(Offre!$C$30^Param!$B$3)*1_Friction!AE106</f>
        <v>0</v>
      </c>
      <c r="AF106" s="0" t="n">
        <f aca="false">Offre!$E$31*(Offre!$C$31^Param!$B$3)*1_Friction!AF106</f>
        <v>0</v>
      </c>
      <c r="AG106" s="0" t="n">
        <f aca="false">Offre!$E$32*(Offre!$C$32^Param!$B$3)*1_Friction!AG106</f>
        <v>0</v>
      </c>
      <c r="AH106" s="0" t="n">
        <f aca="false">Offre!$E$33*(Offre!$C$33^Param!$B$3)*1_Friction!AH106</f>
        <v>1.83460346116067</v>
      </c>
      <c r="AI106" s="0" t="n">
        <f aca="false">Offre!$E$34*(Offre!$C$34^Param!$B$3)*1_Friction!AI106</f>
        <v>2.70366404566595</v>
      </c>
      <c r="AJ106" s="0" t="n">
        <f aca="false">Offre!$E$35*(Offre!$C$35^Param!$B$3)*1_Friction!AJ106</f>
        <v>40.428243152378</v>
      </c>
      <c r="AK106" s="0" t="n">
        <f aca="false">Offre!$E$36*(Offre!$C$36^Param!$B$3)*1_Friction!AK106</f>
        <v>0</v>
      </c>
      <c r="AL106" s="0" t="n">
        <f aca="false">Offre!$E$37*(Offre!$C$37^Param!$B$3)*1_Friction!AL106</f>
        <v>0</v>
      </c>
      <c r="AM106" s="0" t="n">
        <f aca="false">Offre!$E$38*(Offre!$C$38^Param!$B$3)*1_Friction!AM106</f>
        <v>2.82626976080538</v>
      </c>
      <c r="AN106" s="0" t="n">
        <f aca="false">Offre!$E$39*(Offre!$C$39^Param!$B$3)*1_Friction!AN106</f>
        <v>0</v>
      </c>
      <c r="AO106" s="0" t="n">
        <f aca="false">SUM(C106:AN106)</f>
        <v>431.569707941358</v>
      </c>
    </row>
    <row r="107" customFormat="false" ht="15" hidden="false" customHeight="true" outlineLevel="0" collapsed="false">
      <c r="A107" s="0" t="s">
        <v>312</v>
      </c>
      <c r="B107" s="0" t="s">
        <v>313</v>
      </c>
      <c r="C107" s="0" t="n">
        <f aca="false">Offre!$E$2*(Offre!$C$2^Param!$B$3)*1_Friction!C107</f>
        <v>0.943224203813442</v>
      </c>
      <c r="D107" s="0" t="n">
        <f aca="false">Offre!$E$3*(Offre!$C$3^Param!$B$3)*1_Friction!D107</f>
        <v>1.76383082929149</v>
      </c>
      <c r="E107" s="0" t="n">
        <f aca="false">Offre!$E$4*(Offre!$C$4^Param!$B$3)*1_Friction!E107</f>
        <v>19.9262970082276</v>
      </c>
      <c r="F107" s="0" t="n">
        <f aca="false">Offre!$E$5*(Offre!$C$5^Param!$B$3)*1_Friction!F107</f>
        <v>3.6493508298611</v>
      </c>
      <c r="G107" s="0" t="n">
        <f aca="false">Offre!$E$6*(Offre!$C$6^Param!$B$3)*1_Friction!G107</f>
        <v>10.2262284052251</v>
      </c>
      <c r="H107" s="0" t="n">
        <f aca="false">Offre!$E$7*(Offre!$C$7^Param!$B$3)*1_Friction!H107</f>
        <v>2.66663539621958</v>
      </c>
      <c r="I107" s="0" t="n">
        <f aca="false">Offre!$E$8*(Offre!$C$8^Param!$B$3)*1_Friction!I107</f>
        <v>6.07913466746345</v>
      </c>
      <c r="J107" s="0" t="n">
        <f aca="false">Offre!$E$9*(Offre!$C$9^Param!$B$3)*1_Friction!J107</f>
        <v>4.66776024978386</v>
      </c>
      <c r="K107" s="0" t="n">
        <f aca="false">Offre!$E$10*(Offre!$C$10^Param!$B$3)*1_Friction!K107</f>
        <v>2.79514067245231</v>
      </c>
      <c r="L107" s="0" t="n">
        <f aca="false">Offre!$E$11*(Offre!$C$11^Param!$B$3)*1_Friction!L107</f>
        <v>3.04488021987694</v>
      </c>
      <c r="M107" s="0" t="n">
        <f aca="false">Offre!$E$12*(Offre!$C$12^Param!$B$3)*1_Friction!M107</f>
        <v>17.4096108786956</v>
      </c>
      <c r="N107" s="0" t="n">
        <f aca="false">Offre!$E$13*(Offre!$C$13^Param!$B$3)*1_Friction!N107</f>
        <v>2.16093013261142</v>
      </c>
      <c r="O107" s="0" t="n">
        <f aca="false">Offre!$E$14*(Offre!$C$14^Param!$B$3)*1_Friction!O107</f>
        <v>6.94468503493259</v>
      </c>
      <c r="P107" s="0" t="n">
        <f aca="false">Offre!$E$15*(Offre!$C$15^Param!$B$3)*1_Friction!P107</f>
        <v>3.44684929221551</v>
      </c>
      <c r="Q107" s="0" t="n">
        <f aca="false">Offre!$E$16*(Offre!$C$16^Param!$B$3)*1_Friction!Q107</f>
        <v>30.59078055678</v>
      </c>
      <c r="R107" s="0" t="n">
        <f aca="false">Offre!$E$17*(Offre!$C$17^Param!$B$3)*1_Friction!R107</f>
        <v>4.03155422132116</v>
      </c>
      <c r="S107" s="0" t="n">
        <f aca="false">Offre!$E$18*(Offre!$C$18^Param!$B$3)*1_Friction!S107</f>
        <v>2.92079550252891</v>
      </c>
      <c r="T107" s="0" t="n">
        <f aca="false">Offre!$E$19*(Offre!$C$19^Param!$B$3)*1_Friction!T107</f>
        <v>5.53475332537346</v>
      </c>
      <c r="U107" s="0" t="n">
        <f aca="false">Offre!$E$20*(Offre!$C$20^Param!$B$3)*1_Friction!U107</f>
        <v>23.3778715744236</v>
      </c>
      <c r="V107" s="0" t="n">
        <f aca="false">Offre!$E$21*(Offre!$C$21^Param!$B$3)*1_Friction!V107</f>
        <v>54.3864523705215</v>
      </c>
      <c r="W107" s="0" t="n">
        <f aca="false">Offre!$E$22*(Offre!$C$22^Param!$B$3)*1_Friction!W107</f>
        <v>10.7285131026682</v>
      </c>
      <c r="X107" s="0" t="n">
        <f aca="false">Offre!$E$23*(Offre!$C$23^Param!$B$3)*1_Friction!X107</f>
        <v>15.1721222035256</v>
      </c>
      <c r="Y107" s="0" t="n">
        <f aca="false">Offre!$E$24*(Offre!$C$24^Param!$B$3)*1_Friction!Y107</f>
        <v>9.95380089974479</v>
      </c>
      <c r="Z107" s="0" t="n">
        <f aca="false">Offre!$E$25*(Offre!$C$25^Param!$B$3)*1_Friction!Z107</f>
        <v>24.3010896912861</v>
      </c>
      <c r="AA107" s="0" t="n">
        <f aca="false">Offre!$E$26*(Offre!$C$26^Param!$B$3)*1_Friction!AA107</f>
        <v>51.6921397103634</v>
      </c>
      <c r="AB107" s="0" t="n">
        <f aca="false">Offre!$E$27*(Offre!$C$27^Param!$B$3)*1_Friction!AB107</f>
        <v>22.9230502237446</v>
      </c>
      <c r="AC107" s="0" t="n">
        <f aca="false">Offre!$E$28*(Offre!$C$28^Param!$B$3)*1_Friction!AC107</f>
        <v>0</v>
      </c>
      <c r="AD107" s="0" t="n">
        <f aca="false">Offre!$E$29*(Offre!$C$29^Param!$B$3)*1_Friction!AD107</f>
        <v>0</v>
      </c>
      <c r="AE107" s="0" t="n">
        <f aca="false">Offre!$E$30*(Offre!$C$30^Param!$B$3)*1_Friction!AE107</f>
        <v>0</v>
      </c>
      <c r="AF107" s="0" t="n">
        <f aca="false">Offre!$E$31*(Offre!$C$31^Param!$B$3)*1_Friction!AF107</f>
        <v>0</v>
      </c>
      <c r="AG107" s="0" t="n">
        <f aca="false">Offre!$E$32*(Offre!$C$32^Param!$B$3)*1_Friction!AG107</f>
        <v>0</v>
      </c>
      <c r="AH107" s="0" t="n">
        <f aca="false">Offre!$E$33*(Offre!$C$33^Param!$B$3)*1_Friction!AH107</f>
        <v>10.523378022476</v>
      </c>
      <c r="AI107" s="0" t="n">
        <f aca="false">Offre!$E$34*(Offre!$C$34^Param!$B$3)*1_Friction!AI107</f>
        <v>2.31917510504069</v>
      </c>
      <c r="AJ107" s="0" t="n">
        <f aca="false">Offre!$E$35*(Offre!$C$35^Param!$B$3)*1_Friction!AJ107</f>
        <v>22.8724062787822</v>
      </c>
      <c r="AK107" s="0" t="n">
        <f aca="false">Offre!$E$36*(Offre!$C$36^Param!$B$3)*1_Friction!AK107</f>
        <v>0</v>
      </c>
      <c r="AL107" s="0" t="n">
        <f aca="false">Offre!$E$37*(Offre!$C$37^Param!$B$3)*1_Friction!AL107</f>
        <v>0</v>
      </c>
      <c r="AM107" s="0" t="n">
        <f aca="false">Offre!$E$38*(Offre!$C$38^Param!$B$3)*1_Friction!AM107</f>
        <v>2.20275754912356</v>
      </c>
      <c r="AN107" s="0" t="n">
        <f aca="false">Offre!$E$39*(Offre!$C$39^Param!$B$3)*1_Friction!AN107</f>
        <v>0</v>
      </c>
      <c r="AO107" s="0" t="n">
        <f aca="false">SUM(C107:AN107)</f>
        <v>379.255198158374</v>
      </c>
    </row>
    <row r="108" customFormat="false" ht="15" hidden="false" customHeight="true" outlineLevel="0" collapsed="false">
      <c r="A108" s="0" t="s">
        <v>314</v>
      </c>
      <c r="B108" s="0" t="s">
        <v>315</v>
      </c>
      <c r="C108" s="0" t="n">
        <f aca="false">Offre!$E$2*(Offre!$C$2^Param!$B$3)*1_Friction!C108</f>
        <v>0.487461747972322</v>
      </c>
      <c r="D108" s="0" t="n">
        <f aca="false">Offre!$E$3*(Offre!$C$3^Param!$B$3)*1_Friction!D108</f>
        <v>1.64537541281523</v>
      </c>
      <c r="E108" s="0" t="n">
        <f aca="false">Offre!$E$4*(Offre!$C$4^Param!$B$3)*1_Friction!E108</f>
        <v>18.5950136103936</v>
      </c>
      <c r="F108" s="0" t="n">
        <f aca="false">Offre!$E$5*(Offre!$C$5^Param!$B$3)*1_Friction!F108</f>
        <v>3.40671799154781</v>
      </c>
      <c r="G108" s="0" t="n">
        <f aca="false">Offre!$E$6*(Offre!$C$6^Param!$B$3)*1_Friction!G108</f>
        <v>9.53698703580175</v>
      </c>
      <c r="H108" s="0" t="n">
        <f aca="false">Offre!$E$7*(Offre!$C$7^Param!$B$3)*1_Friction!H108</f>
        <v>2.49420209413369</v>
      </c>
      <c r="I108" s="0" t="n">
        <f aca="false">Offre!$E$8*(Offre!$C$8^Param!$B$3)*1_Friction!I108</f>
        <v>5.68787489839117</v>
      </c>
      <c r="J108" s="0" t="n">
        <f aca="false">Offre!$E$9*(Offre!$C$9^Param!$B$3)*1_Friction!J108</f>
        <v>4.36078068052405</v>
      </c>
      <c r="K108" s="0" t="n">
        <f aca="false">Offre!$E$10*(Offre!$C$10^Param!$B$3)*1_Friction!K108</f>
        <v>2.61047504723337</v>
      </c>
      <c r="L108" s="0" t="n">
        <f aca="false">Offre!$E$11*(Offre!$C$11^Param!$B$3)*1_Friction!L108</f>
        <v>2.84732393981567</v>
      </c>
      <c r="M108" s="0" t="n">
        <f aca="false">Offre!$E$12*(Offre!$C$12^Param!$B$3)*1_Friction!M108</f>
        <v>16.3056049536449</v>
      </c>
      <c r="N108" s="0" t="n">
        <f aca="false">Offre!$E$13*(Offre!$C$13^Param!$B$3)*1_Friction!N108</f>
        <v>2.02047389664062</v>
      </c>
      <c r="O108" s="0" t="n">
        <f aca="false">Offre!$E$14*(Offre!$C$14^Param!$B$3)*1_Friction!O108</f>
        <v>6.4908214830335</v>
      </c>
      <c r="P108" s="0" t="n">
        <f aca="false">Offre!$E$15*(Offre!$C$15^Param!$B$3)*1_Friction!P108</f>
        <v>3.22312910908833</v>
      </c>
      <c r="Q108" s="0" t="n">
        <f aca="false">Offre!$E$16*(Offre!$C$16^Param!$B$3)*1_Friction!Q108</f>
        <v>28.6089726354379</v>
      </c>
      <c r="R108" s="0" t="n">
        <f aca="false">Offre!$E$17*(Offre!$C$17^Param!$B$3)*1_Friction!R108</f>
        <v>3.77164279208361</v>
      </c>
      <c r="S108" s="0" t="n">
        <f aca="false">Offre!$E$18*(Offre!$C$18^Param!$B$3)*1_Friction!S108</f>
        <v>2.73042320379714</v>
      </c>
      <c r="T108" s="0" t="n">
        <f aca="false">Offre!$E$19*(Offre!$C$19^Param!$B$3)*1_Friction!T108</f>
        <v>3.68955466146586</v>
      </c>
      <c r="U108" s="0" t="n">
        <f aca="false">Offre!$E$20*(Offre!$C$20^Param!$B$3)*1_Friction!U108</f>
        <v>17.6147696612212</v>
      </c>
      <c r="V108" s="0" t="n">
        <f aca="false">Offre!$E$21*(Offre!$C$21^Param!$B$3)*1_Friction!V108</f>
        <v>20.9937842978987</v>
      </c>
      <c r="W108" s="0" t="n">
        <f aca="false">Offre!$E$22*(Offre!$C$22^Param!$B$3)*1_Friction!W108</f>
        <v>4.52848767690508</v>
      </c>
      <c r="X108" s="0" t="n">
        <f aca="false">Offre!$E$23*(Offre!$C$23^Param!$B$3)*1_Friction!X108</f>
        <v>6.67431390355499</v>
      </c>
      <c r="Y108" s="0" t="n">
        <f aca="false">Offre!$E$24*(Offre!$C$24^Param!$B$3)*1_Friction!Y108</f>
        <v>4.44703456547102</v>
      </c>
      <c r="Z108" s="0" t="n">
        <f aca="false">Offre!$E$25*(Offre!$C$25^Param!$B$3)*1_Friction!Z108</f>
        <v>10.9367420862892</v>
      </c>
      <c r="AA108" s="0" t="n">
        <f aca="false">Offre!$E$26*(Offre!$C$26^Param!$B$3)*1_Friction!AA108</f>
        <v>22.5121054491283</v>
      </c>
      <c r="AB108" s="0" t="n">
        <f aca="false">Offre!$E$27*(Offre!$C$27^Param!$B$3)*1_Friction!AB108</f>
        <v>10.8453301274949</v>
      </c>
      <c r="AC108" s="0" t="n">
        <f aca="false">Offre!$E$28*(Offre!$C$28^Param!$B$3)*1_Friction!AC108</f>
        <v>0</v>
      </c>
      <c r="AD108" s="0" t="n">
        <f aca="false">Offre!$E$29*(Offre!$C$29^Param!$B$3)*1_Friction!AD108</f>
        <v>0</v>
      </c>
      <c r="AE108" s="0" t="n">
        <f aca="false">Offre!$E$30*(Offre!$C$30^Param!$B$3)*1_Friction!AE108</f>
        <v>0</v>
      </c>
      <c r="AF108" s="0" t="n">
        <f aca="false">Offre!$E$31*(Offre!$C$31^Param!$B$3)*1_Friction!AF108</f>
        <v>0</v>
      </c>
      <c r="AG108" s="0" t="n">
        <f aca="false">Offre!$E$32*(Offre!$C$32^Param!$B$3)*1_Friction!AG108</f>
        <v>0</v>
      </c>
      <c r="AH108" s="0" t="n">
        <f aca="false">Offre!$E$33*(Offre!$C$33^Param!$B$3)*1_Friction!AH108</f>
        <v>9.8568412957257</v>
      </c>
      <c r="AI108" s="0" t="n">
        <f aca="false">Offre!$E$34*(Offre!$C$34^Param!$B$3)*1_Friction!AI108</f>
        <v>1.52001210528254</v>
      </c>
      <c r="AJ108" s="0" t="n">
        <f aca="false">Offre!$E$35*(Offre!$C$35^Param!$B$3)*1_Friction!AJ108</f>
        <v>9.66242153461871</v>
      </c>
      <c r="AK108" s="0" t="n">
        <f aca="false">Offre!$E$36*(Offre!$C$36^Param!$B$3)*1_Friction!AK108</f>
        <v>0</v>
      </c>
      <c r="AL108" s="0" t="n">
        <f aca="false">Offre!$E$37*(Offre!$C$37^Param!$B$3)*1_Friction!AL108</f>
        <v>0</v>
      </c>
      <c r="AM108" s="0" t="n">
        <f aca="false">Offre!$E$38*(Offre!$C$38^Param!$B$3)*1_Friction!AM108</f>
        <v>1.12260237725068</v>
      </c>
      <c r="AN108" s="0" t="n">
        <f aca="false">Offre!$E$39*(Offre!$C$39^Param!$B$3)*1_Friction!AN108</f>
        <v>0</v>
      </c>
      <c r="AO108" s="0" t="n">
        <f aca="false">SUM(C108:AN108)</f>
        <v>239.227280274662</v>
      </c>
    </row>
    <row r="109" customFormat="false" ht="15" hidden="false" customHeight="true" outlineLevel="0" collapsed="false">
      <c r="A109" s="0" t="s">
        <v>316</v>
      </c>
      <c r="B109" s="0" t="s">
        <v>317</v>
      </c>
      <c r="C109" s="0" t="n">
        <f aca="false">Offre!$E$2*(Offre!$C$2^Param!$B$3)*1_Friction!C109</f>
        <v>0.375455112976273</v>
      </c>
      <c r="D109" s="0" t="n">
        <f aca="false">Offre!$E$3*(Offre!$C$3^Param!$B$3)*1_Friction!D109</f>
        <v>0.386146444447395</v>
      </c>
      <c r="E109" s="0" t="n">
        <f aca="false">Offre!$E$4*(Offre!$C$4^Param!$B$3)*1_Friction!E109</f>
        <v>4.39250164357367</v>
      </c>
      <c r="F109" s="0" t="n">
        <f aca="false">Offre!$E$5*(Offre!$C$5^Param!$B$3)*1_Friction!F109</f>
        <v>0.809626937843408</v>
      </c>
      <c r="G109" s="0" t="n">
        <f aca="false">Offre!$E$6*(Offre!$C$6^Param!$B$3)*1_Friction!G109</f>
        <v>2.25180906253154</v>
      </c>
      <c r="H109" s="0" t="n">
        <f aca="false">Offre!$E$7*(Offre!$C$7^Param!$B$3)*1_Friction!H109</f>
        <v>0.620081783274784</v>
      </c>
      <c r="I109" s="0" t="n">
        <f aca="false">Offre!$E$8*(Offre!$C$8^Param!$B$3)*1_Friction!I109</f>
        <v>1.40657134027178</v>
      </c>
      <c r="J109" s="0" t="n">
        <f aca="false">Offre!$E$9*(Offre!$C$9^Param!$B$3)*1_Friction!J109</f>
        <v>1.06133205685661</v>
      </c>
      <c r="K109" s="0" t="n">
        <f aca="false">Offre!$E$10*(Offre!$C$10^Param!$B$3)*1_Friction!K109</f>
        <v>0.62529058844638</v>
      </c>
      <c r="L109" s="0" t="n">
        <f aca="false">Offre!$E$11*(Offre!$C$11^Param!$B$3)*1_Friction!L109</f>
        <v>0.704439450656693</v>
      </c>
      <c r="M109" s="0" t="n">
        <f aca="false">Offre!$E$12*(Offre!$C$12^Param!$B$3)*1_Friction!M109</f>
        <v>4.14519476373021</v>
      </c>
      <c r="N109" s="0" t="n">
        <f aca="false">Offre!$E$13*(Offre!$C$13^Param!$B$3)*1_Friction!N109</f>
        <v>0.493737184943744</v>
      </c>
      <c r="O109" s="0" t="n">
        <f aca="false">Offre!$E$14*(Offre!$C$14^Param!$B$3)*1_Friction!O109</f>
        <v>1.5931642549377</v>
      </c>
      <c r="P109" s="0" t="n">
        <f aca="false">Offre!$E$15*(Offre!$C$15^Param!$B$3)*1_Friction!P109</f>
        <v>0.797057092820677</v>
      </c>
      <c r="Q109" s="0" t="n">
        <f aca="false">Offre!$E$16*(Offre!$C$16^Param!$B$3)*1_Friction!Q109</f>
        <v>7.09650937502891</v>
      </c>
      <c r="R109" s="0" t="n">
        <f aca="false">Offre!$E$17*(Offre!$C$17^Param!$B$3)*1_Friction!R109</f>
        <v>0.930817425801977</v>
      </c>
      <c r="S109" s="0" t="n">
        <f aca="false">Offre!$E$18*(Offre!$C$18^Param!$B$3)*1_Friction!S109</f>
        <v>0.664981549605556</v>
      </c>
      <c r="T109" s="0" t="n">
        <f aca="false">Offre!$E$19*(Offre!$C$19^Param!$B$3)*1_Friction!T109</f>
        <v>3.12103323471817</v>
      </c>
      <c r="U109" s="0" t="n">
        <f aca="false">Offre!$E$20*(Offre!$C$20^Param!$B$3)*1_Friction!U109</f>
        <v>17.6907452660233</v>
      </c>
      <c r="V109" s="0" t="n">
        <f aca="false">Offre!$E$21*(Offre!$C$21^Param!$B$3)*1_Friction!V109</f>
        <v>84.3995609649517</v>
      </c>
      <c r="W109" s="0" t="n">
        <f aca="false">Offre!$E$22*(Offre!$C$22^Param!$B$3)*1_Friction!W109</f>
        <v>16.5494780558653</v>
      </c>
      <c r="X109" s="0" t="n">
        <f aca="false">Offre!$E$23*(Offre!$C$23^Param!$B$3)*1_Friction!X109</f>
        <v>23.0147537292217</v>
      </c>
      <c r="Y109" s="0" t="n">
        <f aca="false">Offre!$E$24*(Offre!$C$24^Param!$B$3)*1_Friction!Y109</f>
        <v>15.2103997677653</v>
      </c>
      <c r="Z109" s="0" t="n">
        <f aca="false">Offre!$E$25*(Offre!$C$25^Param!$B$3)*1_Friction!Z109</f>
        <v>37.5439784180856</v>
      </c>
      <c r="AA109" s="0" t="n">
        <f aca="false">Offre!$E$26*(Offre!$C$26^Param!$B$3)*1_Friction!AA109</f>
        <v>77.5822042233296</v>
      </c>
      <c r="AB109" s="0" t="n">
        <f aca="false">Offre!$E$27*(Offre!$C$27^Param!$B$3)*1_Friction!AB109</f>
        <v>34.3634689228088</v>
      </c>
      <c r="AC109" s="0" t="n">
        <f aca="false">Offre!$E$28*(Offre!$C$28^Param!$B$3)*1_Friction!AC109</f>
        <v>0</v>
      </c>
      <c r="AD109" s="0" t="n">
        <f aca="false">Offre!$E$29*(Offre!$C$29^Param!$B$3)*1_Friction!AD109</f>
        <v>0</v>
      </c>
      <c r="AE109" s="0" t="n">
        <f aca="false">Offre!$E$30*(Offre!$C$30^Param!$B$3)*1_Friction!AE109</f>
        <v>0</v>
      </c>
      <c r="AF109" s="0" t="n">
        <f aca="false">Offre!$E$31*(Offre!$C$31^Param!$B$3)*1_Friction!AF109</f>
        <v>0</v>
      </c>
      <c r="AG109" s="0" t="n">
        <f aca="false">Offre!$E$32*(Offre!$C$32^Param!$B$3)*1_Friction!AG109</f>
        <v>0</v>
      </c>
      <c r="AH109" s="0" t="n">
        <f aca="false">Offre!$E$33*(Offre!$C$33^Param!$B$3)*1_Friction!AH109</f>
        <v>2.48450351734892</v>
      </c>
      <c r="AI109" s="0" t="n">
        <f aca="false">Offre!$E$34*(Offre!$C$34^Param!$B$3)*1_Friction!AI109</f>
        <v>1.2777932143844</v>
      </c>
      <c r="AJ109" s="0" t="n">
        <f aca="false">Offre!$E$35*(Offre!$C$35^Param!$B$3)*1_Friction!AJ109</f>
        <v>34.8145863475598</v>
      </c>
      <c r="AK109" s="0" t="n">
        <f aca="false">Offre!$E$36*(Offre!$C$36^Param!$B$3)*1_Friction!AK109</f>
        <v>0</v>
      </c>
      <c r="AL109" s="0" t="n">
        <f aca="false">Offre!$E$37*(Offre!$C$37^Param!$B$3)*1_Friction!AL109</f>
        <v>0</v>
      </c>
      <c r="AM109" s="0" t="n">
        <f aca="false">Offre!$E$38*(Offre!$C$38^Param!$B$3)*1_Friction!AM109</f>
        <v>0.863579850847017</v>
      </c>
      <c r="AN109" s="0" t="n">
        <f aca="false">Offre!$E$39*(Offre!$C$39^Param!$B$3)*1_Friction!AN109</f>
        <v>0</v>
      </c>
      <c r="AO109" s="0" t="n">
        <f aca="false">SUM(C109:AN109)</f>
        <v>377.270801580657</v>
      </c>
    </row>
    <row r="110" customFormat="false" ht="15" hidden="false" customHeight="true" outlineLevel="0" collapsed="false">
      <c r="A110" s="0" t="s">
        <v>318</v>
      </c>
      <c r="B110" s="0" t="s">
        <v>319</v>
      </c>
      <c r="C110" s="0" t="n">
        <f aca="false">Offre!$E$2*(Offre!$C$2^Param!$B$3)*1_Friction!C110</f>
        <v>1.09066569303936</v>
      </c>
      <c r="D110" s="0" t="n">
        <f aca="false">Offre!$E$3*(Offre!$C$3^Param!$B$3)*1_Friction!D110</f>
        <v>0.411316483667482</v>
      </c>
      <c r="E110" s="0" t="n">
        <f aca="false">Offre!$E$4*(Offre!$C$4^Param!$B$3)*1_Friction!E110</f>
        <v>4.05932186675217</v>
      </c>
      <c r="F110" s="0" t="n">
        <f aca="false">Offre!$E$5*(Offre!$C$5^Param!$B$3)*1_Friction!F110</f>
        <v>0.748428824187367</v>
      </c>
      <c r="G110" s="0" t="n">
        <f aca="false">Offre!$E$6*(Offre!$C$6^Param!$B$3)*1_Friction!G110</f>
        <v>1.97324750632928</v>
      </c>
      <c r="H110" s="0" t="n">
        <f aca="false">Offre!$E$7*(Offre!$C$7^Param!$B$3)*1_Friction!H110</f>
        <v>0.573937076893521</v>
      </c>
      <c r="I110" s="0" t="n">
        <f aca="false">Offre!$E$8*(Offre!$C$8^Param!$B$3)*1_Friction!I110</f>
        <v>1.13318663353172</v>
      </c>
      <c r="J110" s="0" t="n">
        <f aca="false">Offre!$E$9*(Offre!$C$9^Param!$B$3)*1_Friction!J110</f>
        <v>0.866515220531124</v>
      </c>
      <c r="K110" s="0" t="n">
        <f aca="false">Offre!$E$10*(Offre!$C$10^Param!$B$3)*1_Friction!K110</f>
        <v>0.532832318362139</v>
      </c>
      <c r="L110" s="0" t="n">
        <f aca="false">Offre!$E$11*(Offre!$C$11^Param!$B$3)*1_Friction!L110</f>
        <v>0.567556274107437</v>
      </c>
      <c r="M110" s="0" t="n">
        <f aca="false">Offre!$E$12*(Offre!$C$12^Param!$B$3)*1_Friction!M110</f>
        <v>3.32096991176415</v>
      </c>
      <c r="N110" s="0" t="n">
        <f aca="false">Offre!$E$13*(Offre!$C$13^Param!$B$3)*1_Friction!N110</f>
        <v>0.412687174785553</v>
      </c>
      <c r="O110" s="0" t="n">
        <f aca="false">Offre!$E$14*(Offre!$C$14^Param!$B$3)*1_Friction!O110</f>
        <v>1.28215280955115</v>
      </c>
      <c r="P110" s="0" t="n">
        <f aca="false">Offre!$E$15*(Offre!$C$15^Param!$B$3)*1_Friction!P110</f>
        <v>0.617465244380042</v>
      </c>
      <c r="Q110" s="0" t="n">
        <f aca="false">Offre!$E$16*(Offre!$C$16^Param!$B$3)*1_Friction!Q110</f>
        <v>5.2964262457841</v>
      </c>
      <c r="R110" s="0" t="n">
        <f aca="false">Offre!$E$17*(Offre!$C$17^Param!$B$3)*1_Friction!R110</f>
        <v>0.698348983128644</v>
      </c>
      <c r="S110" s="0" t="n">
        <f aca="false">Offre!$E$18*(Offre!$C$18^Param!$B$3)*1_Friction!S110</f>
        <v>0.511282675456903</v>
      </c>
      <c r="T110" s="0" t="n">
        <f aca="false">Offre!$E$19*(Offre!$C$19^Param!$B$3)*1_Friction!T110</f>
        <v>6.02438185925043</v>
      </c>
      <c r="U110" s="0" t="n">
        <f aca="false">Offre!$E$20*(Offre!$C$20^Param!$B$3)*1_Friction!U110</f>
        <v>13.6214282629848</v>
      </c>
      <c r="V110" s="0" t="n">
        <f aca="false">Offre!$E$21*(Offre!$C$21^Param!$B$3)*1_Friction!V110</f>
        <v>85.175488287103</v>
      </c>
      <c r="W110" s="0" t="n">
        <f aca="false">Offre!$E$22*(Offre!$C$22^Param!$B$3)*1_Friction!W110</f>
        <v>15.6535775813326</v>
      </c>
      <c r="X110" s="0" t="n">
        <f aca="false">Offre!$E$23*(Offre!$C$23^Param!$B$3)*1_Friction!X110</f>
        <v>21.6637453443368</v>
      </c>
      <c r="Y110" s="0" t="n">
        <f aca="false">Offre!$E$24*(Offre!$C$24^Param!$B$3)*1_Friction!Y110</f>
        <v>14.2961451696944</v>
      </c>
      <c r="Z110" s="0" t="n">
        <f aca="false">Offre!$E$25*(Offre!$C$25^Param!$B$3)*1_Friction!Z110</f>
        <v>35.2290381074541</v>
      </c>
      <c r="AA110" s="0" t="n">
        <f aca="false">Offre!$E$26*(Offre!$C$26^Param!$B$3)*1_Friction!AA110</f>
        <v>69.3015351530236</v>
      </c>
      <c r="AB110" s="0" t="n">
        <f aca="false">Offre!$E$27*(Offre!$C$27^Param!$B$3)*1_Friction!AB110</f>
        <v>30.5412998626815</v>
      </c>
      <c r="AC110" s="0" t="n">
        <f aca="false">Offre!$E$28*(Offre!$C$28^Param!$B$3)*1_Friction!AC110</f>
        <v>0</v>
      </c>
      <c r="AD110" s="0" t="n">
        <f aca="false">Offre!$E$29*(Offre!$C$29^Param!$B$3)*1_Friction!AD110</f>
        <v>0</v>
      </c>
      <c r="AE110" s="0" t="n">
        <f aca="false">Offre!$E$30*(Offre!$C$30^Param!$B$3)*1_Friction!AE110</f>
        <v>0</v>
      </c>
      <c r="AF110" s="0" t="n">
        <f aca="false">Offre!$E$31*(Offre!$C$31^Param!$B$3)*1_Friction!AF110</f>
        <v>0</v>
      </c>
      <c r="AG110" s="0" t="n">
        <f aca="false">Offre!$E$32*(Offre!$C$32^Param!$B$3)*1_Friction!AG110</f>
        <v>0</v>
      </c>
      <c r="AH110" s="0" t="n">
        <f aca="false">Offre!$E$33*(Offre!$C$33^Param!$B$3)*1_Friction!AH110</f>
        <v>1.57510404042822</v>
      </c>
      <c r="AI110" s="0" t="n">
        <f aca="false">Offre!$E$34*(Offre!$C$34^Param!$B$3)*1_Friction!AI110</f>
        <v>2.53439660135249</v>
      </c>
      <c r="AJ110" s="0" t="n">
        <f aca="false">Offre!$E$35*(Offre!$C$35^Param!$B$3)*1_Friction!AJ110</f>
        <v>32.749151646471</v>
      </c>
      <c r="AK110" s="0" t="n">
        <f aca="false">Offre!$E$36*(Offre!$C$36^Param!$B$3)*1_Friction!AK110</f>
        <v>0</v>
      </c>
      <c r="AL110" s="0" t="n">
        <f aca="false">Offre!$E$37*(Offre!$C$37^Param!$B$3)*1_Friction!AL110</f>
        <v>0</v>
      </c>
      <c r="AM110" s="0" t="n">
        <f aca="false">Offre!$E$38*(Offre!$C$38^Param!$B$3)*1_Friction!AM110</f>
        <v>2.5379193058278</v>
      </c>
      <c r="AN110" s="0" t="n">
        <f aca="false">Offre!$E$39*(Offre!$C$39^Param!$B$3)*1_Friction!AN110</f>
        <v>0</v>
      </c>
      <c r="AO110" s="0" t="n">
        <f aca="false">SUM(C110:AN110)</f>
        <v>354.999552164193</v>
      </c>
    </row>
    <row r="111" customFormat="false" ht="15" hidden="false" customHeight="true" outlineLevel="0" collapsed="false">
      <c r="A111" s="0" t="s">
        <v>320</v>
      </c>
      <c r="B111" s="0" t="s">
        <v>321</v>
      </c>
      <c r="C111" s="0" t="n">
        <f aca="false">Offre!$E$2*(Offre!$C$2^Param!$B$3)*1_Friction!C111</f>
        <v>0</v>
      </c>
      <c r="D111" s="0" t="n">
        <f aca="false">Offre!$E$3*(Offre!$C$3^Param!$B$3)*1_Friction!D111</f>
        <v>0</v>
      </c>
      <c r="E111" s="0" t="n">
        <f aca="false">Offre!$E$4*(Offre!$C$4^Param!$B$3)*1_Friction!E111</f>
        <v>0</v>
      </c>
      <c r="F111" s="0" t="n">
        <f aca="false">Offre!$E$5*(Offre!$C$5^Param!$B$3)*1_Friction!F111</f>
        <v>0</v>
      </c>
      <c r="G111" s="0" t="n">
        <f aca="false">Offre!$E$6*(Offre!$C$6^Param!$B$3)*1_Friction!G111</f>
        <v>0</v>
      </c>
      <c r="H111" s="0" t="n">
        <f aca="false">Offre!$E$7*(Offre!$C$7^Param!$B$3)*1_Friction!H111</f>
        <v>0</v>
      </c>
      <c r="I111" s="0" t="n">
        <f aca="false">Offre!$E$8*(Offre!$C$8^Param!$B$3)*1_Friction!I111</f>
        <v>0</v>
      </c>
      <c r="J111" s="0" t="n">
        <f aca="false">Offre!$E$9*(Offre!$C$9^Param!$B$3)*1_Friction!J111</f>
        <v>0</v>
      </c>
      <c r="K111" s="0" t="n">
        <f aca="false">Offre!$E$10*(Offre!$C$10^Param!$B$3)*1_Friction!K111</f>
        <v>0</v>
      </c>
      <c r="L111" s="0" t="n">
        <f aca="false">Offre!$E$11*(Offre!$C$11^Param!$B$3)*1_Friction!L111</f>
        <v>0</v>
      </c>
      <c r="M111" s="0" t="n">
        <f aca="false">Offre!$E$12*(Offre!$C$12^Param!$B$3)*1_Friction!M111</f>
        <v>0</v>
      </c>
      <c r="N111" s="0" t="n">
        <f aca="false">Offre!$E$13*(Offre!$C$13^Param!$B$3)*1_Friction!N111</f>
        <v>0</v>
      </c>
      <c r="O111" s="0" t="n">
        <f aca="false">Offre!$E$14*(Offre!$C$14^Param!$B$3)*1_Friction!O111</f>
        <v>0</v>
      </c>
      <c r="P111" s="0" t="n">
        <f aca="false">Offre!$E$15*(Offre!$C$15^Param!$B$3)*1_Friction!P111</f>
        <v>0</v>
      </c>
      <c r="Q111" s="0" t="n">
        <f aca="false">Offre!$E$16*(Offre!$C$16^Param!$B$3)*1_Friction!Q111</f>
        <v>0</v>
      </c>
      <c r="R111" s="0" t="n">
        <f aca="false">Offre!$E$17*(Offre!$C$17^Param!$B$3)*1_Friction!R111</f>
        <v>0</v>
      </c>
      <c r="S111" s="0" t="n">
        <f aca="false">Offre!$E$18*(Offre!$C$18^Param!$B$3)*1_Friction!S111</f>
        <v>0</v>
      </c>
      <c r="T111" s="0" t="n">
        <f aca="false">Offre!$E$19*(Offre!$C$19^Param!$B$3)*1_Friction!T111</f>
        <v>0</v>
      </c>
      <c r="U111" s="0" t="n">
        <f aca="false">Offre!$E$20*(Offre!$C$20^Param!$B$3)*1_Friction!U111</f>
        <v>3.4402691841681</v>
      </c>
      <c r="V111" s="0" t="n">
        <f aca="false">Offre!$E$21*(Offre!$C$21^Param!$B$3)*1_Friction!V111</f>
        <v>0</v>
      </c>
      <c r="W111" s="0" t="n">
        <f aca="false">Offre!$E$22*(Offre!$C$22^Param!$B$3)*1_Friction!W111</f>
        <v>0</v>
      </c>
      <c r="X111" s="0" t="n">
        <f aca="false">Offre!$E$23*(Offre!$C$23^Param!$B$3)*1_Friction!X111</f>
        <v>0.303492757818372</v>
      </c>
      <c r="Y111" s="0" t="n">
        <f aca="false">Offre!$E$24*(Offre!$C$24^Param!$B$3)*1_Friction!Y111</f>
        <v>0.202124185518588</v>
      </c>
      <c r="Z111" s="0" t="n">
        <f aca="false">Offre!$E$25*(Offre!$C$25^Param!$B$3)*1_Friction!Z111</f>
        <v>0.490695298044967</v>
      </c>
      <c r="AA111" s="0" t="n">
        <f aca="false">Offre!$E$26*(Offre!$C$26^Param!$B$3)*1_Friction!AA111</f>
        <v>1.03330912007314</v>
      </c>
      <c r="AB111" s="0" t="n">
        <f aca="false">Offre!$E$27*(Offre!$C$27^Param!$B$3)*1_Friction!AB111</f>
        <v>0.525908043690592</v>
      </c>
      <c r="AC111" s="0" t="n">
        <f aca="false">Offre!$E$28*(Offre!$C$28^Param!$B$3)*1_Friction!AC111</f>
        <v>0</v>
      </c>
      <c r="AD111" s="0" t="n">
        <f aca="false">Offre!$E$29*(Offre!$C$29^Param!$B$3)*1_Friction!AD111</f>
        <v>0</v>
      </c>
      <c r="AE111" s="0" t="n">
        <f aca="false">Offre!$E$30*(Offre!$C$30^Param!$B$3)*1_Friction!AE111</f>
        <v>0</v>
      </c>
      <c r="AF111" s="0" t="n">
        <f aca="false">Offre!$E$31*(Offre!$C$31^Param!$B$3)*1_Friction!AF111</f>
        <v>0</v>
      </c>
      <c r="AG111" s="0" t="n">
        <f aca="false">Offre!$E$32*(Offre!$C$32^Param!$B$3)*1_Friction!AG111</f>
        <v>0</v>
      </c>
      <c r="AH111" s="0" t="n">
        <f aca="false">Offre!$E$33*(Offre!$C$33^Param!$B$3)*1_Friction!AH111</f>
        <v>0</v>
      </c>
      <c r="AI111" s="0" t="n">
        <f aca="false">Offre!$E$34*(Offre!$C$34^Param!$B$3)*1_Friction!AI111</f>
        <v>0</v>
      </c>
      <c r="AJ111" s="0" t="n">
        <f aca="false">Offre!$E$35*(Offre!$C$35^Param!$B$3)*1_Friction!AJ111</f>
        <v>0.423192445198882</v>
      </c>
      <c r="AK111" s="0" t="n">
        <f aca="false">Offre!$E$36*(Offre!$C$36^Param!$B$3)*1_Friction!AK111</f>
        <v>0</v>
      </c>
      <c r="AL111" s="0" t="n">
        <f aca="false">Offre!$E$37*(Offre!$C$37^Param!$B$3)*1_Friction!AL111</f>
        <v>0</v>
      </c>
      <c r="AM111" s="0" t="n">
        <f aca="false">Offre!$E$38*(Offre!$C$38^Param!$B$3)*1_Friction!AM111</f>
        <v>0</v>
      </c>
      <c r="AN111" s="0" t="n">
        <f aca="false">Offre!$E$39*(Offre!$C$39^Param!$B$3)*1_Friction!AN111</f>
        <v>0</v>
      </c>
      <c r="AO111" s="0" t="n">
        <f aca="false">SUM(C111:AN111)</f>
        <v>6.41899103451265</v>
      </c>
    </row>
    <row r="112" customFormat="false" ht="15" hidden="false" customHeight="true" outlineLevel="0" collapsed="false">
      <c r="A112" s="0" t="s">
        <v>322</v>
      </c>
      <c r="B112" s="0" t="s">
        <v>323</v>
      </c>
      <c r="C112" s="0" t="n">
        <f aca="false">Offre!$E$2*(Offre!$C$2^Param!$B$3)*1_Friction!C112</f>
        <v>0</v>
      </c>
      <c r="D112" s="0" t="n">
        <f aca="false">Offre!$E$3*(Offre!$C$3^Param!$B$3)*1_Friction!D112</f>
        <v>0</v>
      </c>
      <c r="E112" s="0" t="n">
        <f aca="false">Offre!$E$4*(Offre!$C$4^Param!$B$3)*1_Friction!E112</f>
        <v>0</v>
      </c>
      <c r="F112" s="0" t="n">
        <f aca="false">Offre!$E$5*(Offre!$C$5^Param!$B$3)*1_Friction!F112</f>
        <v>0</v>
      </c>
      <c r="G112" s="0" t="n">
        <f aca="false">Offre!$E$6*(Offre!$C$6^Param!$B$3)*1_Friction!G112</f>
        <v>0</v>
      </c>
      <c r="H112" s="0" t="n">
        <f aca="false">Offre!$E$7*(Offre!$C$7^Param!$B$3)*1_Friction!H112</f>
        <v>0</v>
      </c>
      <c r="I112" s="0" t="n">
        <f aca="false">Offre!$E$8*(Offre!$C$8^Param!$B$3)*1_Friction!I112</f>
        <v>0</v>
      </c>
      <c r="J112" s="0" t="n">
        <f aca="false">Offre!$E$9*(Offre!$C$9^Param!$B$3)*1_Friction!J112</f>
        <v>0</v>
      </c>
      <c r="K112" s="0" t="n">
        <f aca="false">Offre!$E$10*(Offre!$C$10^Param!$B$3)*1_Friction!K112</f>
        <v>0</v>
      </c>
      <c r="L112" s="0" t="n">
        <f aca="false">Offre!$E$11*(Offre!$C$11^Param!$B$3)*1_Friction!L112</f>
        <v>0</v>
      </c>
      <c r="M112" s="0" t="n">
        <f aca="false">Offre!$E$12*(Offre!$C$12^Param!$B$3)*1_Friction!M112</f>
        <v>0</v>
      </c>
      <c r="N112" s="0" t="n">
        <f aca="false">Offre!$E$13*(Offre!$C$13^Param!$B$3)*1_Friction!N112</f>
        <v>0</v>
      </c>
      <c r="O112" s="0" t="n">
        <f aca="false">Offre!$E$14*(Offre!$C$14^Param!$B$3)*1_Friction!O112</f>
        <v>0</v>
      </c>
      <c r="P112" s="0" t="n">
        <f aca="false">Offre!$E$15*(Offre!$C$15^Param!$B$3)*1_Friction!P112</f>
        <v>0</v>
      </c>
      <c r="Q112" s="0" t="n">
        <f aca="false">Offre!$E$16*(Offre!$C$16^Param!$B$3)*1_Friction!Q112</f>
        <v>0</v>
      </c>
      <c r="R112" s="0" t="n">
        <f aca="false">Offre!$E$17*(Offre!$C$17^Param!$B$3)*1_Friction!R112</f>
        <v>0</v>
      </c>
      <c r="S112" s="0" t="n">
        <f aca="false">Offre!$E$18*(Offre!$C$18^Param!$B$3)*1_Friction!S112</f>
        <v>0</v>
      </c>
      <c r="T112" s="0" t="n">
        <f aca="false">Offre!$E$19*(Offre!$C$19^Param!$B$3)*1_Friction!T112</f>
        <v>0.159587732623285</v>
      </c>
      <c r="U112" s="0" t="n">
        <f aca="false">Offre!$E$20*(Offre!$C$20^Param!$B$3)*1_Friction!U112</f>
        <v>5.9588967082191</v>
      </c>
      <c r="V112" s="0" t="n">
        <f aca="false">Offre!$E$21*(Offre!$C$21^Param!$B$3)*1_Friction!V112</f>
        <v>2.20098321562769</v>
      </c>
      <c r="W112" s="0" t="n">
        <f aca="false">Offre!$E$22*(Offre!$C$22^Param!$B$3)*1_Friction!W112</f>
        <v>0.466719854817014</v>
      </c>
      <c r="X112" s="0" t="n">
        <f aca="false">Offre!$E$23*(Offre!$C$23^Param!$B$3)*1_Friction!X112</f>
        <v>0.72081823404346</v>
      </c>
      <c r="Y112" s="0" t="n">
        <f aca="false">Offre!$E$24*(Offre!$C$24^Param!$B$3)*1_Friction!Y112</f>
        <v>0.480109454325785</v>
      </c>
      <c r="Z112" s="0" t="n">
        <f aca="false">Offre!$E$25*(Offre!$C$25^Param!$B$3)*1_Friction!Z112</f>
        <v>1.16902991543953</v>
      </c>
      <c r="AA112" s="0" t="n">
        <f aca="false">Offre!$E$26*(Offre!$C$26^Param!$B$3)*1_Friction!AA112</f>
        <v>2.44890696955634</v>
      </c>
      <c r="AB112" s="0" t="n">
        <f aca="false">Offre!$E$27*(Offre!$C$27^Param!$B$3)*1_Friction!AB112</f>
        <v>1.23075900836991</v>
      </c>
      <c r="AC112" s="0" t="n">
        <f aca="false">Offre!$E$28*(Offre!$C$28^Param!$B$3)*1_Friction!AC112</f>
        <v>0</v>
      </c>
      <c r="AD112" s="0" t="n">
        <f aca="false">Offre!$E$29*(Offre!$C$29^Param!$B$3)*1_Friction!AD112</f>
        <v>0</v>
      </c>
      <c r="AE112" s="0" t="n">
        <f aca="false">Offre!$E$30*(Offre!$C$30^Param!$B$3)*1_Friction!AE112</f>
        <v>0</v>
      </c>
      <c r="AF112" s="0" t="n">
        <f aca="false">Offre!$E$31*(Offre!$C$31^Param!$B$3)*1_Friction!AF112</f>
        <v>0</v>
      </c>
      <c r="AG112" s="0" t="n">
        <f aca="false">Offre!$E$32*(Offre!$C$32^Param!$B$3)*1_Friction!AG112</f>
        <v>0</v>
      </c>
      <c r="AH112" s="0" t="n">
        <f aca="false">Offre!$E$33*(Offre!$C$33^Param!$B$3)*1_Friction!AH112</f>
        <v>0</v>
      </c>
      <c r="AI112" s="0" t="n">
        <f aca="false">Offre!$E$34*(Offre!$C$34^Param!$B$3)*1_Friction!AI112</f>
        <v>0</v>
      </c>
      <c r="AJ112" s="0" t="n">
        <f aca="false">Offre!$E$35*(Offre!$C$35^Param!$B$3)*1_Friction!AJ112</f>
        <v>1.01381092706966</v>
      </c>
      <c r="AK112" s="0" t="n">
        <f aca="false">Offre!$E$36*(Offre!$C$36^Param!$B$3)*1_Friction!AK112</f>
        <v>0</v>
      </c>
      <c r="AL112" s="0" t="n">
        <f aca="false">Offre!$E$37*(Offre!$C$37^Param!$B$3)*1_Friction!AL112</f>
        <v>0</v>
      </c>
      <c r="AM112" s="0" t="n">
        <f aca="false">Offre!$E$38*(Offre!$C$38^Param!$B$3)*1_Friction!AM112</f>
        <v>0</v>
      </c>
      <c r="AN112" s="0" t="n">
        <f aca="false">Offre!$E$39*(Offre!$C$39^Param!$B$3)*1_Friction!AN112</f>
        <v>0</v>
      </c>
      <c r="AO112" s="0" t="n">
        <f aca="false">SUM(C112:AN112)</f>
        <v>15.8496220200918</v>
      </c>
    </row>
    <row r="113" customFormat="false" ht="15" hidden="false" customHeight="true" outlineLevel="0" collapsed="false">
      <c r="A113" s="0" t="s">
        <v>324</v>
      </c>
      <c r="B113" s="0" t="s">
        <v>325</v>
      </c>
      <c r="C113" s="0" t="n">
        <f aca="false">Offre!$E$2*(Offre!$C$2^Param!$B$3)*1_Friction!C113</f>
        <v>0.365317616587222</v>
      </c>
      <c r="D113" s="0" t="n">
        <f aca="false">Offre!$E$3*(Offre!$C$3^Param!$B$3)*1_Friction!D113</f>
        <v>1.33809501845323</v>
      </c>
      <c r="E113" s="0" t="n">
        <f aca="false">Offre!$E$4*(Offre!$C$4^Param!$B$3)*1_Friction!E113</f>
        <v>15.138436346957</v>
      </c>
      <c r="F113" s="0" t="n">
        <f aca="false">Offre!$E$5*(Offre!$C$5^Param!$B$3)*1_Friction!F113</f>
        <v>2.7762039595887</v>
      </c>
      <c r="G113" s="0" t="n">
        <f aca="false">Offre!$E$6*(Offre!$C$6^Param!$B$3)*1_Friction!G113</f>
        <v>7.76870047614928</v>
      </c>
      <c r="H113" s="0" t="n">
        <f aca="false">Offre!$E$7*(Offre!$C$7^Param!$B$3)*1_Friction!H113</f>
        <v>2.04862516735998</v>
      </c>
      <c r="I113" s="0" t="n">
        <f aca="false">Offre!$E$8*(Offre!$C$8^Param!$B$3)*1_Friction!I113</f>
        <v>4.66834426349236</v>
      </c>
      <c r="J113" s="0" t="n">
        <f aca="false">Offre!$E$9*(Offre!$C$9^Param!$B$3)*1_Friction!J113</f>
        <v>3.56983461872776</v>
      </c>
      <c r="K113" s="0" t="n">
        <f aca="false">Offre!$E$10*(Offre!$C$10^Param!$B$3)*1_Friction!K113</f>
        <v>2.1300657195543</v>
      </c>
      <c r="L113" s="0" t="n">
        <f aca="false">Offre!$E$11*(Offre!$C$11^Param!$B$3)*1_Friction!L113</f>
        <v>2.33712274269464</v>
      </c>
      <c r="M113" s="0" t="n">
        <f aca="false">Offre!$E$12*(Offre!$C$12^Param!$B$3)*1_Friction!M113</f>
        <v>13.443291243265</v>
      </c>
      <c r="N113" s="0" t="n">
        <f aca="false">Offre!$E$13*(Offre!$C$13^Param!$B$3)*1_Friction!N113</f>
        <v>1.65404113392379</v>
      </c>
      <c r="O113" s="0" t="n">
        <f aca="false">Offre!$E$14*(Offre!$C$14^Param!$B$3)*1_Friction!O113</f>
        <v>5.32015344791719</v>
      </c>
      <c r="P113" s="0" t="n">
        <f aca="false">Offre!$E$15*(Offre!$C$15^Param!$B$3)*1_Friction!P113</f>
        <v>2.64539508264567</v>
      </c>
      <c r="Q113" s="0" t="n">
        <f aca="false">Offre!$E$16*(Offre!$C$16^Param!$B$3)*1_Friction!Q113</f>
        <v>23.4895184833711</v>
      </c>
      <c r="R113" s="0" t="n">
        <f aca="false">Offre!$E$17*(Offre!$C$17^Param!$B$3)*1_Friction!R113</f>
        <v>3.09261204746811</v>
      </c>
      <c r="S113" s="0" t="n">
        <f aca="false">Offre!$E$18*(Offre!$C$18^Param!$B$3)*1_Friction!S113</f>
        <v>2.2340030849233</v>
      </c>
      <c r="T113" s="0" t="n">
        <f aca="false">Offre!$E$19*(Offre!$C$19^Param!$B$3)*1_Friction!T113</f>
        <v>3.06614866467363</v>
      </c>
      <c r="U113" s="0" t="n">
        <f aca="false">Offre!$E$20*(Offre!$C$20^Param!$B$3)*1_Friction!U113</f>
        <v>15.208270649467</v>
      </c>
      <c r="V113" s="0" t="n">
        <f aca="false">Offre!$E$21*(Offre!$C$21^Param!$B$3)*1_Friction!V113</f>
        <v>15.1603317864578</v>
      </c>
      <c r="W113" s="0" t="n">
        <f aca="false">Offre!$E$22*(Offre!$C$22^Param!$B$3)*1_Friction!W113</f>
        <v>3.30175594160751</v>
      </c>
      <c r="X113" s="0" t="n">
        <f aca="false">Offre!$E$23*(Offre!$C$23^Param!$B$3)*1_Friction!X113</f>
        <v>4.90856425226734</v>
      </c>
      <c r="Y113" s="0" t="n">
        <f aca="false">Offre!$E$24*(Offre!$C$24^Param!$B$3)*1_Friction!Y113</f>
        <v>3.26830277644354</v>
      </c>
      <c r="Z113" s="0" t="n">
        <f aca="false">Offre!$E$25*(Offre!$C$25^Param!$B$3)*1_Friction!Z113</f>
        <v>8.02410289450842</v>
      </c>
      <c r="AA113" s="0" t="n">
        <f aca="false">Offre!$E$26*(Offre!$C$26^Param!$B$3)*1_Friction!AA113</f>
        <v>16.5768173173888</v>
      </c>
      <c r="AB113" s="0" t="n">
        <f aca="false">Offre!$E$27*(Offre!$C$27^Param!$B$3)*1_Friction!AB113</f>
        <v>8.03916329581143</v>
      </c>
      <c r="AC113" s="0" t="n">
        <f aca="false">Offre!$E$28*(Offre!$C$28^Param!$B$3)*1_Friction!AC113</f>
        <v>0</v>
      </c>
      <c r="AD113" s="0" t="n">
        <f aca="false">Offre!$E$29*(Offre!$C$29^Param!$B$3)*1_Friction!AD113</f>
        <v>0</v>
      </c>
      <c r="AE113" s="0" t="n">
        <f aca="false">Offre!$E$30*(Offre!$C$30^Param!$B$3)*1_Friction!AE113</f>
        <v>0</v>
      </c>
      <c r="AF113" s="0" t="n">
        <f aca="false">Offre!$E$31*(Offre!$C$31^Param!$B$3)*1_Friction!AF113</f>
        <v>0</v>
      </c>
      <c r="AG113" s="0" t="n">
        <f aca="false">Offre!$E$32*(Offre!$C$32^Param!$B$3)*1_Friction!AG113</f>
        <v>0</v>
      </c>
      <c r="AH113" s="0" t="n">
        <f aca="false">Offre!$E$33*(Offre!$C$33^Param!$B$3)*1_Friction!AH113</f>
        <v>8.11525570264127</v>
      </c>
      <c r="AI113" s="0" t="n">
        <f aca="false">Offre!$E$34*(Offre!$C$34^Param!$B$3)*1_Friction!AI113</f>
        <v>1.2545179329839</v>
      </c>
      <c r="AJ113" s="0" t="n">
        <f aca="false">Offre!$E$35*(Offre!$C$35^Param!$B$3)*1_Friction!AJ113</f>
        <v>7.06659983115176</v>
      </c>
      <c r="AK113" s="0" t="n">
        <f aca="false">Offre!$E$36*(Offre!$C$36^Param!$B$3)*1_Friction!AK113</f>
        <v>0</v>
      </c>
      <c r="AL113" s="0" t="n">
        <f aca="false">Offre!$E$37*(Offre!$C$37^Param!$B$3)*1_Friction!AL113</f>
        <v>0</v>
      </c>
      <c r="AM113" s="0" t="n">
        <f aca="false">Offre!$E$38*(Offre!$C$38^Param!$B$3)*1_Friction!AM113</f>
        <v>0.84000191963486</v>
      </c>
      <c r="AN113" s="0" t="n">
        <f aca="false">Offre!$E$39*(Offre!$C$39^Param!$B$3)*1_Friction!AN113</f>
        <v>0</v>
      </c>
      <c r="AO113" s="0" t="n">
        <f aca="false">SUM(C113:AN113)</f>
        <v>188.849593418116</v>
      </c>
    </row>
    <row r="114" customFormat="false" ht="15" hidden="false" customHeight="true" outlineLevel="0" collapsed="false">
      <c r="A114" s="0" t="s">
        <v>326</v>
      </c>
      <c r="B114" s="0" t="s">
        <v>327</v>
      </c>
      <c r="C114" s="0" t="n">
        <f aca="false">Offre!$E$2*(Offre!$C$2^Param!$B$3)*1_Friction!C114</f>
        <v>1.29785388280896</v>
      </c>
      <c r="D114" s="0" t="n">
        <f aca="false">Offre!$E$3*(Offre!$C$3^Param!$B$3)*1_Friction!D114</f>
        <v>0.564435520584615</v>
      </c>
      <c r="E114" s="0" t="n">
        <f aca="false">Offre!$E$4*(Offre!$C$4^Param!$B$3)*1_Friction!E114</f>
        <v>5.60019936788427</v>
      </c>
      <c r="F114" s="0" t="n">
        <f aca="false">Offre!$E$5*(Offre!$C$5^Param!$B$3)*1_Friction!F114</f>
        <v>1.03129878264191</v>
      </c>
      <c r="G114" s="0" t="n">
        <f aca="false">Offre!$E$6*(Offre!$C$6^Param!$B$3)*1_Friction!G114</f>
        <v>2.72994987992133</v>
      </c>
      <c r="H114" s="0" t="n">
        <f aca="false">Offre!$E$7*(Offre!$C$7^Param!$B$3)*1_Friction!H114</f>
        <v>0.784646174567117</v>
      </c>
      <c r="I114" s="0" t="n">
        <f aca="false">Offre!$E$8*(Offre!$C$8^Param!$B$3)*1_Friction!I114</f>
        <v>1.56197786547175</v>
      </c>
      <c r="J114" s="0" t="n">
        <f aca="false">Offre!$E$9*(Offre!$C$9^Param!$B$3)*1_Friction!J114</f>
        <v>1.19622496622186</v>
      </c>
      <c r="K114" s="0" t="n">
        <f aca="false">Offre!$E$10*(Offre!$C$10^Param!$B$3)*1_Friction!K114</f>
        <v>0.736190716134117</v>
      </c>
      <c r="L114" s="0" t="n">
        <f aca="false">Offre!$E$11*(Offre!$C$11^Param!$B$3)*1_Friction!L114</f>
        <v>0.782247241078193</v>
      </c>
      <c r="M114" s="0" t="n">
        <f aca="false">Offre!$E$12*(Offre!$C$12^Param!$B$3)*1_Friction!M114</f>
        <v>4.55504212485</v>
      </c>
      <c r="N114" s="0" t="n">
        <f aca="false">Offre!$E$13*(Offre!$C$13^Param!$B$3)*1_Friction!N114</f>
        <v>0.568587933672055</v>
      </c>
      <c r="O114" s="0" t="n">
        <f aca="false">Offre!$E$14*(Offre!$C$14^Param!$B$3)*1_Friction!O114</f>
        <v>1.76868937188023</v>
      </c>
      <c r="P114" s="0" t="n">
        <f aca="false">Offre!$E$15*(Offre!$C$15^Param!$B$3)*1_Friction!P114</f>
        <v>0.852839549444529</v>
      </c>
      <c r="Q114" s="0" t="n">
        <f aca="false">Offre!$E$16*(Offre!$C$16^Param!$B$3)*1_Friction!Q114</f>
        <v>7.32009107590635</v>
      </c>
      <c r="R114" s="0" t="n">
        <f aca="false">Offre!$E$17*(Offre!$C$17^Param!$B$3)*1_Friction!R114</f>
        <v>0.965727292259444</v>
      </c>
      <c r="S114" s="0" t="n">
        <f aca="false">Offre!$E$18*(Offre!$C$18^Param!$B$3)*1_Friction!S114</f>
        <v>0.7079102298222</v>
      </c>
      <c r="T114" s="0" t="n">
        <f aca="false">Offre!$E$19*(Offre!$C$19^Param!$B$3)*1_Friction!T114</f>
        <v>6.65942661952179</v>
      </c>
      <c r="U114" s="0" t="n">
        <f aca="false">Offre!$E$20*(Offre!$C$20^Param!$B$3)*1_Friction!U114</f>
        <v>15.6829580533615</v>
      </c>
      <c r="V114" s="0" t="n">
        <f aca="false">Offre!$E$21*(Offre!$C$21^Param!$B$3)*1_Friction!V114</f>
        <v>14.6579196141504</v>
      </c>
      <c r="W114" s="0" t="n">
        <f aca="false">Offre!$E$22*(Offre!$C$22^Param!$B$3)*1_Friction!W114</f>
        <v>2.92254671542754</v>
      </c>
      <c r="X114" s="0" t="n">
        <f aca="false">Offre!$E$23*(Offre!$C$23^Param!$B$3)*1_Friction!X114</f>
        <v>4.2518553401725</v>
      </c>
      <c r="Y114" s="0" t="n">
        <f aca="false">Offre!$E$24*(Offre!$C$24^Param!$B$3)*1_Friction!Y114</f>
        <v>2.75454510237573</v>
      </c>
      <c r="Z114" s="0" t="n">
        <f aca="false">Offre!$E$25*(Offre!$C$25^Param!$B$3)*1_Friction!Z114</f>
        <v>6.60280639374476</v>
      </c>
      <c r="AA114" s="0" t="n">
        <f aca="false">Offre!$E$26*(Offre!$C$26^Param!$B$3)*1_Friction!AA114</f>
        <v>14.7415022819987</v>
      </c>
      <c r="AB114" s="0" t="n">
        <f aca="false">Offre!$E$27*(Offre!$C$27^Param!$B$3)*1_Friction!AB114</f>
        <v>6.28319201288003</v>
      </c>
      <c r="AC114" s="0" t="n">
        <f aca="false">Offre!$E$28*(Offre!$C$28^Param!$B$3)*1_Friction!AC114</f>
        <v>0</v>
      </c>
      <c r="AD114" s="0" t="n">
        <f aca="false">Offre!$E$29*(Offre!$C$29^Param!$B$3)*1_Friction!AD114</f>
        <v>0</v>
      </c>
      <c r="AE114" s="0" t="n">
        <f aca="false">Offre!$E$30*(Offre!$C$30^Param!$B$3)*1_Friction!AE114</f>
        <v>0</v>
      </c>
      <c r="AF114" s="0" t="n">
        <f aca="false">Offre!$E$31*(Offre!$C$31^Param!$B$3)*1_Friction!AF114</f>
        <v>0</v>
      </c>
      <c r="AG114" s="0" t="n">
        <f aca="false">Offre!$E$32*(Offre!$C$32^Param!$B$3)*1_Friction!AG114</f>
        <v>0</v>
      </c>
      <c r="AH114" s="0" t="n">
        <f aca="false">Offre!$E$33*(Offre!$C$33^Param!$B$3)*1_Friction!AH114</f>
        <v>2.389440433899</v>
      </c>
      <c r="AI114" s="0" t="n">
        <f aca="false">Offre!$E$34*(Offre!$C$34^Param!$B$3)*1_Friction!AI114</f>
        <v>2.81548228909986</v>
      </c>
      <c r="AJ114" s="0" t="n">
        <f aca="false">Offre!$E$35*(Offre!$C$35^Param!$B$3)*1_Friction!AJ114</f>
        <v>6.37319330564998</v>
      </c>
      <c r="AK114" s="0" t="n">
        <f aca="false">Offre!$E$36*(Offre!$C$36^Param!$B$3)*1_Friction!AK114</f>
        <v>0</v>
      </c>
      <c r="AL114" s="0" t="n">
        <f aca="false">Offre!$E$37*(Offre!$C$37^Param!$B$3)*1_Friction!AL114</f>
        <v>0</v>
      </c>
      <c r="AM114" s="0" t="n">
        <f aca="false">Offre!$E$38*(Offre!$C$38^Param!$B$3)*1_Friction!AM114</f>
        <v>3.02515021937384</v>
      </c>
      <c r="AN114" s="0" t="n">
        <f aca="false">Offre!$E$39*(Offre!$C$39^Param!$B$3)*1_Friction!AN114</f>
        <v>0</v>
      </c>
      <c r="AO114" s="0" t="n">
        <f aca="false">SUM(C114:AN114)</f>
        <v>122.183930356805</v>
      </c>
    </row>
    <row r="115" customFormat="false" ht="15" hidden="false" customHeight="true" outlineLevel="0" collapsed="false">
      <c r="A115" s="0" t="s">
        <v>328</v>
      </c>
      <c r="B115" s="0" t="s">
        <v>329</v>
      </c>
      <c r="C115" s="0" t="n">
        <f aca="false">Offre!$E$2*(Offre!$C$2^Param!$B$3)*1_Friction!C115</f>
        <v>0</v>
      </c>
      <c r="D115" s="0" t="n">
        <f aca="false">Offre!$E$3*(Offre!$C$3^Param!$B$3)*1_Friction!D115</f>
        <v>0.231261650340121</v>
      </c>
      <c r="E115" s="0" t="n">
        <f aca="false">Offre!$E$4*(Offre!$C$4^Param!$B$3)*1_Friction!E115</f>
        <v>2.63571486843591</v>
      </c>
      <c r="F115" s="0" t="n">
        <f aca="false">Offre!$E$5*(Offre!$C$5^Param!$B$3)*1_Friction!F115</f>
        <v>0.48668591392583</v>
      </c>
      <c r="G115" s="0" t="n">
        <f aca="false">Offre!$E$6*(Offre!$C$6^Param!$B$3)*1_Friction!G115</f>
        <v>1.35224509404842</v>
      </c>
      <c r="H115" s="0" t="n">
        <f aca="false">Offre!$E$7*(Offre!$C$7^Param!$B$3)*1_Friction!H115</f>
        <v>0.377670657603327</v>
      </c>
      <c r="I115" s="0" t="n">
        <f aca="false">Offre!$E$8*(Offre!$C$8^Param!$B$3)*1_Friction!I115</f>
        <v>0.855502815516344</v>
      </c>
      <c r="J115" s="0" t="n">
        <f aca="false">Offre!$E$9*(Offre!$C$9^Param!$B$3)*1_Friction!J115</f>
        <v>0.643065386347544</v>
      </c>
      <c r="K115" s="0" t="n">
        <f aca="false">Offre!$E$10*(Offre!$C$10^Param!$B$3)*1_Friction!K115</f>
        <v>0.376750097547325</v>
      </c>
      <c r="L115" s="0" t="n">
        <f aca="false">Offre!$E$11*(Offre!$C$11^Param!$B$3)*1_Friction!L115</f>
        <v>0.428509968052032</v>
      </c>
      <c r="M115" s="0" t="n">
        <f aca="false">Offre!$E$12*(Offre!$C$12^Param!$B$3)*1_Friction!M115</f>
        <v>2.54404328614329</v>
      </c>
      <c r="N115" s="0" t="n">
        <f aca="false">Offre!$E$13*(Offre!$C$13^Param!$B$3)*1_Friction!N115</f>
        <v>0.299246885491467</v>
      </c>
      <c r="O115" s="0" t="n">
        <f aca="false">Offre!$E$14*(Offre!$C$14^Param!$B$3)*1_Friction!O115</f>
        <v>0.966682348178769</v>
      </c>
      <c r="P115" s="0" t="n">
        <f aca="false">Offre!$E$15*(Offre!$C$15^Param!$B$3)*1_Friction!P115</f>
        <v>0.485214616810103</v>
      </c>
      <c r="Q115" s="0" t="n">
        <f aca="false">Offre!$E$16*(Offre!$C$16^Param!$B$3)*1_Friction!Q115</f>
        <v>4.31937739590688</v>
      </c>
      <c r="R115" s="0" t="n">
        <f aca="false">Offre!$E$17*(Offre!$C$17^Param!$B$3)*1_Friction!R115</f>
        <v>0.565802774824752</v>
      </c>
      <c r="S115" s="0" t="n">
        <f aca="false">Offre!$E$18*(Offre!$C$18^Param!$B$3)*1_Friction!S115</f>
        <v>0.402635020399789</v>
      </c>
      <c r="T115" s="0" t="n">
        <f aca="false">Offre!$E$19*(Offre!$C$19^Param!$B$3)*1_Friction!T115</f>
        <v>0.612624684831426</v>
      </c>
      <c r="U115" s="0" t="n">
        <f aca="false">Offre!$E$20*(Offre!$C$20^Param!$B$3)*1_Friction!U115</f>
        <v>6.34193351115516</v>
      </c>
      <c r="V115" s="0" t="n">
        <f aca="false">Offre!$E$21*(Offre!$C$21^Param!$B$3)*1_Friction!V115</f>
        <v>3.12934661151012</v>
      </c>
      <c r="W115" s="0" t="n">
        <f aca="false">Offre!$E$22*(Offre!$C$22^Param!$B$3)*1_Friction!W115</f>
        <v>0.709429977459554</v>
      </c>
      <c r="X115" s="0" t="n">
        <f aca="false">Offre!$E$23*(Offre!$C$23^Param!$B$3)*1_Friction!X115</f>
        <v>1.08871389100112</v>
      </c>
      <c r="Y115" s="0" t="n">
        <f aca="false">Offre!$E$24*(Offre!$C$24^Param!$B$3)*1_Friction!Y115</f>
        <v>0.72456972557742</v>
      </c>
      <c r="Z115" s="0" t="n">
        <f aca="false">Offre!$E$25*(Offre!$C$25^Param!$B$3)*1_Friction!Z115</f>
        <v>1.76699101408131</v>
      </c>
      <c r="AA115" s="0" t="n">
        <f aca="false">Offre!$E$26*(Offre!$C$26^Param!$B$3)*1_Friction!AA115</f>
        <v>3.69466404211284</v>
      </c>
      <c r="AB115" s="0" t="n">
        <f aca="false">Offre!$E$27*(Offre!$C$27^Param!$B$3)*1_Friction!AB115</f>
        <v>1.84318530172138</v>
      </c>
      <c r="AC115" s="0" t="n">
        <f aca="false">Offre!$E$28*(Offre!$C$28^Param!$B$3)*1_Friction!AC115</f>
        <v>0</v>
      </c>
      <c r="AD115" s="0" t="n">
        <f aca="false">Offre!$E$29*(Offre!$C$29^Param!$B$3)*1_Friction!AD115</f>
        <v>0.180184290851378</v>
      </c>
      <c r="AE115" s="0" t="n">
        <f aca="false">Offre!$E$30*(Offre!$C$30^Param!$B$3)*1_Friction!AE115</f>
        <v>0</v>
      </c>
      <c r="AF115" s="0" t="n">
        <f aca="false">Offre!$E$31*(Offre!$C$31^Param!$B$3)*1_Friction!AF115</f>
        <v>0</v>
      </c>
      <c r="AG115" s="0" t="n">
        <f aca="false">Offre!$E$32*(Offre!$C$32^Param!$B$3)*1_Friction!AG115</f>
        <v>0</v>
      </c>
      <c r="AH115" s="0" t="n">
        <f aca="false">Offre!$E$33*(Offre!$C$33^Param!$B$3)*1_Friction!AH115</f>
        <v>1.51966008105922</v>
      </c>
      <c r="AI115" s="0" t="n">
        <f aca="false">Offre!$E$34*(Offre!$C$34^Param!$B$3)*1_Friction!AI115</f>
        <v>0.239164382784065</v>
      </c>
      <c r="AJ115" s="0" t="n">
        <f aca="false">Offre!$E$35*(Offre!$C$35^Param!$B$3)*1_Friction!AJ115</f>
        <v>1.53677758432521</v>
      </c>
      <c r="AK115" s="0" t="n">
        <f aca="false">Offre!$E$36*(Offre!$C$36^Param!$B$3)*1_Friction!AK115</f>
        <v>0</v>
      </c>
      <c r="AL115" s="0" t="n">
        <f aca="false">Offre!$E$37*(Offre!$C$37^Param!$B$3)*1_Friction!AL115</f>
        <v>0</v>
      </c>
      <c r="AM115" s="0" t="n">
        <f aca="false">Offre!$E$38*(Offre!$C$38^Param!$B$3)*1_Friction!AM115</f>
        <v>0</v>
      </c>
      <c r="AN115" s="0" t="n">
        <f aca="false">Offre!$E$39*(Offre!$C$39^Param!$B$3)*1_Friction!AN115</f>
        <v>0</v>
      </c>
      <c r="AO115" s="0" t="n">
        <f aca="false">SUM(C115:AN115)</f>
        <v>40.3576538780421</v>
      </c>
    </row>
    <row r="116" customFormat="false" ht="15" hidden="false" customHeight="true" outlineLevel="0" collapsed="false">
      <c r="A116" s="0" t="s">
        <v>330</v>
      </c>
      <c r="B116" s="0" t="s">
        <v>331</v>
      </c>
      <c r="C116" s="0" t="n">
        <f aca="false">Offre!$E$2*(Offre!$C$2^Param!$B$3)*1_Friction!C116</f>
        <v>0</v>
      </c>
      <c r="D116" s="0" t="n">
        <f aca="false">Offre!$E$3*(Offre!$C$3^Param!$B$3)*1_Friction!D116</f>
        <v>0.154126730655537</v>
      </c>
      <c r="E116" s="0" t="n">
        <f aca="false">Offre!$E$4*(Offre!$C$4^Param!$B$3)*1_Friction!E116</f>
        <v>1.75910948760146</v>
      </c>
      <c r="F116" s="0" t="n">
        <f aca="false">Offre!$E$5*(Offre!$C$5^Param!$B$3)*1_Friction!F116</f>
        <v>0.325252433425567</v>
      </c>
      <c r="G116" s="0" t="n">
        <f aca="false">Offre!$E$6*(Offre!$C$6^Param!$B$3)*1_Friction!G116</f>
        <v>0.90159637155</v>
      </c>
      <c r="H116" s="0" t="n">
        <f aca="false">Offre!$E$7*(Offre!$C$7^Param!$B$3)*1_Friction!H116</f>
        <v>0.254632385976787</v>
      </c>
      <c r="I116" s="0" t="n">
        <f aca="false">Offre!$E$8*(Offre!$C$8^Param!$B$3)*1_Friction!I116</f>
        <v>0.576737196071966</v>
      </c>
      <c r="J116" s="0" t="n">
        <f aca="false">Offre!$E$9*(Offre!$C$9^Param!$B$3)*1_Friction!J116</f>
        <v>0.431623625089193</v>
      </c>
      <c r="K116" s="0" t="n">
        <f aca="false">Offre!$E$10*(Offre!$C$10^Param!$B$3)*1_Friction!K116</f>
        <v>0.252216529947674</v>
      </c>
      <c r="L116" s="0" t="n">
        <f aca="false">Offre!$E$11*(Offre!$C$11^Param!$B$3)*1_Friction!L116</f>
        <v>0.288908429148825</v>
      </c>
      <c r="M116" s="0" t="n">
        <f aca="false">Offre!$E$12*(Offre!$C$12^Param!$B$3)*1_Friction!M116</f>
        <v>1.72398069240112</v>
      </c>
      <c r="N116" s="0" t="n">
        <f aca="false">Offre!$E$13*(Offre!$C$13^Param!$B$3)*1_Friction!N116</f>
        <v>0.201211534720497</v>
      </c>
      <c r="O116" s="0" t="n">
        <f aca="false">Offre!$E$14*(Offre!$C$14^Param!$B$3)*1_Friction!O116</f>
        <v>0.649923968816889</v>
      </c>
      <c r="P116" s="0" t="n">
        <f aca="false">Offre!$E$15*(Offre!$C$15^Param!$B$3)*1_Friction!P116</f>
        <v>0.326817744440781</v>
      </c>
      <c r="Q116" s="0" t="n">
        <f aca="false">Offre!$E$16*(Offre!$C$16^Param!$B$3)*1_Friction!Q116</f>
        <v>2.91076554358645</v>
      </c>
      <c r="R116" s="0" t="n">
        <f aca="false">Offre!$E$17*(Offre!$C$17^Param!$B$3)*1_Friction!R116</f>
        <v>0.381266938453411</v>
      </c>
      <c r="S116" s="0" t="n">
        <f aca="false">Offre!$E$18*(Offre!$C$18^Param!$B$3)*1_Friction!S116</f>
        <v>0.270529132638351</v>
      </c>
      <c r="T116" s="0" t="n">
        <f aca="false">Offre!$E$19*(Offre!$C$19^Param!$B$3)*1_Friction!T116</f>
        <v>0.419972771300023</v>
      </c>
      <c r="U116" s="0" t="n">
        <f aca="false">Offre!$E$20*(Offre!$C$20^Param!$B$3)*1_Friction!U116</f>
        <v>4.9529997020194</v>
      </c>
      <c r="V116" s="0" t="n">
        <f aca="false">Offre!$E$21*(Offre!$C$21^Param!$B$3)*1_Friction!V116</f>
        <v>2.10424706793291</v>
      </c>
      <c r="W116" s="0" t="n">
        <f aca="false">Offre!$E$22*(Offre!$C$22^Param!$B$3)*1_Friction!W116</f>
        <v>0.481570233443654</v>
      </c>
      <c r="X116" s="0" t="n">
        <f aca="false">Offre!$E$23*(Offre!$C$23^Param!$B$3)*1_Friction!X116</f>
        <v>0.743362718762796</v>
      </c>
      <c r="Y116" s="0" t="n">
        <f aca="false">Offre!$E$24*(Offre!$C$24^Param!$B$3)*1_Friction!Y116</f>
        <v>0.495127387461351</v>
      </c>
      <c r="Z116" s="0" t="n">
        <f aca="false">Offre!$E$25*(Offre!$C$25^Param!$B$3)*1_Friction!Z116</f>
        <v>1.20573261191941</v>
      </c>
      <c r="AA116" s="0" t="n">
        <f aca="false">Offre!$E$26*(Offre!$C$26^Param!$B$3)*1_Friction!AA116</f>
        <v>2.52529454329718</v>
      </c>
      <c r="AB116" s="0" t="n">
        <f aca="false">Offre!$E$27*(Offre!$C$27^Param!$B$3)*1_Friction!AB116</f>
        <v>1.26854610970428</v>
      </c>
      <c r="AC116" s="0" t="n">
        <f aca="false">Offre!$E$28*(Offre!$C$28^Param!$B$3)*1_Friction!AC116</f>
        <v>0.203612588101184</v>
      </c>
      <c r="AD116" s="0" t="n">
        <f aca="false">Offre!$E$29*(Offre!$C$29^Param!$B$3)*1_Friction!AD116</f>
        <v>1.04972959970454</v>
      </c>
      <c r="AE116" s="0" t="n">
        <f aca="false">Offre!$E$30*(Offre!$C$30^Param!$B$3)*1_Friction!AE116</f>
        <v>0.628825758571587</v>
      </c>
      <c r="AF116" s="0" t="n">
        <f aca="false">Offre!$E$31*(Offre!$C$31^Param!$B$3)*1_Friction!AF116</f>
        <v>0.396482774305615</v>
      </c>
      <c r="AG116" s="0" t="n">
        <f aca="false">Offre!$E$32*(Offre!$C$32^Param!$B$3)*1_Friction!AG116</f>
        <v>0</v>
      </c>
      <c r="AH116" s="0" t="n">
        <f aca="false">Offre!$E$33*(Offre!$C$33^Param!$B$3)*1_Friction!AH116</f>
        <v>1.02877524346872</v>
      </c>
      <c r="AI116" s="0" t="n">
        <f aca="false">Offre!$E$34*(Offre!$C$34^Param!$B$3)*1_Friction!AI116</f>
        <v>0.162302771347493</v>
      </c>
      <c r="AJ116" s="0" t="n">
        <f aca="false">Offre!$E$35*(Offre!$C$35^Param!$B$3)*1_Friction!AJ116</f>
        <v>1.0458587090737</v>
      </c>
      <c r="AK116" s="0" t="n">
        <f aca="false">Offre!$E$36*(Offre!$C$36^Param!$B$3)*1_Friction!AK116</f>
        <v>1.03174941146334</v>
      </c>
      <c r="AL116" s="0" t="n">
        <f aca="false">Offre!$E$37*(Offre!$C$37^Param!$B$3)*1_Friction!AL116</f>
        <v>2.01645679201015</v>
      </c>
      <c r="AM116" s="0" t="n">
        <f aca="false">Offre!$E$38*(Offre!$C$38^Param!$B$3)*1_Friction!AM116</f>
        <v>0</v>
      </c>
      <c r="AN116" s="0" t="n">
        <f aca="false">Offre!$E$39*(Offre!$C$39^Param!$B$3)*1_Friction!AN116</f>
        <v>0</v>
      </c>
      <c r="AO116" s="0" t="n">
        <f aca="false">SUM(C116:AN116)</f>
        <v>33.1693455384118</v>
      </c>
    </row>
    <row r="117" customFormat="false" ht="15" hidden="false" customHeight="true" outlineLevel="0" collapsed="false">
      <c r="A117" s="0" t="s">
        <v>332</v>
      </c>
      <c r="B117" s="0" t="s">
        <v>333</v>
      </c>
      <c r="C117" s="0" t="n">
        <f aca="false">Offre!$E$2*(Offre!$C$2^Param!$B$3)*1_Friction!C117</f>
        <v>0</v>
      </c>
      <c r="D117" s="0" t="n">
        <f aca="false">Offre!$E$3*(Offre!$C$3^Param!$B$3)*1_Friction!D117</f>
        <v>0.452571139096299</v>
      </c>
      <c r="E117" s="0" t="n">
        <f aca="false">Offre!$E$4*(Offre!$C$4^Param!$B$3)*1_Friction!E117</f>
        <v>5.14487288091745</v>
      </c>
      <c r="F117" s="0" t="n">
        <f aca="false">Offre!$E$5*(Offre!$C$5^Param!$B$3)*1_Friction!F117</f>
        <v>0.947751176607758</v>
      </c>
      <c r="G117" s="0" t="n">
        <f aca="false">Offre!$E$6*(Offre!$C$6^Param!$B$3)*1_Friction!G117</f>
        <v>2.63979261497942</v>
      </c>
      <c r="H117" s="0" t="n">
        <f aca="false">Offre!$E$7*(Offre!$C$7^Param!$B$3)*1_Friction!H117</f>
        <v>0.722770765192675</v>
      </c>
      <c r="I117" s="0" t="n">
        <f aca="false">Offre!$E$8*(Offre!$C$8^Param!$B$3)*1_Friction!I117</f>
        <v>1.64025135853972</v>
      </c>
      <c r="J117" s="0" t="n">
        <f aca="false">Offre!$E$9*(Offre!$C$9^Param!$B$3)*1_Friction!J117</f>
        <v>1.24055549164812</v>
      </c>
      <c r="K117" s="0" t="n">
        <f aca="false">Offre!$E$10*(Offre!$C$10^Param!$B$3)*1_Friction!K117</f>
        <v>0.731413344348459</v>
      </c>
      <c r="L117" s="0" t="n">
        <f aca="false">Offre!$E$11*(Offre!$C$11^Param!$B$3)*1_Friction!L117</f>
        <v>0.821435648350759</v>
      </c>
      <c r="M117" s="0" t="n">
        <f aca="false">Offre!$E$12*(Offre!$C$12^Param!$B$3)*1_Friction!M117</f>
        <v>4.82480790811935</v>
      </c>
      <c r="N117" s="0" t="n">
        <f aca="false">Offre!$E$13*(Offre!$C$13^Param!$B$3)*1_Friction!N117</f>
        <v>0.576423612023955</v>
      </c>
      <c r="O117" s="0" t="n">
        <f aca="false">Offre!$E$14*(Offre!$C$14^Param!$B$3)*1_Friction!O117</f>
        <v>1.85928931522592</v>
      </c>
      <c r="P117" s="0" t="n">
        <f aca="false">Offre!$E$15*(Offre!$C$15^Param!$B$3)*1_Friction!P117</f>
        <v>0.930217842353477</v>
      </c>
      <c r="Q117" s="0" t="n">
        <f aca="false">Offre!$E$16*(Offre!$C$16^Param!$B$3)*1_Friction!Q117</f>
        <v>8.27351793987268</v>
      </c>
      <c r="R117" s="0" t="n">
        <f aca="false">Offre!$E$17*(Offre!$C$17^Param!$B$3)*1_Friction!R117</f>
        <v>1.08566938569054</v>
      </c>
      <c r="S117" s="0" t="n">
        <f aca="false">Offre!$E$18*(Offre!$C$18^Param!$B$3)*1_Friction!S117</f>
        <v>0.77659799028028</v>
      </c>
      <c r="T117" s="0" t="n">
        <f aca="false">Offre!$E$19*(Offre!$C$19^Param!$B$3)*1_Friction!T117</f>
        <v>0.437213291548</v>
      </c>
      <c r="U117" s="0" t="n">
        <f aca="false">Offre!$E$20*(Offre!$C$20^Param!$B$3)*1_Friction!U117</f>
        <v>4.84781050209242</v>
      </c>
      <c r="V117" s="0" t="n">
        <f aca="false">Offre!$E$21*(Offre!$C$21^Param!$B$3)*1_Friction!V117</f>
        <v>2.03414573311278</v>
      </c>
      <c r="W117" s="0" t="n">
        <f aca="false">Offre!$E$22*(Offre!$C$22^Param!$B$3)*1_Friction!W117</f>
        <v>0.465858797549193</v>
      </c>
      <c r="X117" s="0" t="n">
        <f aca="false">Offre!$E$23*(Offre!$C$23^Param!$B$3)*1_Friction!X117</f>
        <v>0.720164181488677</v>
      </c>
      <c r="Y117" s="0" t="n">
        <f aca="false">Offre!$E$24*(Offre!$C$24^Param!$B$3)*1_Friction!Y117</f>
        <v>0.479238407356199</v>
      </c>
      <c r="Z117" s="0" t="n">
        <f aca="false">Offre!$E$25*(Offre!$C$25^Param!$B$3)*1_Friction!Z117</f>
        <v>1.1669012866737</v>
      </c>
      <c r="AA117" s="0" t="n">
        <f aca="false">Offre!$E$26*(Offre!$C$26^Param!$B$3)*1_Friction!AA117</f>
        <v>2.44669073458495</v>
      </c>
      <c r="AB117" s="0" t="n">
        <f aca="false">Offre!$E$27*(Offre!$C$27^Param!$B$3)*1_Friction!AB117</f>
        <v>1.22856659400099</v>
      </c>
      <c r="AC117" s="0" t="n">
        <f aca="false">Offre!$E$28*(Offre!$C$28^Param!$B$3)*1_Friction!AC117</f>
        <v>0.0418349677989987</v>
      </c>
      <c r="AD117" s="0" t="n">
        <f aca="false">Offre!$E$29*(Offre!$C$29^Param!$B$3)*1_Friction!AD117</f>
        <v>0.217312620852146</v>
      </c>
      <c r="AE117" s="0" t="n">
        <f aca="false">Offre!$E$30*(Offre!$C$30^Param!$B$3)*1_Friction!AE117</f>
        <v>0.130126450226293</v>
      </c>
      <c r="AF117" s="0" t="n">
        <f aca="false">Offre!$E$31*(Offre!$C$31^Param!$B$3)*1_Friction!AF117</f>
        <v>0.0809314020848991</v>
      </c>
      <c r="AG117" s="0" t="n">
        <f aca="false">Offre!$E$32*(Offre!$C$32^Param!$B$3)*1_Friction!AG117</f>
        <v>0</v>
      </c>
      <c r="AH117" s="0" t="n">
        <f aca="false">Offre!$E$33*(Offre!$C$33^Param!$B$3)*1_Friction!AH117</f>
        <v>2.89194964722068</v>
      </c>
      <c r="AI117" s="0" t="n">
        <f aca="false">Offre!$E$34*(Offre!$C$34^Param!$B$3)*1_Friction!AI117</f>
        <v>0.184355168693999</v>
      </c>
      <c r="AJ117" s="0" t="n">
        <f aca="false">Offre!$E$35*(Offre!$C$35^Param!$B$3)*1_Friction!AJ117</f>
        <v>1.01195250157208</v>
      </c>
      <c r="AK117" s="0" t="n">
        <f aca="false">Offre!$E$36*(Offre!$C$36^Param!$B$3)*1_Friction!AK117</f>
        <v>0</v>
      </c>
      <c r="AL117" s="0" t="n">
        <f aca="false">Offre!$E$37*(Offre!$C$37^Param!$B$3)*1_Friction!AL117</f>
        <v>0.414993001118964</v>
      </c>
      <c r="AM117" s="0" t="n">
        <f aca="false">Offre!$E$38*(Offre!$C$38^Param!$B$3)*1_Friction!AM117</f>
        <v>0</v>
      </c>
      <c r="AN117" s="0" t="n">
        <f aca="false">Offre!$E$39*(Offre!$C$39^Param!$B$3)*1_Friction!AN117</f>
        <v>0</v>
      </c>
      <c r="AO117" s="0" t="n">
        <f aca="false">SUM(C117:AN117)</f>
        <v>51.4679837012219</v>
      </c>
    </row>
    <row r="118" customFormat="false" ht="15" hidden="false" customHeight="true" outlineLevel="0" collapsed="false">
      <c r="A118" s="0" t="s">
        <v>334</v>
      </c>
      <c r="B118" s="0" t="s">
        <v>335</v>
      </c>
      <c r="C118" s="0" t="n">
        <f aca="false">Offre!$E$2*(Offre!$C$2^Param!$B$3)*1_Friction!C118</f>
        <v>0</v>
      </c>
      <c r="D118" s="0" t="n">
        <f aca="false">Offre!$E$3*(Offre!$C$3^Param!$B$3)*1_Friction!D118</f>
        <v>0.757991803499721</v>
      </c>
      <c r="E118" s="0" t="n">
        <f aca="false">Offre!$E$4*(Offre!$C$4^Param!$B$3)*1_Friction!E118</f>
        <v>8.59833335035548</v>
      </c>
      <c r="F118" s="0" t="n">
        <f aca="false">Offre!$E$5*(Offre!$C$5^Param!$B$3)*1_Friction!F118</f>
        <v>1.58074067510314</v>
      </c>
      <c r="G118" s="0" t="n">
        <f aca="false">Offre!$E$6*(Offre!$C$6^Param!$B$3)*1_Friction!G118</f>
        <v>4.41206381015742</v>
      </c>
      <c r="H118" s="0" t="n">
        <f aca="false">Offre!$E$7*(Offre!$C$7^Param!$B$3)*1_Friction!H118</f>
        <v>1.18785226366381</v>
      </c>
      <c r="I118" s="0" t="n">
        <f aca="false">Offre!$E$8*(Offre!$C$8^Param!$B$3)*1_Friction!I118</f>
        <v>2.69992386225979</v>
      </c>
      <c r="J118" s="0" t="n">
        <f aca="false">Offre!$E$9*(Offre!$C$9^Param!$B$3)*1_Friction!J118</f>
        <v>2.05268119763616</v>
      </c>
      <c r="K118" s="0" t="n">
        <f aca="false">Offre!$E$10*(Offre!$C$10^Param!$B$3)*1_Friction!K118</f>
        <v>1.2167380151334</v>
      </c>
      <c r="L118" s="0" t="n">
        <f aca="false">Offre!$E$11*(Offre!$C$11^Param!$B$3)*1_Friction!L118</f>
        <v>1.35289506992637</v>
      </c>
      <c r="M118" s="0" t="n">
        <f aca="false">Offre!$E$12*(Offre!$C$12^Param!$B$3)*1_Friction!M118</f>
        <v>7.86883201832425</v>
      </c>
      <c r="N118" s="0" t="n">
        <f aca="false">Offre!$E$13*(Offre!$C$13^Param!$B$3)*1_Friction!N118</f>
        <v>0.952570646536069</v>
      </c>
      <c r="O118" s="0" t="n">
        <f aca="false">Offre!$E$14*(Offre!$C$14^Param!$B$3)*1_Friction!O118</f>
        <v>3.06868654484922</v>
      </c>
      <c r="P118" s="0" t="n">
        <f aca="false">Offre!$E$15*(Offre!$C$15^Param!$B$3)*1_Friction!P118</f>
        <v>1.53106430247288</v>
      </c>
      <c r="Q118" s="0" t="n">
        <f aca="false">Offre!$E$16*(Offre!$C$16^Param!$B$3)*1_Friction!Q118</f>
        <v>13.6074115987378</v>
      </c>
      <c r="R118" s="0" t="n">
        <f aca="false">Offre!$E$17*(Offre!$C$17^Param!$B$3)*1_Friction!R118</f>
        <v>1.78825650593499</v>
      </c>
      <c r="S118" s="0" t="n">
        <f aca="false">Offre!$E$18*(Offre!$C$18^Param!$B$3)*1_Friction!S118</f>
        <v>1.28480399873895</v>
      </c>
      <c r="T118" s="0" t="n">
        <f aca="false">Offre!$E$19*(Offre!$C$19^Param!$B$3)*1_Friction!T118</f>
        <v>1.3906195136316</v>
      </c>
      <c r="U118" s="0" t="n">
        <f aca="false">Offre!$E$20*(Offre!$C$20^Param!$B$3)*1_Friction!U118</f>
        <v>8.90610595148745</v>
      </c>
      <c r="V118" s="0" t="n">
        <f aca="false">Offre!$E$21*(Offre!$C$21^Param!$B$3)*1_Friction!V118</f>
        <v>5.53695447726856</v>
      </c>
      <c r="W118" s="0" t="n">
        <f aca="false">Offre!$E$22*(Offre!$C$22^Param!$B$3)*1_Friction!W118</f>
        <v>1.23978858875299</v>
      </c>
      <c r="X118" s="0" t="n">
        <f aca="false">Offre!$E$23*(Offre!$C$23^Param!$B$3)*1_Friction!X118</f>
        <v>1.88137018812454</v>
      </c>
      <c r="Y118" s="0" t="n">
        <f aca="false">Offre!$E$24*(Offre!$C$24^Param!$B$3)*1_Friction!Y118</f>
        <v>1.25327088196399</v>
      </c>
      <c r="Z118" s="0" t="n">
        <f aca="false">Offre!$E$25*(Offre!$C$25^Param!$B$3)*1_Friction!Z118</f>
        <v>3.06309202537543</v>
      </c>
      <c r="AA118" s="0" t="n">
        <f aca="false">Offre!$E$26*(Offre!$C$26^Param!$B$3)*1_Friction!AA118</f>
        <v>6.37441938162981</v>
      </c>
      <c r="AB118" s="0" t="n">
        <f aca="false">Offre!$E$27*(Offre!$C$27^Param!$B$3)*1_Friction!AB118</f>
        <v>3.15303703990395</v>
      </c>
      <c r="AC118" s="0" t="n">
        <f aca="false">Offre!$E$28*(Offre!$C$28^Param!$B$3)*1_Friction!AC118</f>
        <v>0</v>
      </c>
      <c r="AD118" s="0" t="n">
        <f aca="false">Offre!$E$29*(Offre!$C$29^Param!$B$3)*1_Friction!AD118</f>
        <v>0</v>
      </c>
      <c r="AE118" s="0" t="n">
        <f aca="false">Offre!$E$30*(Offre!$C$30^Param!$B$3)*1_Friction!AE118</f>
        <v>0</v>
      </c>
      <c r="AF118" s="0" t="n">
        <f aca="false">Offre!$E$31*(Offre!$C$31^Param!$B$3)*1_Friction!AF118</f>
        <v>0</v>
      </c>
      <c r="AG118" s="0" t="n">
        <f aca="false">Offre!$E$32*(Offre!$C$32^Param!$B$3)*1_Friction!AG118</f>
        <v>0</v>
      </c>
      <c r="AH118" s="0" t="n">
        <f aca="false">Offre!$E$33*(Offre!$C$33^Param!$B$3)*1_Friction!AH118</f>
        <v>4.7302321488079</v>
      </c>
      <c r="AI118" s="0" t="n">
        <f aca="false">Offre!$E$34*(Offre!$C$34^Param!$B$3)*1_Friction!AI118</f>
        <v>0.55461087355187</v>
      </c>
      <c r="AJ118" s="0" t="n">
        <f aca="false">Offre!$E$35*(Offre!$C$35^Param!$B$3)*1_Friction!AJ118</f>
        <v>2.67501396893309</v>
      </c>
      <c r="AK118" s="0" t="n">
        <f aca="false">Offre!$E$36*(Offre!$C$36^Param!$B$3)*1_Friction!AK118</f>
        <v>0</v>
      </c>
      <c r="AL118" s="0" t="n">
        <f aca="false">Offre!$E$37*(Offre!$C$37^Param!$B$3)*1_Friction!AL118</f>
        <v>0</v>
      </c>
      <c r="AM118" s="0" t="n">
        <f aca="false">Offre!$E$38*(Offre!$C$38^Param!$B$3)*1_Friction!AM118</f>
        <v>0</v>
      </c>
      <c r="AN118" s="0" t="n">
        <f aca="false">Offre!$E$39*(Offre!$C$39^Param!$B$3)*1_Friction!AN118</f>
        <v>0</v>
      </c>
      <c r="AO118" s="0" t="n">
        <f aca="false">SUM(C118:AN118)</f>
        <v>94.7193607027606</v>
      </c>
    </row>
    <row r="119" customFormat="false" ht="15" hidden="false" customHeight="true" outlineLevel="0" collapsed="false">
      <c r="A119" s="0" t="s">
        <v>336</v>
      </c>
      <c r="B119" s="0" t="s">
        <v>337</v>
      </c>
      <c r="C119" s="0" t="n">
        <f aca="false">Offre!$E$2*(Offre!$C$2^Param!$B$3)*1_Friction!C119</f>
        <v>0.212576405889647</v>
      </c>
      <c r="D119" s="0" t="n">
        <f aca="false">Offre!$E$3*(Offre!$C$3^Param!$B$3)*1_Friction!D119</f>
        <v>0.195688397742632</v>
      </c>
      <c r="E119" s="0" t="n">
        <f aca="false">Offre!$E$4*(Offre!$C$4^Param!$B$3)*1_Friction!E119</f>
        <v>2.23161408158298</v>
      </c>
      <c r="F119" s="0" t="n">
        <f aca="false">Offre!$E$5*(Offre!$C$5^Param!$B$3)*1_Friction!F119</f>
        <v>0.412679809272614</v>
      </c>
      <c r="G119" s="0" t="n">
        <f aca="false">Offre!$E$6*(Offre!$C$6^Param!$B$3)*1_Friction!G119</f>
        <v>1.14489891260633</v>
      </c>
      <c r="H119" s="0" t="n">
        <f aca="false">Offre!$E$7*(Offre!$C$7^Param!$B$3)*1_Friction!H119</f>
        <v>0.32125139501403</v>
      </c>
      <c r="I119" s="0" t="n">
        <f aca="false">Offre!$E$8*(Offre!$C$8^Param!$B$3)*1_Friction!I119</f>
        <v>0.728046671927945</v>
      </c>
      <c r="J119" s="0" t="n">
        <f aca="false">Offre!$E$9*(Offre!$C$9^Param!$B$3)*1_Friction!J119</f>
        <v>0.545975970470505</v>
      </c>
      <c r="K119" s="0" t="n">
        <f aca="false">Offre!$E$10*(Offre!$C$10^Param!$B$3)*1_Friction!K119</f>
        <v>0.31939507338814</v>
      </c>
      <c r="L119" s="0" t="n">
        <f aca="false">Offre!$E$11*(Offre!$C$11^Param!$B$3)*1_Friction!L119</f>
        <v>0.364683810959068</v>
      </c>
      <c r="M119" s="0" t="n">
        <f aca="false">Offre!$E$12*(Offre!$C$12^Param!$B$3)*1_Friction!M119</f>
        <v>2.16858733055287</v>
      </c>
      <c r="N119" s="0" t="n">
        <f aca="false">Offre!$E$13*(Offre!$C$13^Param!$B$3)*1_Friction!N119</f>
        <v>0.254155776408671</v>
      </c>
      <c r="O119" s="0" t="n">
        <f aca="false">Offre!$E$14*(Offre!$C$14^Param!$B$3)*1_Friction!O119</f>
        <v>0.821308059635596</v>
      </c>
      <c r="P119" s="0" t="n">
        <f aca="false">Offre!$E$15*(Offre!$C$15^Param!$B$3)*1_Friction!P119</f>
        <v>0.412559780759169</v>
      </c>
      <c r="Q119" s="0" t="n">
        <f aca="false">Offre!$E$16*(Offre!$C$16^Param!$B$3)*1_Friction!Q119</f>
        <v>3.67336045433451</v>
      </c>
      <c r="R119" s="0" t="n">
        <f aca="false">Offre!$E$17*(Offre!$C$17^Param!$B$3)*1_Friction!R119</f>
        <v>0.481418583591731</v>
      </c>
      <c r="S119" s="0" t="n">
        <f aca="false">Offre!$E$18*(Offre!$C$18^Param!$B$3)*1_Friction!S119</f>
        <v>0.342172324092538</v>
      </c>
      <c r="T119" s="0" t="n">
        <f aca="false">Offre!$E$19*(Offre!$C$19^Param!$B$3)*1_Friction!T119</f>
        <v>2.14236190778695</v>
      </c>
      <c r="U119" s="0" t="n">
        <f aca="false">Offre!$E$20*(Offre!$C$20^Param!$B$3)*1_Friction!U119</f>
        <v>11.6891483323468</v>
      </c>
      <c r="V119" s="0" t="n">
        <f aca="false">Offre!$E$21*(Offre!$C$21^Param!$B$3)*1_Friction!V119</f>
        <v>77.0029779106735</v>
      </c>
      <c r="W119" s="0" t="n">
        <f aca="false">Offre!$E$22*(Offre!$C$22^Param!$B$3)*1_Friction!W119</f>
        <v>15.6318489835643</v>
      </c>
      <c r="X119" s="0" t="n">
        <f aca="false">Offre!$E$23*(Offre!$C$23^Param!$B$3)*1_Friction!X119</f>
        <v>21.9806336827182</v>
      </c>
      <c r="Y119" s="0" t="n">
        <f aca="false">Offre!$E$24*(Offre!$C$24^Param!$B$3)*1_Friction!Y119</f>
        <v>14.6474154211019</v>
      </c>
      <c r="Z119" s="0" t="n">
        <f aca="false">Offre!$E$25*(Offre!$C$25^Param!$B$3)*1_Friction!Z119</f>
        <v>36.3876095640561</v>
      </c>
      <c r="AA119" s="0" t="n">
        <f aca="false">Offre!$E$26*(Offre!$C$26^Param!$B$3)*1_Friction!AA119</f>
        <v>73.6004567410321</v>
      </c>
      <c r="AB119" s="0" t="n">
        <f aca="false">Offre!$E$27*(Offre!$C$27^Param!$B$3)*1_Friction!AB119</f>
        <v>33.9670602430088</v>
      </c>
      <c r="AC119" s="0" t="n">
        <f aca="false">Offre!$E$28*(Offre!$C$28^Param!$B$3)*1_Friction!AC119</f>
        <v>0</v>
      </c>
      <c r="AD119" s="0" t="n">
        <f aca="false">Offre!$E$29*(Offre!$C$29^Param!$B$3)*1_Friction!AD119</f>
        <v>0</v>
      </c>
      <c r="AE119" s="0" t="n">
        <f aca="false">Offre!$E$30*(Offre!$C$30^Param!$B$3)*1_Friction!AE119</f>
        <v>0</v>
      </c>
      <c r="AF119" s="0" t="n">
        <f aca="false">Offre!$E$31*(Offre!$C$31^Param!$B$3)*1_Friction!AF119</f>
        <v>0</v>
      </c>
      <c r="AG119" s="0" t="n">
        <f aca="false">Offre!$E$32*(Offre!$C$32^Param!$B$3)*1_Friction!AG119</f>
        <v>0</v>
      </c>
      <c r="AH119" s="0" t="n">
        <f aca="false">Offre!$E$33*(Offre!$C$33^Param!$B$3)*1_Friction!AH119</f>
        <v>1.29550707401308</v>
      </c>
      <c r="AI119" s="0" t="n">
        <f aca="false">Offre!$E$34*(Offre!$C$34^Param!$B$3)*1_Friction!AI119</f>
        <v>0.865878188201925</v>
      </c>
      <c r="AJ119" s="0" t="n">
        <f aca="false">Offre!$E$35*(Offre!$C$35^Param!$B$3)*1_Friction!AJ119</f>
        <v>32.7565536097754</v>
      </c>
      <c r="AK119" s="0" t="n">
        <f aca="false">Offre!$E$36*(Offre!$C$36^Param!$B$3)*1_Friction!AK119</f>
        <v>0</v>
      </c>
      <c r="AL119" s="0" t="n">
        <f aca="false">Offre!$E$37*(Offre!$C$37^Param!$B$3)*1_Friction!AL119</f>
        <v>0</v>
      </c>
      <c r="AM119" s="0" t="n">
        <f aca="false">Offre!$E$38*(Offre!$C$38^Param!$B$3)*1_Friction!AM119</f>
        <v>0.486870669166558</v>
      </c>
      <c r="AN119" s="0" t="n">
        <f aca="false">Offre!$E$39*(Offre!$C$39^Param!$B$3)*1_Friction!AN119</f>
        <v>0</v>
      </c>
      <c r="AO119" s="0" t="n">
        <f aca="false">SUM(C119:AN119)</f>
        <v>337.084695165675</v>
      </c>
    </row>
    <row r="120" customFormat="false" ht="15" hidden="false" customHeight="true" outlineLevel="0" collapsed="false">
      <c r="A120" s="0" t="s">
        <v>338</v>
      </c>
      <c r="B120" s="0" t="s">
        <v>339</v>
      </c>
      <c r="C120" s="0" t="n">
        <f aca="false">Offre!$E$2*(Offre!$C$2^Param!$B$3)*1_Friction!C120</f>
        <v>0.321973311849562</v>
      </c>
      <c r="D120" s="0" t="n">
        <f aca="false">Offre!$E$3*(Offre!$C$3^Param!$B$3)*1_Friction!D120</f>
        <v>0.465790824468583</v>
      </c>
      <c r="E120" s="0" t="n">
        <f aca="false">Offre!$E$4*(Offre!$C$4^Param!$B$3)*1_Friction!E120</f>
        <v>5.29454445719239</v>
      </c>
      <c r="F120" s="0" t="n">
        <f aca="false">Offre!$E$5*(Offre!$C$5^Param!$B$3)*1_Friction!F120</f>
        <v>0.975217792464612</v>
      </c>
      <c r="G120" s="0" t="n">
        <f aca="false">Offre!$E$6*(Offre!$C$6^Param!$B$3)*1_Friction!G120</f>
        <v>2.71437878020857</v>
      </c>
      <c r="H120" s="0" t="n">
        <f aca="false">Offre!$E$7*(Offre!$C$7^Param!$B$3)*1_Friction!H120</f>
        <v>0.742543264430828</v>
      </c>
      <c r="I120" s="0" t="n">
        <f aca="false">Offre!$E$8*(Offre!$C$8^Param!$B$3)*1_Friction!I120</f>
        <v>1.68659871131726</v>
      </c>
      <c r="J120" s="0" t="n">
        <f aca="false">Offre!$E$9*(Offre!$C$9^Param!$B$3)*1_Friction!J120</f>
        <v>1.27494124472635</v>
      </c>
      <c r="K120" s="0" t="n">
        <f aca="false">Offre!$E$10*(Offre!$C$10^Param!$B$3)*1_Friction!K120</f>
        <v>0.751895946967425</v>
      </c>
      <c r="L120" s="0" t="n">
        <f aca="false">Offre!$E$11*(Offre!$C$11^Param!$B$3)*1_Friction!L120</f>
        <v>0.844639616572742</v>
      </c>
      <c r="M120" s="0" t="n">
        <f aca="false">Offre!$E$12*(Offre!$C$12^Param!$B$3)*1_Friction!M120</f>
        <v>4.95482447531188</v>
      </c>
      <c r="N120" s="0" t="n">
        <f aca="false">Offre!$E$13*(Offre!$C$13^Param!$B$3)*1_Friction!N120</f>
        <v>0.592836214494539</v>
      </c>
      <c r="O120" s="0" t="n">
        <f aca="false">Offre!$E$14*(Offre!$C$14^Param!$B$3)*1_Friction!O120</f>
        <v>1.91057399589797</v>
      </c>
      <c r="P120" s="0" t="n">
        <f aca="false">Offre!$E$15*(Offre!$C$15^Param!$B$3)*1_Friction!P120</f>
        <v>0.95573926974645</v>
      </c>
      <c r="Q120" s="0" t="n">
        <f aca="false">Offre!$E$16*(Offre!$C$16^Param!$B$3)*1_Friction!Q120</f>
        <v>8.50018128799737</v>
      </c>
      <c r="R120" s="0" t="n">
        <f aca="false">Offre!$E$17*(Offre!$C$17^Param!$B$3)*1_Friction!R120</f>
        <v>1.11638631748515</v>
      </c>
      <c r="S120" s="0" t="n">
        <f aca="false">Offre!$E$18*(Offre!$C$18^Param!$B$3)*1_Friction!S120</f>
        <v>0.798757871853343</v>
      </c>
      <c r="T120" s="0" t="n">
        <f aca="false">Offre!$E$19*(Offre!$C$19^Param!$B$3)*1_Friction!T120</f>
        <v>2.82212932686638</v>
      </c>
      <c r="U120" s="0" t="n">
        <f aca="false">Offre!$E$20*(Offre!$C$20^Param!$B$3)*1_Friction!U120</f>
        <v>18.6698390278452</v>
      </c>
      <c r="V120" s="0" t="n">
        <f aca="false">Offre!$E$21*(Offre!$C$21^Param!$B$3)*1_Friction!V120</f>
        <v>71.6496688454163</v>
      </c>
      <c r="W120" s="0" t="n">
        <f aca="false">Offre!$E$22*(Offre!$C$22^Param!$B$3)*1_Friction!W120</f>
        <v>14.0869850745734</v>
      </c>
      <c r="X120" s="0" t="n">
        <f aca="false">Offre!$E$23*(Offre!$C$23^Param!$B$3)*1_Friction!X120</f>
        <v>19.7402962223417</v>
      </c>
      <c r="Y120" s="0" t="n">
        <f aca="false">Offre!$E$24*(Offre!$C$24^Param!$B$3)*1_Friction!Y120</f>
        <v>13.0016015009361</v>
      </c>
      <c r="Z120" s="0" t="n">
        <f aca="false">Offre!$E$25*(Offre!$C$25^Param!$B$3)*1_Friction!Z120</f>
        <v>31.935654592325</v>
      </c>
      <c r="AA120" s="0" t="n">
        <f aca="false">Offre!$E$26*(Offre!$C$26^Param!$B$3)*1_Friction!AA120</f>
        <v>66.8494126542307</v>
      </c>
      <c r="AB120" s="0" t="n">
        <f aca="false">Offre!$E$27*(Offre!$C$27^Param!$B$3)*1_Friction!AB120</f>
        <v>29.4204338372552</v>
      </c>
      <c r="AC120" s="0" t="n">
        <f aca="false">Offre!$E$28*(Offre!$C$28^Param!$B$3)*1_Friction!AC120</f>
        <v>0</v>
      </c>
      <c r="AD120" s="0" t="n">
        <f aca="false">Offre!$E$29*(Offre!$C$29^Param!$B$3)*1_Friction!AD120</f>
        <v>0</v>
      </c>
      <c r="AE120" s="0" t="n">
        <f aca="false">Offre!$E$30*(Offre!$C$30^Param!$B$3)*1_Friction!AE120</f>
        <v>0</v>
      </c>
      <c r="AF120" s="0" t="n">
        <f aca="false">Offre!$E$31*(Offre!$C$31^Param!$B$3)*1_Friction!AF120</f>
        <v>0</v>
      </c>
      <c r="AG120" s="0" t="n">
        <f aca="false">Offre!$E$32*(Offre!$C$32^Param!$B$3)*1_Friction!AG120</f>
        <v>0</v>
      </c>
      <c r="AH120" s="0" t="n">
        <f aca="false">Offre!$E$33*(Offre!$C$33^Param!$B$3)*1_Friction!AH120</f>
        <v>2.97265953561268</v>
      </c>
      <c r="AI120" s="0" t="n">
        <f aca="false">Offre!$E$34*(Offre!$C$34^Param!$B$3)*1_Friction!AI120</f>
        <v>1.15200150551352</v>
      </c>
      <c r="AJ120" s="0" t="n">
        <f aca="false">Offre!$E$35*(Offre!$C$35^Param!$B$3)*1_Friction!AJ120</f>
        <v>29.8157581315836</v>
      </c>
      <c r="AK120" s="0" t="n">
        <f aca="false">Offre!$E$36*(Offre!$C$36^Param!$B$3)*1_Friction!AK120</f>
        <v>0</v>
      </c>
      <c r="AL120" s="0" t="n">
        <f aca="false">Offre!$E$37*(Offre!$C$37^Param!$B$3)*1_Friction!AL120</f>
        <v>0</v>
      </c>
      <c r="AM120" s="0" t="n">
        <f aca="false">Offre!$E$38*(Offre!$C$38^Param!$B$3)*1_Friction!AM120</f>
        <v>0.737206100671819</v>
      </c>
      <c r="AN120" s="0" t="n">
        <f aca="false">Offre!$E$39*(Offre!$C$39^Param!$B$3)*1_Friction!AN120</f>
        <v>0</v>
      </c>
      <c r="AO120" s="0" t="n">
        <f aca="false">SUM(C120:AN120)</f>
        <v>336.755469738157</v>
      </c>
    </row>
    <row r="121" customFormat="false" ht="15" hidden="false" customHeight="true" outlineLevel="0" collapsed="false">
      <c r="A121" s="0" t="s">
        <v>340</v>
      </c>
      <c r="B121" s="0" t="s">
        <v>341</v>
      </c>
      <c r="C121" s="0" t="n">
        <f aca="false">Offre!$E$2*(Offre!$C$2^Param!$B$3)*1_Friction!C121</f>
        <v>0.629426767535431</v>
      </c>
      <c r="D121" s="0" t="n">
        <f aca="false">Offre!$E$3*(Offre!$C$3^Param!$B$3)*1_Friction!D121</f>
        <v>0.288723684107227</v>
      </c>
      <c r="E121" s="0" t="n">
        <f aca="false">Offre!$E$4*(Offre!$C$4^Param!$B$3)*1_Friction!E121</f>
        <v>3.28793700585649</v>
      </c>
      <c r="F121" s="0" t="n">
        <f aca="false">Offre!$E$5*(Offre!$C$5^Param!$B$3)*1_Friction!F121</f>
        <v>0.606658804728828</v>
      </c>
      <c r="G121" s="0" t="n">
        <f aca="false">Offre!$E$6*(Offre!$C$6^Param!$B$3)*1_Friction!G121</f>
        <v>1.68542694610984</v>
      </c>
      <c r="H121" s="0" t="n">
        <f aca="false">Offre!$E$7*(Offre!$C$7^Param!$B$3)*1_Friction!H121</f>
        <v>0.467759139076681</v>
      </c>
      <c r="I121" s="0" t="n">
        <f aca="false">Offre!$E$8*(Offre!$C$8^Param!$B$3)*1_Friction!I121</f>
        <v>1.06110462773786</v>
      </c>
      <c r="J121" s="0" t="n">
        <f aca="false">Offre!$E$9*(Offre!$C$9^Param!$B$3)*1_Friction!J121</f>
        <v>0.798490314075516</v>
      </c>
      <c r="K121" s="0" t="n">
        <f aca="false">Offre!$E$10*(Offre!$C$10^Param!$B$3)*1_Friction!K121</f>
        <v>0.46916130782801</v>
      </c>
      <c r="L121" s="0" t="n">
        <f aca="false">Offre!$E$11*(Offre!$C$11^Param!$B$3)*1_Friction!L121</f>
        <v>0.531463323872662</v>
      </c>
      <c r="M121" s="0" t="n">
        <f aca="false">Offre!$E$12*(Offre!$C$12^Param!$B$3)*1_Friction!M121</f>
        <v>3.14182704790695</v>
      </c>
      <c r="N121" s="0" t="n">
        <f aca="false">Offre!$E$13*(Offre!$C$13^Param!$B$3)*1_Friction!N121</f>
        <v>0.371717385295922</v>
      </c>
      <c r="O121" s="0" t="n">
        <f aca="false">Offre!$E$14*(Offre!$C$14^Param!$B$3)*1_Friction!O121</f>
        <v>1.19918246612349</v>
      </c>
      <c r="P121" s="0" t="n">
        <f aca="false">Offre!$E$15*(Offre!$C$15^Param!$B$3)*1_Friction!P121</f>
        <v>0.601292622384789</v>
      </c>
      <c r="Q121" s="0" t="n">
        <f aca="false">Offre!$E$16*(Offre!$C$16^Param!$B$3)*1_Friction!Q121</f>
        <v>5.35579251297252</v>
      </c>
      <c r="R121" s="0" t="n">
        <f aca="false">Offre!$E$17*(Offre!$C$17^Param!$B$3)*1_Friction!R121</f>
        <v>0.701958789236359</v>
      </c>
      <c r="S121" s="0" t="n">
        <f aca="false">Offre!$E$18*(Offre!$C$18^Param!$B$3)*1_Friction!S121</f>
        <v>0.500354423712183</v>
      </c>
      <c r="T121" s="0" t="n">
        <f aca="false">Offre!$E$19*(Offre!$C$19^Param!$B$3)*1_Friction!T121</f>
        <v>4.33086469351425</v>
      </c>
      <c r="U121" s="0" t="n">
        <f aca="false">Offre!$E$20*(Offre!$C$20^Param!$B$3)*1_Friction!U121</f>
        <v>16.149392990607</v>
      </c>
      <c r="V121" s="0" t="n">
        <f aca="false">Offre!$E$21*(Offre!$C$21^Param!$B$3)*1_Friction!V121</f>
        <v>92.039062743385</v>
      </c>
      <c r="W121" s="0" t="n">
        <f aca="false">Offre!$E$22*(Offre!$C$22^Param!$B$3)*1_Friction!W121</f>
        <v>18.0125957066398</v>
      </c>
      <c r="X121" s="0" t="n">
        <f aca="false">Offre!$E$23*(Offre!$C$23^Param!$B$3)*1_Friction!X121</f>
        <v>24.9114112913546</v>
      </c>
      <c r="Y121" s="0" t="n">
        <f aca="false">Offre!$E$24*(Offre!$C$24^Param!$B$3)*1_Friction!Y121</f>
        <v>16.5048897842465</v>
      </c>
      <c r="Z121" s="0" t="n">
        <f aca="false">Offre!$E$25*(Offre!$C$25^Param!$B$3)*1_Friction!Z121</f>
        <v>40.8835210182664</v>
      </c>
      <c r="AA121" s="0" t="n">
        <f aca="false">Offre!$E$26*(Offre!$C$26^Param!$B$3)*1_Friction!AA121</f>
        <v>83.6978138146559</v>
      </c>
      <c r="AB121" s="0" t="n">
        <f aca="false">Offre!$E$27*(Offre!$C$27^Param!$B$3)*1_Friction!AB121</f>
        <v>37.2447444292716</v>
      </c>
      <c r="AC121" s="0" t="n">
        <f aca="false">Offre!$E$28*(Offre!$C$28^Param!$B$3)*1_Friction!AC121</f>
        <v>0</v>
      </c>
      <c r="AD121" s="0" t="n">
        <f aca="false">Offre!$E$29*(Offre!$C$29^Param!$B$3)*1_Friction!AD121</f>
        <v>0</v>
      </c>
      <c r="AE121" s="0" t="n">
        <f aca="false">Offre!$E$30*(Offre!$C$30^Param!$B$3)*1_Friction!AE121</f>
        <v>0</v>
      </c>
      <c r="AF121" s="0" t="n">
        <f aca="false">Offre!$E$31*(Offre!$C$31^Param!$B$3)*1_Friction!AF121</f>
        <v>0</v>
      </c>
      <c r="AG121" s="0" t="n">
        <f aca="false">Offre!$E$32*(Offre!$C$32^Param!$B$3)*1_Friction!AG121</f>
        <v>0</v>
      </c>
      <c r="AH121" s="0" t="n">
        <f aca="false">Offre!$E$33*(Offre!$C$33^Param!$B$3)*1_Friction!AH121</f>
        <v>1.88038349589026</v>
      </c>
      <c r="AI121" s="0" t="n">
        <f aca="false">Offre!$E$34*(Offre!$C$34^Param!$B$3)*1_Friction!AI121</f>
        <v>1.79558118770754</v>
      </c>
      <c r="AJ121" s="0" t="n">
        <f aca="false">Offre!$E$35*(Offre!$C$35^Param!$B$3)*1_Friction!AJ121</f>
        <v>37.7253466788695</v>
      </c>
      <c r="AK121" s="0" t="n">
        <f aca="false">Offre!$E$36*(Offre!$C$36^Param!$B$3)*1_Friction!AK121</f>
        <v>0</v>
      </c>
      <c r="AL121" s="0" t="n">
        <f aca="false">Offre!$E$37*(Offre!$C$37^Param!$B$3)*1_Friction!AL121</f>
        <v>0</v>
      </c>
      <c r="AM121" s="0" t="n">
        <f aca="false">Offre!$E$38*(Offre!$C$38^Param!$B$3)*1_Friction!AM121</f>
        <v>1.45783186607369</v>
      </c>
      <c r="AN121" s="0" t="n">
        <f aca="false">Offre!$E$39*(Offre!$C$39^Param!$B$3)*1_Friction!AN121</f>
        <v>0</v>
      </c>
      <c r="AO121" s="0" t="n">
        <f aca="false">SUM(C121:AN121)</f>
        <v>398.331716869043</v>
      </c>
    </row>
    <row r="122" customFormat="false" ht="15" hidden="false" customHeight="true" outlineLevel="0" collapsed="false">
      <c r="A122" s="0" t="s">
        <v>342</v>
      </c>
      <c r="B122" s="0" t="s">
        <v>343</v>
      </c>
      <c r="C122" s="0" t="n">
        <f aca="false">Offre!$E$2*(Offre!$C$2^Param!$B$3)*1_Friction!C122</f>
        <v>0.815108840079863</v>
      </c>
      <c r="D122" s="0" t="n">
        <f aca="false">Offre!$E$3*(Offre!$C$3^Param!$B$3)*1_Friction!D122</f>
        <v>0.299620140453944</v>
      </c>
      <c r="E122" s="0" t="n">
        <f aca="false">Offre!$E$4*(Offre!$C$4^Param!$B$3)*1_Friction!E122</f>
        <v>2.93978444903307</v>
      </c>
      <c r="F122" s="0" t="n">
        <f aca="false">Offre!$E$5*(Offre!$C$5^Param!$B$3)*1_Friction!F122</f>
        <v>0.542630880218155</v>
      </c>
      <c r="G122" s="0" t="n">
        <f aca="false">Offre!$E$6*(Offre!$C$6^Param!$B$3)*1_Friction!G122</f>
        <v>1.44591848387851</v>
      </c>
      <c r="H122" s="0" t="n">
        <f aca="false">Offre!$E$7*(Offre!$C$7^Param!$B$3)*1_Friction!H122</f>
        <v>0.419573508363882</v>
      </c>
      <c r="I122" s="0" t="n">
        <f aca="false">Offre!$E$8*(Offre!$C$8^Param!$B$3)*1_Friction!I122</f>
        <v>0.913189065102767</v>
      </c>
      <c r="J122" s="0" t="n">
        <f aca="false">Offre!$E$9*(Offre!$C$9^Param!$B$3)*1_Friction!J122</f>
        <v>0.686831485290123</v>
      </c>
      <c r="K122" s="0" t="n">
        <f aca="false">Offre!$E$10*(Offre!$C$10^Param!$B$3)*1_Friction!K122</f>
        <v>0.402635020399789</v>
      </c>
      <c r="L122" s="0" t="n">
        <f aca="false">Offre!$E$11*(Offre!$C$11^Param!$B$3)*1_Friction!L122</f>
        <v>0.457396544809136</v>
      </c>
      <c r="M122" s="0" t="n">
        <f aca="false">Offre!$E$12*(Offre!$C$12^Param!$B$3)*1_Friction!M122</f>
        <v>2.71275529524264</v>
      </c>
      <c r="N122" s="0" t="n">
        <f aca="false">Offre!$E$13*(Offre!$C$13^Param!$B$3)*1_Friction!N122</f>
        <v>0.319567479510507</v>
      </c>
      <c r="O122" s="0" t="n">
        <f aca="false">Offre!$E$14*(Offre!$C$14^Param!$B$3)*1_Friction!O122</f>
        <v>1.03217801178558</v>
      </c>
      <c r="P122" s="0" t="n">
        <f aca="false">Offre!$E$15*(Offre!$C$15^Param!$B$3)*1_Friction!P122</f>
        <v>0.517928107220592</v>
      </c>
      <c r="Q122" s="0" t="n">
        <f aca="false">Offre!$E$16*(Offre!$C$16^Param!$B$3)*1_Friction!Q122</f>
        <v>4.61020474029202</v>
      </c>
      <c r="R122" s="0" t="n">
        <f aca="false">Offre!$E$17*(Offre!$C$17^Param!$B$3)*1_Friction!R122</f>
        <v>0.604000392934111</v>
      </c>
      <c r="S122" s="0" t="n">
        <f aca="false">Offre!$E$18*(Offre!$C$18^Param!$B$3)*1_Friction!S122</f>
        <v>0.430030539868143</v>
      </c>
      <c r="T122" s="0" t="n">
        <f aca="false">Offre!$E$19*(Offre!$C$19^Param!$B$3)*1_Friction!T122</f>
        <v>5.07236494041726</v>
      </c>
      <c r="U122" s="0" t="n">
        <f aca="false">Offre!$E$20*(Offre!$C$20^Param!$B$3)*1_Friction!U122</f>
        <v>15.3319663499761</v>
      </c>
      <c r="V122" s="0" t="n">
        <f aca="false">Offre!$E$21*(Offre!$C$21^Param!$B$3)*1_Friction!V122</f>
        <v>84.3995609649517</v>
      </c>
      <c r="W122" s="0" t="n">
        <f aca="false">Offre!$E$22*(Offre!$C$22^Param!$B$3)*1_Friction!W122</f>
        <v>15.4898007822142</v>
      </c>
      <c r="X122" s="0" t="n">
        <f aca="false">Offre!$E$23*(Offre!$C$23^Param!$B$3)*1_Friction!X122</f>
        <v>21.4442177545416</v>
      </c>
      <c r="Y122" s="0" t="n">
        <f aca="false">Offre!$E$24*(Offre!$C$24^Param!$B$3)*1_Friction!Y122</f>
        <v>14.1480184083381</v>
      </c>
      <c r="Z122" s="0" t="n">
        <f aca="false">Offre!$E$25*(Offre!$C$25^Param!$B$3)*1_Friction!Z122</f>
        <v>34.8529605143904</v>
      </c>
      <c r="AA122" s="0" t="n">
        <f aca="false">Offre!$E$26*(Offre!$C$26^Param!$B$3)*1_Friction!AA122</f>
        <v>68.5375239532977</v>
      </c>
      <c r="AB122" s="0" t="n">
        <f aca="false">Offre!$E$27*(Offre!$C$27^Param!$B$3)*1_Friction!AB122</f>
        <v>30.1916192509201</v>
      </c>
      <c r="AC122" s="0" t="n">
        <f aca="false">Offre!$E$28*(Offre!$C$28^Param!$B$3)*1_Friction!AC122</f>
        <v>0</v>
      </c>
      <c r="AD122" s="0" t="n">
        <f aca="false">Offre!$E$29*(Offre!$C$29^Param!$B$3)*1_Friction!AD122</f>
        <v>0</v>
      </c>
      <c r="AE122" s="0" t="n">
        <f aca="false">Offre!$E$30*(Offre!$C$30^Param!$B$3)*1_Friction!AE122</f>
        <v>0</v>
      </c>
      <c r="AF122" s="0" t="n">
        <f aca="false">Offre!$E$31*(Offre!$C$31^Param!$B$3)*1_Friction!AF122</f>
        <v>0</v>
      </c>
      <c r="AG122" s="0" t="n">
        <f aca="false">Offre!$E$32*(Offre!$C$32^Param!$B$3)*1_Friction!AG122</f>
        <v>0</v>
      </c>
      <c r="AH122" s="0" t="n">
        <f aca="false">Offre!$E$33*(Offre!$C$33^Param!$B$3)*1_Friction!AH122</f>
        <v>1.62097044847107</v>
      </c>
      <c r="AI122" s="0" t="n">
        <f aca="false">Offre!$E$34*(Offre!$C$34^Param!$B$3)*1_Friction!AI122</f>
        <v>2.11712645857537</v>
      </c>
      <c r="AJ122" s="0" t="n">
        <f aca="false">Offre!$E$35*(Offre!$C$35^Param!$B$3)*1_Friction!AJ122</f>
        <v>32.413973779527</v>
      </c>
      <c r="AK122" s="0" t="n">
        <f aca="false">Offre!$E$36*(Offre!$C$36^Param!$B$3)*1_Friction!AK122</f>
        <v>0</v>
      </c>
      <c r="AL122" s="0" t="n">
        <f aca="false">Offre!$E$37*(Offre!$C$37^Param!$B$3)*1_Friction!AL122</f>
        <v>0</v>
      </c>
      <c r="AM122" s="0" t="n">
        <f aca="false">Offre!$E$38*(Offre!$C$38^Param!$B$3)*1_Friction!AM122</f>
        <v>1.88930685689918</v>
      </c>
      <c r="AN122" s="0" t="n">
        <f aca="false">Offre!$E$39*(Offre!$C$39^Param!$B$3)*1_Friction!AN122</f>
        <v>0</v>
      </c>
      <c r="AO122" s="0" t="n">
        <f aca="false">SUM(C122:AN122)</f>
        <v>346.658763447003</v>
      </c>
    </row>
    <row r="123" customFormat="false" ht="15" hidden="false" customHeight="true" outlineLevel="0" collapsed="false">
      <c r="A123" s="0" t="s">
        <v>344</v>
      </c>
      <c r="B123" s="0" t="s">
        <v>345</v>
      </c>
      <c r="C123" s="0" t="n">
        <f aca="false">Offre!$E$2*(Offre!$C$2^Param!$B$3)*1_Friction!C123</f>
        <v>0.62360789270286</v>
      </c>
      <c r="D123" s="0" t="n">
        <f aca="false">Offre!$E$3*(Offre!$C$3^Param!$B$3)*1_Friction!D123</f>
        <v>0.191348571990199</v>
      </c>
      <c r="E123" s="0" t="n">
        <f aca="false">Offre!$E$4*(Offre!$C$4^Param!$B$3)*1_Friction!E123</f>
        <v>1.86108191210469</v>
      </c>
      <c r="F123" s="0" t="n">
        <f aca="false">Offre!$E$5*(Offre!$C$5^Param!$B$3)*1_Friction!F123</f>
        <v>0.344044409396295</v>
      </c>
      <c r="G123" s="0" t="n">
        <f aca="false">Offre!$E$6*(Offre!$C$6^Param!$B$3)*1_Friction!G123</f>
        <v>0.899006632883932</v>
      </c>
      <c r="H123" s="0" t="n">
        <f aca="false">Offre!$E$7*(Offre!$C$7^Param!$B$3)*1_Friction!H123</f>
        <v>0.269237693717387</v>
      </c>
      <c r="I123" s="0" t="n">
        <f aca="false">Offre!$E$8*(Offre!$C$8^Param!$B$3)*1_Friction!I123</f>
        <v>0.521970800178177</v>
      </c>
      <c r="J123" s="0" t="n">
        <f aca="false">Offre!$E$9*(Offre!$C$9^Param!$B$3)*1_Friction!J123</f>
        <v>0.396687207652726</v>
      </c>
      <c r="K123" s="0" t="n">
        <f aca="false">Offre!$E$10*(Offre!$C$10^Param!$B$3)*1_Friction!K123</f>
        <v>0.243473608229876</v>
      </c>
      <c r="L123" s="0" t="n">
        <f aca="false">Offre!$E$11*(Offre!$C$11^Param!$B$3)*1_Friction!L123</f>
        <v>0.261480272558697</v>
      </c>
      <c r="M123" s="0" t="n">
        <f aca="false">Offre!$E$12*(Offre!$C$12^Param!$B$3)*1_Friction!M123</f>
        <v>1.5466172229085</v>
      </c>
      <c r="N123" s="0" t="n">
        <f aca="false">Offre!$E$13*(Offre!$C$13^Param!$B$3)*1_Friction!N123</f>
        <v>0.189763626926597</v>
      </c>
      <c r="O123" s="0" t="n">
        <f aca="false">Offre!$E$14*(Offre!$C$14^Param!$B$3)*1_Friction!O123</f>
        <v>0.587945568996743</v>
      </c>
      <c r="P123" s="0" t="n">
        <f aca="false">Offre!$E$15*(Offre!$C$15^Param!$B$3)*1_Friction!P123</f>
        <v>0.283137170456527</v>
      </c>
      <c r="Q123" s="0" t="n">
        <f aca="false">Offre!$E$16*(Offre!$C$16^Param!$B$3)*1_Friction!Q123</f>
        <v>2.41849723749166</v>
      </c>
      <c r="R123" s="0" t="n">
        <f aca="false">Offre!$E$17*(Offre!$C$17^Param!$B$3)*1_Friction!R123</f>
        <v>0.318783974085665</v>
      </c>
      <c r="S123" s="0" t="n">
        <f aca="false">Offre!$E$18*(Offre!$C$18^Param!$B$3)*1_Friction!S123</f>
        <v>0.232527547179368</v>
      </c>
      <c r="T123" s="0" t="n">
        <f aca="false">Offre!$E$19*(Offre!$C$19^Param!$B$3)*1_Friction!T123</f>
        <v>3.9325700504362</v>
      </c>
      <c r="U123" s="0" t="n">
        <f aca="false">Offre!$E$20*(Offre!$C$20^Param!$B$3)*1_Friction!U123</f>
        <v>3.08875289919586</v>
      </c>
      <c r="V123" s="0" t="n">
        <f aca="false">Offre!$E$21*(Offre!$C$21^Param!$B$3)*1_Friction!V123</f>
        <v>53.9354168170091</v>
      </c>
      <c r="W123" s="0" t="n">
        <f aca="false">Offre!$E$22*(Offre!$C$22^Param!$B$3)*1_Friction!W123</f>
        <v>10.2065186789079</v>
      </c>
      <c r="X123" s="0" t="n">
        <f aca="false">Offre!$E$23*(Offre!$C$23^Param!$B$3)*1_Friction!X123</f>
        <v>13.718432168336</v>
      </c>
      <c r="Y123" s="0" t="n">
        <f aca="false">Offre!$E$24*(Offre!$C$24^Param!$B$3)*1_Friction!Y123</f>
        <v>9.14203283326358</v>
      </c>
      <c r="Z123" s="0" t="n">
        <f aca="false">Offre!$E$25*(Offre!$C$25^Param!$B$3)*1_Friction!Z123</f>
        <v>22.6221509776287</v>
      </c>
      <c r="AA123" s="0" t="n">
        <f aca="false">Offre!$E$26*(Offre!$C$26^Param!$B$3)*1_Friction!AA123</f>
        <v>42.6014625818877</v>
      </c>
      <c r="AB123" s="0" t="n">
        <f aca="false">Offre!$E$27*(Offre!$C$27^Param!$B$3)*1_Friction!AB123</f>
        <v>18.6042866854462</v>
      </c>
      <c r="AC123" s="0" t="n">
        <f aca="false">Offre!$E$28*(Offre!$C$28^Param!$B$3)*1_Friction!AC123</f>
        <v>0</v>
      </c>
      <c r="AD123" s="0" t="n">
        <f aca="false">Offre!$E$29*(Offre!$C$29^Param!$B$3)*1_Friction!AD123</f>
        <v>0</v>
      </c>
      <c r="AE123" s="0" t="n">
        <f aca="false">Offre!$E$30*(Offre!$C$30^Param!$B$3)*1_Friction!AE123</f>
        <v>0</v>
      </c>
      <c r="AF123" s="0" t="n">
        <f aca="false">Offre!$E$31*(Offre!$C$31^Param!$B$3)*1_Friction!AF123</f>
        <v>0</v>
      </c>
      <c r="AG123" s="0" t="n">
        <f aca="false">Offre!$E$32*(Offre!$C$32^Param!$B$3)*1_Friction!AG123</f>
        <v>0</v>
      </c>
      <c r="AH123" s="0" t="n">
        <f aca="false">Offre!$E$33*(Offre!$C$33^Param!$B$3)*1_Friction!AH123</f>
        <v>0.711566983526743</v>
      </c>
      <c r="AI123" s="0" t="n">
        <f aca="false">Offre!$E$34*(Offre!$C$34^Param!$B$3)*1_Friction!AI123</f>
        <v>1.78485442277163</v>
      </c>
      <c r="AJ123" s="0" t="n">
        <f aca="false">Offre!$E$35*(Offre!$C$35^Param!$B$3)*1_Friction!AJ123</f>
        <v>20.1400478802318</v>
      </c>
      <c r="AK123" s="0" t="n">
        <f aca="false">Offre!$E$36*(Offre!$C$36^Param!$B$3)*1_Friction!AK123</f>
        <v>0</v>
      </c>
      <c r="AL123" s="0" t="n">
        <f aca="false">Offre!$E$37*(Offre!$C$37^Param!$B$3)*1_Friction!AL123</f>
        <v>0</v>
      </c>
      <c r="AM123" s="0" t="n">
        <f aca="false">Offre!$E$38*(Offre!$C$38^Param!$B$3)*1_Friction!AM123</f>
        <v>1.44542754923032</v>
      </c>
      <c r="AN123" s="0" t="n">
        <f aca="false">Offre!$E$39*(Offre!$C$39^Param!$B$3)*1_Friction!AN123</f>
        <v>0</v>
      </c>
      <c r="AO123" s="0" t="n">
        <f aca="false">SUM(C123:AN123)</f>
        <v>213.122731877332</v>
      </c>
    </row>
    <row r="124" customFormat="false" ht="15" hidden="false" customHeight="true" outlineLevel="0" collapsed="false">
      <c r="A124" s="0" t="s">
        <v>346</v>
      </c>
      <c r="B124" s="0" t="s">
        <v>347</v>
      </c>
      <c r="C124" s="0" t="n">
        <f aca="false">Offre!$E$2*(Offre!$C$2^Param!$B$3)*1_Friction!C124</f>
        <v>1.19200627456068</v>
      </c>
      <c r="D124" s="0" t="n">
        <f aca="false">Offre!$E$3*(Offre!$C$3^Param!$B$3)*1_Friction!D124</f>
        <v>0.453318040955232</v>
      </c>
      <c r="E124" s="0" t="n">
        <f aca="false">Offre!$E$4*(Offre!$C$4^Param!$B$3)*1_Friction!E124</f>
        <v>4.48212008757557</v>
      </c>
      <c r="F124" s="0" t="n">
        <f aca="false">Offre!$E$5*(Offre!$C$5^Param!$B$3)*1_Friction!F124</f>
        <v>0.826084560154162</v>
      </c>
      <c r="G124" s="0" t="n">
        <f aca="false">Offre!$E$6*(Offre!$C$6^Param!$B$3)*1_Friction!G124</f>
        <v>2.18062677559467</v>
      </c>
      <c r="H124" s="0" t="n">
        <f aca="false">Offre!$E$7*(Offre!$C$7^Param!$B$3)*1_Friction!H124</f>
        <v>0.631829732930582</v>
      </c>
      <c r="I124" s="0" t="n">
        <f aca="false">Offre!$E$8*(Offre!$C$8^Param!$B$3)*1_Friction!I124</f>
        <v>1.25058117689276</v>
      </c>
      <c r="J124" s="0" t="n">
        <f aca="false">Offre!$E$9*(Offre!$C$9^Param!$B$3)*1_Friction!J124</f>
        <v>0.956957966615928</v>
      </c>
      <c r="K124" s="0" t="n">
        <f aca="false">Offre!$E$10*(Offre!$C$10^Param!$B$3)*1_Friction!K124</f>
        <v>0.58859558891553</v>
      </c>
      <c r="L124" s="0" t="n">
        <f aca="false">Offre!$E$11*(Offre!$C$11^Param!$B$3)*1_Friction!L124</f>
        <v>0.626336639548469</v>
      </c>
      <c r="M124" s="0" t="n">
        <f aca="false">Offre!$E$12*(Offre!$C$12^Param!$B$3)*1_Friction!M124</f>
        <v>3.65955496283103</v>
      </c>
      <c r="N124" s="0" t="n">
        <f aca="false">Offre!$E$13*(Offre!$C$13^Param!$B$3)*1_Friction!N124</f>
        <v>0.455488733354169</v>
      </c>
      <c r="O124" s="0" t="n">
        <f aca="false">Offre!$E$14*(Offre!$C$14^Param!$B$3)*1_Friction!O124</f>
        <v>1.41565762603792</v>
      </c>
      <c r="P124" s="0" t="n">
        <f aca="false">Offre!$E$15*(Offre!$C$15^Param!$B$3)*1_Friction!P124</f>
        <v>0.681849834556523</v>
      </c>
      <c r="Q124" s="0" t="n">
        <f aca="false">Offre!$E$16*(Offre!$C$16^Param!$B$3)*1_Friction!Q124</f>
        <v>5.85126567912118</v>
      </c>
      <c r="R124" s="0" t="n">
        <f aca="false">Offre!$E$17*(Offre!$C$17^Param!$B$3)*1_Friction!R124</f>
        <v>0.771639596220928</v>
      </c>
      <c r="S124" s="0" t="n">
        <f aca="false">Offre!$E$18*(Offre!$C$18^Param!$B$3)*1_Friction!S124</f>
        <v>0.565151461339692</v>
      </c>
      <c r="T124" s="0" t="n">
        <f aca="false">Offre!$E$19*(Offre!$C$19^Param!$B$3)*1_Friction!T124</f>
        <v>6.34153643617652</v>
      </c>
      <c r="U124" s="0" t="n">
        <f aca="false">Offre!$E$20*(Offre!$C$20^Param!$B$3)*1_Friction!U124</f>
        <v>7.20432898177897</v>
      </c>
      <c r="V124" s="0" t="n">
        <f aca="false">Offre!$E$21*(Offre!$C$21^Param!$B$3)*1_Friction!V124</f>
        <v>66.0767924427516</v>
      </c>
      <c r="W124" s="0" t="n">
        <f aca="false">Offre!$E$22*(Offre!$C$22^Param!$B$3)*1_Friction!W124</f>
        <v>11.9912702328096</v>
      </c>
      <c r="X124" s="0" t="n">
        <f aca="false">Offre!$E$23*(Offre!$C$23^Param!$B$3)*1_Friction!X124</f>
        <v>16.2909887275202</v>
      </c>
      <c r="Y124" s="0" t="n">
        <f aca="false">Offre!$E$24*(Offre!$C$24^Param!$B$3)*1_Friction!Y124</f>
        <v>10.8532964495779</v>
      </c>
      <c r="Z124" s="0" t="n">
        <f aca="false">Offre!$E$25*(Offre!$C$25^Param!$B$3)*1_Friction!Z124</f>
        <v>26.8663679412449</v>
      </c>
      <c r="AA124" s="0" t="n">
        <f aca="false">Offre!$E$26*(Offre!$C$26^Param!$B$3)*1_Friction!AA124</f>
        <v>51.068418729771</v>
      </c>
      <c r="AB124" s="0" t="n">
        <f aca="false">Offre!$E$27*(Offre!$C$27^Param!$B$3)*1_Friction!AB124</f>
        <v>22.3796120657154</v>
      </c>
      <c r="AC124" s="0" t="n">
        <f aca="false">Offre!$E$28*(Offre!$C$28^Param!$B$3)*1_Friction!AC124</f>
        <v>0</v>
      </c>
      <c r="AD124" s="0" t="n">
        <f aca="false">Offre!$E$29*(Offre!$C$29^Param!$B$3)*1_Friction!AD124</f>
        <v>0</v>
      </c>
      <c r="AE124" s="0" t="n">
        <f aca="false">Offre!$E$30*(Offre!$C$30^Param!$B$3)*1_Friction!AE124</f>
        <v>0</v>
      </c>
      <c r="AF124" s="0" t="n">
        <f aca="false">Offre!$E$31*(Offre!$C$31^Param!$B$3)*1_Friction!AF124</f>
        <v>0</v>
      </c>
      <c r="AG124" s="0" t="n">
        <f aca="false">Offre!$E$32*(Offre!$C$32^Param!$B$3)*1_Friction!AG124</f>
        <v>0</v>
      </c>
      <c r="AH124" s="0" t="n">
        <f aca="false">Offre!$E$33*(Offre!$C$33^Param!$B$3)*1_Friction!AH124</f>
        <v>1.7428647650423</v>
      </c>
      <c r="AI124" s="0" t="n">
        <f aca="false">Offre!$E$34*(Offre!$C$34^Param!$B$3)*1_Friction!AI124</f>
        <v>2.67450121630889</v>
      </c>
      <c r="AJ124" s="0" t="n">
        <f aca="false">Offre!$E$35*(Offre!$C$35^Param!$B$3)*1_Friction!AJ124</f>
        <v>24.0257139003745</v>
      </c>
      <c r="AK124" s="0" t="n">
        <f aca="false">Offre!$E$36*(Offre!$C$36^Param!$B$3)*1_Friction!AK124</f>
        <v>0</v>
      </c>
      <c r="AL124" s="0" t="n">
        <f aca="false">Offre!$E$37*(Offre!$C$37^Param!$B$3)*1_Friction!AL124</f>
        <v>0</v>
      </c>
      <c r="AM124" s="0" t="n">
        <f aca="false">Offre!$E$38*(Offre!$C$38^Param!$B$3)*1_Friction!AM124</f>
        <v>2.78353270198869</v>
      </c>
      <c r="AN124" s="0" t="n">
        <f aca="false">Offre!$E$39*(Offre!$C$39^Param!$B$3)*1_Friction!AN124</f>
        <v>0</v>
      </c>
      <c r="AO124" s="0" t="n">
        <f aca="false">SUM(C124:AN124)</f>
        <v>276.888289328266</v>
      </c>
    </row>
    <row r="125" customFormat="false" ht="15" hidden="false" customHeight="true" outlineLevel="0" collapsed="false">
      <c r="A125" s="0" t="s">
        <v>348</v>
      </c>
      <c r="B125" s="0" t="s">
        <v>349</v>
      </c>
      <c r="C125" s="0" t="n">
        <f aca="false">Offre!$E$2*(Offre!$C$2^Param!$B$3)*1_Friction!C125</f>
        <v>0.602828225429005</v>
      </c>
      <c r="D125" s="0" t="n">
        <f aca="false">Offre!$E$3*(Offre!$C$3^Param!$B$3)*1_Friction!D125</f>
        <v>0.215696195383596</v>
      </c>
      <c r="E125" s="0" t="n">
        <f aca="false">Offre!$E$4*(Offre!$C$4^Param!$B$3)*1_Friction!E125</f>
        <v>2.10417345553153</v>
      </c>
      <c r="F125" s="0" t="n">
        <f aca="false">Offre!$E$5*(Offre!$C$5^Param!$B$3)*1_Friction!F125</f>
        <v>0.388827722161395</v>
      </c>
      <c r="G125" s="0" t="n">
        <f aca="false">Offre!$E$6*(Offre!$C$6^Param!$B$3)*1_Friction!G125</f>
        <v>1.0173954933625</v>
      </c>
      <c r="H125" s="0" t="n">
        <f aca="false">Offre!$E$7*(Offre!$C$7^Param!$B$3)*1_Friction!H125</f>
        <v>0.303394334535163</v>
      </c>
      <c r="I125" s="0" t="n">
        <f aca="false">Offre!$E$8*(Offre!$C$8^Param!$B$3)*1_Friction!I125</f>
        <v>0.589259883101497</v>
      </c>
      <c r="J125" s="0" t="n">
        <f aca="false">Offre!$E$9*(Offre!$C$9^Param!$B$3)*1_Friction!J125</f>
        <v>0.448601313929531</v>
      </c>
      <c r="K125" s="0" t="n">
        <f aca="false">Offre!$E$10*(Offre!$C$10^Param!$B$3)*1_Friction!K125</f>
        <v>0.275414126931183</v>
      </c>
      <c r="L125" s="0" t="n">
        <f aca="false">Offre!$E$11*(Offre!$C$11^Param!$B$3)*1_Friction!L125</f>
        <v>0.295455288811933</v>
      </c>
      <c r="M125" s="0" t="n">
        <f aca="false">Offre!$E$12*(Offre!$C$12^Param!$B$3)*1_Friction!M125</f>
        <v>1.74313100323308</v>
      </c>
      <c r="N125" s="0" t="n">
        <f aca="false">Offre!$E$13*(Offre!$C$13^Param!$B$3)*1_Friction!N125</f>
        <v>0.214455124898864</v>
      </c>
      <c r="O125" s="0" t="n">
        <f aca="false">Offre!$E$14*(Offre!$C$14^Param!$B$3)*1_Friction!O125</f>
        <v>0.664722426893222</v>
      </c>
      <c r="P125" s="0" t="n">
        <f aca="false">Offre!$E$15*(Offre!$C$15^Param!$B$3)*1_Friction!P125</f>
        <v>0.320153220798453</v>
      </c>
      <c r="Q125" s="0" t="n">
        <f aca="false">Offre!$E$16*(Offre!$C$16^Param!$B$3)*1_Friction!Q125</f>
        <v>2.73605519920252</v>
      </c>
      <c r="R125" s="0" t="n">
        <f aca="false">Offre!$E$17*(Offre!$C$17^Param!$B$3)*1_Friction!R125</f>
        <v>0.360365512057012</v>
      </c>
      <c r="S125" s="0" t="n">
        <f aca="false">Offre!$E$18*(Offre!$C$18^Param!$B$3)*1_Friction!S125</f>
        <v>0.263218784688884</v>
      </c>
      <c r="T125" s="0" t="n">
        <f aca="false">Offre!$E$19*(Offre!$C$19^Param!$B$3)*1_Friction!T125</f>
        <v>4.21408419334742</v>
      </c>
      <c r="U125" s="0" t="n">
        <f aca="false">Offre!$E$20*(Offre!$C$20^Param!$B$3)*1_Friction!U125</f>
        <v>8.489397513276</v>
      </c>
      <c r="V125" s="0" t="n">
        <f aca="false">Offre!$E$21*(Offre!$C$21^Param!$B$3)*1_Friction!V125</f>
        <v>92.369445310095</v>
      </c>
      <c r="W125" s="0" t="n">
        <f aca="false">Offre!$E$22*(Offre!$C$22^Param!$B$3)*1_Friction!W125</f>
        <v>18.1630197196943</v>
      </c>
      <c r="X125" s="0" t="n">
        <f aca="false">Offre!$E$23*(Offre!$C$23^Param!$B$3)*1_Friction!X125</f>
        <v>24.540972238719</v>
      </c>
      <c r="Y125" s="0" t="n">
        <f aca="false">Offre!$E$24*(Offre!$C$24^Param!$B$3)*1_Friction!Y125</f>
        <v>16.3582364125435</v>
      </c>
      <c r="Z125" s="0" t="n">
        <f aca="false">Offre!$E$25*(Offre!$C$25^Param!$B$3)*1_Friction!Z125</f>
        <v>40.9617068029876</v>
      </c>
      <c r="AA125" s="0" t="n">
        <f aca="false">Offre!$E$26*(Offre!$C$26^Param!$B$3)*1_Friction!AA125</f>
        <v>80.4582365101141</v>
      </c>
      <c r="AB125" s="0" t="n">
        <f aca="false">Offre!$E$27*(Offre!$C$27^Param!$B$3)*1_Friction!AB125</f>
        <v>35.7818691498495</v>
      </c>
      <c r="AC125" s="0" t="n">
        <f aca="false">Offre!$E$28*(Offre!$C$28^Param!$B$3)*1_Friction!AC125</f>
        <v>0</v>
      </c>
      <c r="AD125" s="0" t="n">
        <f aca="false">Offre!$E$29*(Offre!$C$29^Param!$B$3)*1_Friction!AD125</f>
        <v>0</v>
      </c>
      <c r="AE125" s="0" t="n">
        <f aca="false">Offre!$E$30*(Offre!$C$30^Param!$B$3)*1_Friction!AE125</f>
        <v>0</v>
      </c>
      <c r="AF125" s="0" t="n">
        <f aca="false">Offre!$E$31*(Offre!$C$31^Param!$B$3)*1_Friction!AF125</f>
        <v>0</v>
      </c>
      <c r="AG125" s="0" t="n">
        <f aca="false">Offre!$E$32*(Offre!$C$32^Param!$B$3)*1_Friction!AG125</f>
        <v>0</v>
      </c>
      <c r="AH125" s="0" t="n">
        <f aca="false">Offre!$E$33*(Offre!$C$33^Param!$B$3)*1_Friction!AH125</f>
        <v>0.882536051747193</v>
      </c>
      <c r="AI125" s="0" t="n">
        <f aca="false">Offre!$E$34*(Offre!$C$34^Param!$B$3)*1_Friction!AI125</f>
        <v>1.74618282911039</v>
      </c>
      <c r="AJ125" s="0" t="n">
        <f aca="false">Offre!$E$35*(Offre!$C$35^Param!$B$3)*1_Friction!AJ125</f>
        <v>36.7869228620817</v>
      </c>
      <c r="AK125" s="0" t="n">
        <f aca="false">Offre!$E$36*(Offre!$C$36^Param!$B$3)*1_Friction!AK125</f>
        <v>0</v>
      </c>
      <c r="AL125" s="0" t="n">
        <f aca="false">Offre!$E$37*(Offre!$C$37^Param!$B$3)*1_Friction!AL125</f>
        <v>0</v>
      </c>
      <c r="AM125" s="0" t="n">
        <f aca="false">Offre!$E$38*(Offre!$C$38^Param!$B$3)*1_Friction!AM125</f>
        <v>1.50835129594837</v>
      </c>
      <c r="AN125" s="0" t="n">
        <f aca="false">Offre!$E$39*(Offre!$C$39^Param!$B$3)*1_Friction!AN125</f>
        <v>0</v>
      </c>
      <c r="AO125" s="0" t="n">
        <f aca="false">SUM(C125:AN125)</f>
        <v>374.804108200463</v>
      </c>
    </row>
    <row r="126" customFormat="false" ht="15" hidden="false" customHeight="true" outlineLevel="0" collapsed="false">
      <c r="A126" s="0" t="s">
        <v>350</v>
      </c>
      <c r="B126" s="0" t="s">
        <v>351</v>
      </c>
      <c r="C126" s="0" t="n">
        <f aca="false">Offre!$E$2*(Offre!$C$2^Param!$B$3)*1_Friction!C126</f>
        <v>1.86110071003135</v>
      </c>
      <c r="D126" s="0" t="n">
        <f aca="false">Offre!$E$3*(Offre!$C$3^Param!$B$3)*1_Friction!D126</f>
        <v>0.739970381250148</v>
      </c>
      <c r="E126" s="0" t="n">
        <f aca="false">Offre!$E$4*(Offre!$C$4^Param!$B$3)*1_Friction!E126</f>
        <v>7.38852059499919</v>
      </c>
      <c r="F126" s="0" t="n">
        <f aca="false">Offre!$E$5*(Offre!$C$5^Param!$B$3)*1_Friction!F126</f>
        <v>1.35915975062141</v>
      </c>
      <c r="G126" s="0" t="n">
        <f aca="false">Offre!$E$6*(Offre!$C$6^Param!$B$3)*1_Friction!G126</f>
        <v>3.61092116698377</v>
      </c>
      <c r="H126" s="0" t="n">
        <f aca="false">Offre!$E$7*(Offre!$C$7^Param!$B$3)*1_Friction!H126</f>
        <v>1.02519086077647</v>
      </c>
      <c r="I126" s="0" t="n">
        <f aca="false">Offre!$E$8*(Offre!$C$8^Param!$B$3)*1_Friction!I126</f>
        <v>2.05598789944467</v>
      </c>
      <c r="J126" s="0" t="n">
        <f aca="false">Offre!$E$9*(Offre!$C$9^Param!$B$3)*1_Friction!J126</f>
        <v>1.57916264509288</v>
      </c>
      <c r="K126" s="0" t="n">
        <f aca="false">Offre!$E$10*(Offre!$C$10^Param!$B$3)*1_Friction!K126</f>
        <v>0.972598666376294</v>
      </c>
      <c r="L126" s="0" t="n">
        <f aca="false">Offre!$E$11*(Offre!$C$11^Param!$B$3)*1_Friction!L126</f>
        <v>1.02956827359997</v>
      </c>
      <c r="M126" s="0" t="n">
        <f aca="false">Offre!$E$12*(Offre!$C$12^Param!$B$3)*1_Friction!M126</f>
        <v>5.96900955654029</v>
      </c>
      <c r="N126" s="0" t="n">
        <f aca="false">Offre!$E$13*(Offre!$C$13^Param!$B$3)*1_Friction!N126</f>
        <v>0.749258431889935</v>
      </c>
      <c r="O126" s="0" t="n">
        <f aca="false">Offre!$E$14*(Offre!$C$14^Param!$B$3)*1_Friction!O126</f>
        <v>2.3333017107789</v>
      </c>
      <c r="P126" s="0" t="n">
        <f aca="false">Offre!$E$15*(Offre!$C$15^Param!$B$3)*1_Friction!P126</f>
        <v>1.12462587864754</v>
      </c>
      <c r="Q126" s="0" t="n">
        <f aca="false">Offre!$E$16*(Offre!$C$16^Param!$B$3)*1_Friction!Q126</f>
        <v>9.6734446539834</v>
      </c>
      <c r="R126" s="0" t="n">
        <f aca="false">Offre!$E$17*(Offre!$C$17^Param!$B$3)*1_Friction!R126</f>
        <v>1.27686359572404</v>
      </c>
      <c r="S126" s="0" t="n">
        <f aca="false">Offre!$E$18*(Offre!$C$18^Param!$B$3)*1_Friction!S126</f>
        <v>0.937030056263303</v>
      </c>
      <c r="T126" s="0" t="n">
        <f aca="false">Offre!$E$19*(Offre!$C$19^Param!$B$3)*1_Friction!T126</f>
        <v>8.11230913820805</v>
      </c>
      <c r="U126" s="0" t="n">
        <f aca="false">Offre!$E$20*(Offre!$C$20^Param!$B$3)*1_Friction!U126</f>
        <v>13.8652611845515</v>
      </c>
      <c r="V126" s="0" t="n">
        <f aca="false">Offre!$E$21*(Offre!$C$21^Param!$B$3)*1_Friction!V126</f>
        <v>53.4851781557272</v>
      </c>
      <c r="W126" s="0" t="n">
        <f aca="false">Offre!$E$22*(Offre!$C$22^Param!$B$3)*1_Friction!W126</f>
        <v>9.56234372724924</v>
      </c>
      <c r="X126" s="0" t="n">
        <f aca="false">Offre!$E$23*(Offre!$C$23^Param!$B$3)*1_Friction!X126</f>
        <v>12.981244565354</v>
      </c>
      <c r="Y126" s="0" t="n">
        <f aca="false">Offre!$E$24*(Offre!$C$24^Param!$B$3)*1_Friction!Y126</f>
        <v>8.64710047127328</v>
      </c>
      <c r="Z126" s="0" t="n">
        <f aca="false">Offre!$E$25*(Offre!$C$25^Param!$B$3)*1_Friction!Z126</f>
        <v>21.3622543491076</v>
      </c>
      <c r="AA126" s="0" t="n">
        <f aca="false">Offre!$E$26*(Offre!$C$26^Param!$B$3)*1_Friction!AA126</f>
        <v>40.2010090333857</v>
      </c>
      <c r="AB126" s="0" t="n">
        <f aca="false">Offre!$E$27*(Offre!$C$27^Param!$B$3)*1_Friction!AB126</f>
        <v>17.528521869613</v>
      </c>
      <c r="AC126" s="0" t="n">
        <f aca="false">Offre!$E$28*(Offre!$C$28^Param!$B$3)*1_Friction!AC126</f>
        <v>0</v>
      </c>
      <c r="AD126" s="0" t="n">
        <f aca="false">Offre!$E$29*(Offre!$C$29^Param!$B$3)*1_Friction!AD126</f>
        <v>0</v>
      </c>
      <c r="AE126" s="0" t="n">
        <f aca="false">Offre!$E$30*(Offre!$C$30^Param!$B$3)*1_Friction!AE126</f>
        <v>0</v>
      </c>
      <c r="AF126" s="0" t="n">
        <f aca="false">Offre!$E$31*(Offre!$C$31^Param!$B$3)*1_Friction!AF126</f>
        <v>0</v>
      </c>
      <c r="AG126" s="0" t="n">
        <f aca="false">Offre!$E$32*(Offre!$C$32^Param!$B$3)*1_Friction!AG126</f>
        <v>0</v>
      </c>
      <c r="AH126" s="0" t="n">
        <f aca="false">Offre!$E$33*(Offre!$C$33^Param!$B$3)*1_Friction!AH126</f>
        <v>2.90565706838648</v>
      </c>
      <c r="AI126" s="0" t="n">
        <f aca="false">Offre!$E$34*(Offre!$C$34^Param!$B$3)*1_Friction!AI126</f>
        <v>3.46703425881416</v>
      </c>
      <c r="AJ126" s="0" t="n">
        <f aca="false">Offre!$E$35*(Offre!$C$35^Param!$B$3)*1_Friction!AJ126</f>
        <v>19.0323796081999</v>
      </c>
      <c r="AK126" s="0" t="n">
        <f aca="false">Offre!$E$36*(Offre!$C$36^Param!$B$3)*1_Friction!AK126</f>
        <v>0</v>
      </c>
      <c r="AL126" s="0" t="n">
        <f aca="false">Offre!$E$37*(Offre!$C$37^Param!$B$3)*1_Friction!AL126</f>
        <v>0</v>
      </c>
      <c r="AM126" s="0" t="n">
        <f aca="false">Offre!$E$38*(Offre!$C$38^Param!$B$3)*1_Friction!AM126</f>
        <v>4.37065921308664</v>
      </c>
      <c r="AN126" s="0" t="n">
        <f aca="false">Offre!$E$39*(Offre!$C$39^Param!$B$3)*1_Friction!AN126</f>
        <v>0</v>
      </c>
      <c r="AO126" s="0" t="n">
        <f aca="false">SUM(C126:AN126)</f>
        <v>259.20666747596</v>
      </c>
    </row>
    <row r="127" customFormat="false" ht="15" hidden="false" customHeight="true" outlineLevel="0" collapsed="false">
      <c r="A127" s="0" t="s">
        <v>352</v>
      </c>
      <c r="B127" s="0" t="s">
        <v>353</v>
      </c>
      <c r="C127" s="0" t="n">
        <f aca="false">Offre!$E$2*(Offre!$C$2^Param!$B$3)*1_Friction!C127</f>
        <v>0</v>
      </c>
      <c r="D127" s="0" t="n">
        <f aca="false">Offre!$E$3*(Offre!$C$3^Param!$B$3)*1_Friction!D127</f>
        <v>0.228114882728358</v>
      </c>
      <c r="E127" s="0" t="n">
        <f aca="false">Offre!$E$4*(Offre!$C$4^Param!$B$3)*1_Friction!E127</f>
        <v>2.59997940580989</v>
      </c>
      <c r="F127" s="0" t="n">
        <f aca="false">Offre!$E$5*(Offre!$C$5^Param!$B$3)*1_Friction!F127</f>
        <v>0.480109454325785</v>
      </c>
      <c r="G127" s="0" t="n">
        <f aca="false">Offre!$E$6*(Offre!$C$6^Param!$B$3)*1_Friction!G127</f>
        <v>1.33269410360106</v>
      </c>
      <c r="H127" s="0" t="n">
        <f aca="false">Offre!$E$7*(Offre!$C$7^Param!$B$3)*1_Friction!H127</f>
        <v>0.372363303077627</v>
      </c>
      <c r="I127" s="0" t="n">
        <f aca="false">Offre!$E$8*(Offre!$C$8^Param!$B$3)*1_Friction!I127</f>
        <v>0.84419744957684</v>
      </c>
      <c r="J127" s="0" t="n">
        <f aca="false">Offre!$E$9*(Offre!$C$9^Param!$B$3)*1_Friction!J127</f>
        <v>0.633923515447467</v>
      </c>
      <c r="K127" s="0" t="n">
        <f aca="false">Offre!$E$10*(Offre!$C$10^Param!$B$3)*1_Friction!K127</f>
        <v>0.371345540596013</v>
      </c>
      <c r="L127" s="0" t="n">
        <f aca="false">Offre!$E$11*(Offre!$C$11^Param!$B$3)*1_Friction!L127</f>
        <v>0.42284870323476</v>
      </c>
      <c r="M127" s="0" t="n">
        <f aca="false">Offre!$E$12*(Offre!$C$12^Param!$B$3)*1_Friction!M127</f>
        <v>2.50876226539933</v>
      </c>
      <c r="N127" s="0" t="n">
        <f aca="false">Offre!$E$13*(Offre!$C$13^Param!$B$3)*1_Friction!N127</f>
        <v>0.295265681626512</v>
      </c>
      <c r="O127" s="0" t="n">
        <f aca="false">Offre!$E$14*(Offre!$C$14^Param!$B$3)*1_Friction!O127</f>
        <v>0.952998859615746</v>
      </c>
      <c r="P127" s="0" t="n">
        <f aca="false">Offre!$E$15*(Offre!$C$15^Param!$B$3)*1_Friction!P127</f>
        <v>0.478378554760209</v>
      </c>
      <c r="Q127" s="0" t="n">
        <f aca="false">Offre!$E$16*(Offre!$C$16^Param!$B$3)*1_Friction!Q127</f>
        <v>4.25860029267555</v>
      </c>
      <c r="R127" s="0" t="n">
        <f aca="false">Offre!$E$17*(Offre!$C$17^Param!$B$3)*1_Friction!R127</f>
        <v>0.558317189232686</v>
      </c>
      <c r="S127" s="0" t="n">
        <f aca="false">Offre!$E$18*(Offre!$C$18^Param!$B$3)*1_Friction!S127</f>
        <v>0.397268168788253</v>
      </c>
      <c r="T127" s="0" t="n">
        <f aca="false">Offre!$E$19*(Offre!$C$19^Param!$B$3)*1_Friction!T127</f>
        <v>0.654256837225074</v>
      </c>
      <c r="U127" s="0" t="n">
        <f aca="false">Offre!$E$20*(Offre!$C$20^Param!$B$3)*1_Friction!U127</f>
        <v>12.391069579664</v>
      </c>
      <c r="V127" s="0" t="n">
        <f aca="false">Offre!$E$21*(Offre!$C$21^Param!$B$3)*1_Friction!V127</f>
        <v>27.9855210572746</v>
      </c>
      <c r="W127" s="0" t="n">
        <f aca="false">Offre!$E$22*(Offre!$C$22^Param!$B$3)*1_Friction!W127</f>
        <v>5.55539531256062</v>
      </c>
      <c r="X127" s="0" t="n">
        <f aca="false">Offre!$E$23*(Offre!$C$23^Param!$B$3)*1_Friction!X127</f>
        <v>7.98520754783832</v>
      </c>
      <c r="Y127" s="0" t="n">
        <f aca="false">Offre!$E$24*(Offre!$C$24^Param!$B$3)*1_Friction!Y127</f>
        <v>5.19826341344766</v>
      </c>
      <c r="Z127" s="0" t="n">
        <f aca="false">Offre!$E$25*(Offre!$C$25^Param!$B$3)*1_Friction!Z127</f>
        <v>12.5581309571642</v>
      </c>
      <c r="AA127" s="0" t="n">
        <f aca="false">Offre!$E$26*(Offre!$C$26^Param!$B$3)*1_Friction!AA127</f>
        <v>27.4657599838071</v>
      </c>
      <c r="AB127" s="0" t="n">
        <f aca="false">Offre!$E$27*(Offre!$C$27^Param!$B$3)*1_Friction!AB127</f>
        <v>11.8333245587841</v>
      </c>
      <c r="AC127" s="0" t="n">
        <f aca="false">Offre!$E$28*(Offre!$C$28^Param!$B$3)*1_Friction!AC127</f>
        <v>0</v>
      </c>
      <c r="AD127" s="0" t="n">
        <f aca="false">Offre!$E$29*(Offre!$C$29^Param!$B$3)*1_Friction!AD127</f>
        <v>0</v>
      </c>
      <c r="AE127" s="0" t="n">
        <f aca="false">Offre!$E$30*(Offre!$C$30^Param!$B$3)*1_Friction!AE127</f>
        <v>0</v>
      </c>
      <c r="AF127" s="0" t="n">
        <f aca="false">Offre!$E$31*(Offre!$C$31^Param!$B$3)*1_Friction!AF127</f>
        <v>0</v>
      </c>
      <c r="AG127" s="0" t="n">
        <f aca="false">Offre!$E$32*(Offre!$C$32^Param!$B$3)*1_Friction!AG127</f>
        <v>0</v>
      </c>
      <c r="AH127" s="0" t="n">
        <f aca="false">Offre!$E$33*(Offre!$C$33^Param!$B$3)*1_Friction!AH127</f>
        <v>1.49979537835738</v>
      </c>
      <c r="AI127" s="0" t="n">
        <f aca="false">Offre!$E$34*(Offre!$C$34^Param!$B$3)*1_Friction!AI127</f>
        <v>0.255621377060816</v>
      </c>
      <c r="AJ127" s="0" t="n">
        <f aca="false">Offre!$E$35*(Offre!$C$35^Param!$B$3)*1_Friction!AJ127</f>
        <v>11.9984341616142</v>
      </c>
      <c r="AK127" s="0" t="n">
        <f aca="false">Offre!$E$36*(Offre!$C$36^Param!$B$3)*1_Friction!AK127</f>
        <v>0</v>
      </c>
      <c r="AL127" s="0" t="n">
        <f aca="false">Offre!$E$37*(Offre!$C$37^Param!$B$3)*1_Friction!AL127</f>
        <v>0</v>
      </c>
      <c r="AM127" s="0" t="n">
        <f aca="false">Offre!$E$38*(Offre!$C$38^Param!$B$3)*1_Friction!AM127</f>
        <v>0</v>
      </c>
      <c r="AN127" s="0" t="n">
        <f aca="false">Offre!$E$39*(Offre!$C$39^Param!$B$3)*1_Friction!AN127</f>
        <v>0</v>
      </c>
      <c r="AO127" s="0" t="n">
        <f aca="false">SUM(C127:AN127)</f>
        <v>142.115947535294</v>
      </c>
    </row>
    <row r="128" customFormat="false" ht="15" hidden="false" customHeight="true" outlineLevel="0" collapsed="false">
      <c r="A128" s="0" t="s">
        <v>354</v>
      </c>
      <c r="B128" s="0" t="s">
        <v>355</v>
      </c>
      <c r="C128" s="0" t="n">
        <f aca="false">Offre!$E$2*(Offre!$C$2^Param!$B$3)*1_Friction!C128</f>
        <v>0</v>
      </c>
      <c r="D128" s="0" t="n">
        <f aca="false">Offre!$E$3*(Offre!$C$3^Param!$B$3)*1_Friction!D128</f>
        <v>0.139914637436808</v>
      </c>
      <c r="E128" s="0" t="n">
        <f aca="false">Offre!$E$4*(Offre!$C$4^Param!$B$3)*1_Friction!E128</f>
        <v>1.59742790234431</v>
      </c>
      <c r="F128" s="0" t="n">
        <f aca="false">Offre!$E$5*(Offre!$C$5^Param!$B$3)*1_Friction!F128</f>
        <v>0.295448835715447</v>
      </c>
      <c r="G128" s="0" t="n">
        <f aca="false">Offre!$E$6*(Offre!$C$6^Param!$B$3)*1_Friction!G128</f>
        <v>0.819505613951493</v>
      </c>
      <c r="H128" s="0" t="n">
        <f aca="false">Offre!$E$7*(Offre!$C$7^Param!$B$3)*1_Friction!H128</f>
        <v>0.232037568661622</v>
      </c>
      <c r="I128" s="0" t="n">
        <f aca="false">Offre!$E$8*(Offre!$C$8^Param!$B$3)*1_Friction!I128</f>
        <v>0.525442080346371</v>
      </c>
      <c r="J128" s="0" t="n">
        <f aca="false">Offre!$E$9*(Offre!$C$9^Param!$B$3)*1_Friction!J128</f>
        <v>0.392920769334044</v>
      </c>
      <c r="K128" s="0" t="n">
        <f aca="false">Offre!$E$10*(Offre!$C$10^Param!$B$3)*1_Friction!K128</f>
        <v>0.229196570098111</v>
      </c>
      <c r="L128" s="0" t="n">
        <f aca="false">Offre!$E$11*(Offre!$C$11^Param!$B$3)*1_Friction!L128</f>
        <v>0.263218784688884</v>
      </c>
      <c r="M128" s="0" t="n">
        <f aca="false">Offre!$E$12*(Offre!$C$12^Param!$B$3)*1_Friction!M128</f>
        <v>1.57282578315996</v>
      </c>
      <c r="N128" s="0" t="n">
        <f aca="false">Offre!$E$13*(Offre!$C$13^Param!$B$3)*1_Friction!N128</f>
        <v>0.183031967290693</v>
      </c>
      <c r="O128" s="0" t="n">
        <f aca="false">Offre!$E$14*(Offre!$C$14^Param!$B$3)*1_Friction!O128</f>
        <v>0.591873034024183</v>
      </c>
      <c r="P128" s="0" t="n">
        <f aca="false">Offre!$E$15*(Offre!$C$15^Param!$B$3)*1_Friction!P128</f>
        <v>0.297750512196277</v>
      </c>
      <c r="Q128" s="0" t="n">
        <f aca="false">Offre!$E$16*(Offre!$C$16^Param!$B$3)*1_Friction!Q128</f>
        <v>2.65218004475996</v>
      </c>
      <c r="R128" s="0" t="n">
        <f aca="false">Offre!$E$17*(Offre!$C$17^Param!$B$3)*1_Friction!R128</f>
        <v>0.347321794300996</v>
      </c>
      <c r="S128" s="0" t="n">
        <f aca="false">Offre!$E$18*(Offre!$C$18^Param!$B$3)*1_Friction!S128</f>
        <v>0.246044714548854</v>
      </c>
      <c r="T128" s="0" t="n">
        <f aca="false">Offre!$E$19*(Offre!$C$19^Param!$B$3)*1_Friction!T128</f>
        <v>0.417718729949117</v>
      </c>
      <c r="U128" s="0" t="n">
        <f aca="false">Offre!$E$20*(Offre!$C$20^Param!$B$3)*1_Friction!U128</f>
        <v>10.0261421428471</v>
      </c>
      <c r="V128" s="0" t="n">
        <f aca="false">Offre!$E$21*(Offre!$C$21^Param!$B$3)*1_Friction!V128</f>
        <v>20.8307368176875</v>
      </c>
      <c r="W128" s="0" t="n">
        <f aca="false">Offre!$E$22*(Offre!$C$22^Param!$B$3)*1_Friction!W128</f>
        <v>4.24100944482226</v>
      </c>
      <c r="X128" s="0" t="n">
        <f aca="false">Offre!$E$23*(Offre!$C$23^Param!$B$3)*1_Friction!X128</f>
        <v>6.26144939938163</v>
      </c>
      <c r="Y128" s="0" t="n">
        <f aca="false">Offre!$E$24*(Offre!$C$24^Param!$B$3)*1_Friction!Y128</f>
        <v>4.16948846520201</v>
      </c>
      <c r="Z128" s="0" t="n">
        <f aca="false">Offre!$E$25*(Offre!$C$25^Param!$B$3)*1_Friction!Z128</f>
        <v>10.250343398524</v>
      </c>
      <c r="AA128" s="0" t="n">
        <f aca="false">Offre!$E$26*(Offre!$C$26^Param!$B$3)*1_Friction!AA128</f>
        <v>21.1251844428141</v>
      </c>
      <c r="AB128" s="0" t="n">
        <f aca="false">Offre!$E$27*(Offre!$C$27^Param!$B$3)*1_Friction!AB128</f>
        <v>10.1931277598644</v>
      </c>
      <c r="AC128" s="0" t="n">
        <f aca="false">Offre!$E$28*(Offre!$C$28^Param!$B$3)*1_Friction!AC128</f>
        <v>0</v>
      </c>
      <c r="AD128" s="0" t="n">
        <f aca="false">Offre!$E$29*(Offre!$C$29^Param!$B$3)*1_Friction!AD128</f>
        <v>0</v>
      </c>
      <c r="AE128" s="0" t="n">
        <f aca="false">Offre!$E$30*(Offre!$C$30^Param!$B$3)*1_Friction!AE128</f>
        <v>0</v>
      </c>
      <c r="AF128" s="0" t="n">
        <f aca="false">Offre!$E$31*(Offre!$C$31^Param!$B$3)*1_Friction!AF128</f>
        <v>0</v>
      </c>
      <c r="AG128" s="0" t="n">
        <f aca="false">Offre!$E$32*(Offre!$C$32^Param!$B$3)*1_Friction!AG128</f>
        <v>0</v>
      </c>
      <c r="AH128" s="0" t="n">
        <f aca="false">Offre!$E$33*(Offre!$C$33^Param!$B$3)*1_Friction!AH128</f>
        <v>0.938173041411955</v>
      </c>
      <c r="AI128" s="0" t="n">
        <f aca="false">Offre!$E$34*(Offre!$C$34^Param!$B$3)*1_Friction!AI128</f>
        <v>0.161410969716567</v>
      </c>
      <c r="AJ128" s="0" t="n">
        <f aca="false">Offre!$E$35*(Offre!$C$35^Param!$B$3)*1_Friction!AJ128</f>
        <v>9.04971893780929</v>
      </c>
      <c r="AK128" s="0" t="n">
        <f aca="false">Offre!$E$36*(Offre!$C$36^Param!$B$3)*1_Friction!AK128</f>
        <v>0</v>
      </c>
      <c r="AL128" s="0" t="n">
        <f aca="false">Offre!$E$37*(Offre!$C$37^Param!$B$3)*1_Friction!AL128</f>
        <v>0</v>
      </c>
      <c r="AM128" s="0" t="n">
        <f aca="false">Offre!$E$38*(Offre!$C$38^Param!$B$3)*1_Friction!AM128</f>
        <v>0</v>
      </c>
      <c r="AN128" s="0" t="n">
        <f aca="false">Offre!$E$39*(Offre!$C$39^Param!$B$3)*1_Friction!AN128</f>
        <v>0</v>
      </c>
      <c r="AO128" s="0" t="n">
        <f aca="false">SUM(C128:AN128)</f>
        <v>108.050644162888</v>
      </c>
    </row>
    <row r="129" customFormat="false" ht="15" hidden="false" customHeight="true" outlineLevel="0" collapsed="false">
      <c r="A129" s="0" t="s">
        <v>356</v>
      </c>
      <c r="B129" s="0" t="s">
        <v>357</v>
      </c>
      <c r="C129" s="0" t="n">
        <f aca="false">Offre!$E$2*(Offre!$C$2^Param!$B$3)*1_Friction!C129</f>
        <v>0</v>
      </c>
      <c r="D129" s="0" t="n">
        <f aca="false">Offre!$E$3*(Offre!$C$3^Param!$B$3)*1_Friction!D129</f>
        <v>0</v>
      </c>
      <c r="E129" s="0" t="n">
        <f aca="false">Offre!$E$4*(Offre!$C$4^Param!$B$3)*1_Friction!E129</f>
        <v>0</v>
      </c>
      <c r="F129" s="0" t="n">
        <f aca="false">Offre!$E$5*(Offre!$C$5^Param!$B$3)*1_Friction!F129</f>
        <v>0</v>
      </c>
      <c r="G129" s="0" t="n">
        <f aca="false">Offre!$E$6*(Offre!$C$6^Param!$B$3)*1_Friction!G129</f>
        <v>0</v>
      </c>
      <c r="H129" s="0" t="n">
        <f aca="false">Offre!$E$7*(Offre!$C$7^Param!$B$3)*1_Friction!H129</f>
        <v>0</v>
      </c>
      <c r="I129" s="0" t="n">
        <f aca="false">Offre!$E$8*(Offre!$C$8^Param!$B$3)*1_Friction!I129</f>
        <v>0</v>
      </c>
      <c r="J129" s="0" t="n">
        <f aca="false">Offre!$E$9*(Offre!$C$9^Param!$B$3)*1_Friction!J129</f>
        <v>0</v>
      </c>
      <c r="K129" s="0" t="n">
        <f aca="false">Offre!$E$10*(Offre!$C$10^Param!$B$3)*1_Friction!K129</f>
        <v>0</v>
      </c>
      <c r="L129" s="0" t="n">
        <f aca="false">Offre!$E$11*(Offre!$C$11^Param!$B$3)*1_Friction!L129</f>
        <v>0</v>
      </c>
      <c r="M129" s="0" t="n">
        <f aca="false">Offre!$E$12*(Offre!$C$12^Param!$B$3)*1_Friction!M129</f>
        <v>0</v>
      </c>
      <c r="N129" s="0" t="n">
        <f aca="false">Offre!$E$13*(Offre!$C$13^Param!$B$3)*1_Friction!N129</f>
        <v>0</v>
      </c>
      <c r="O129" s="0" t="n">
        <f aca="false">Offre!$E$14*(Offre!$C$14^Param!$B$3)*1_Friction!O129</f>
        <v>0</v>
      </c>
      <c r="P129" s="0" t="n">
        <f aca="false">Offre!$E$15*(Offre!$C$15^Param!$B$3)*1_Friction!P129</f>
        <v>0</v>
      </c>
      <c r="Q129" s="0" t="n">
        <f aca="false">Offre!$E$16*(Offre!$C$16^Param!$B$3)*1_Friction!Q129</f>
        <v>0</v>
      </c>
      <c r="R129" s="0" t="n">
        <f aca="false">Offre!$E$17*(Offre!$C$17^Param!$B$3)*1_Friction!R129</f>
        <v>0</v>
      </c>
      <c r="S129" s="0" t="n">
        <f aca="false">Offre!$E$18*(Offre!$C$18^Param!$B$3)*1_Friction!S129</f>
        <v>0</v>
      </c>
      <c r="T129" s="0" t="n">
        <f aca="false">Offre!$E$19*(Offre!$C$19^Param!$B$3)*1_Friction!T129</f>
        <v>0.301320678398544</v>
      </c>
      <c r="U129" s="0" t="n">
        <f aca="false">Offre!$E$20*(Offre!$C$20^Param!$B$3)*1_Friction!U129</f>
        <v>3.59731361870986</v>
      </c>
      <c r="V129" s="0" t="n">
        <f aca="false">Offre!$E$21*(Offre!$C$21^Param!$B$3)*1_Friction!V129</f>
        <v>29.4170387734178</v>
      </c>
      <c r="W129" s="0" t="n">
        <f aca="false">Offre!$E$22*(Offre!$C$22^Param!$B$3)*1_Friction!W129</f>
        <v>6.2709254049275</v>
      </c>
      <c r="X129" s="0" t="n">
        <f aca="false">Offre!$E$23*(Offre!$C$23^Param!$B$3)*1_Friction!X129</f>
        <v>9.15747182888962</v>
      </c>
      <c r="Y129" s="0" t="n">
        <f aca="false">Offre!$E$24*(Offre!$C$24^Param!$B$3)*1_Friction!Y129</f>
        <v>6.10195428364472</v>
      </c>
      <c r="Z129" s="0" t="n">
        <f aca="false">Offre!$E$25*(Offre!$C$25^Param!$B$3)*1_Friction!Z129</f>
        <v>15.036313707834</v>
      </c>
      <c r="AA129" s="0" t="n">
        <f aca="false">Offre!$E$26*(Offre!$C$26^Param!$B$3)*1_Friction!AA129</f>
        <v>30.8436641989832</v>
      </c>
      <c r="AB129" s="0" t="n">
        <f aca="false">Offre!$E$27*(Offre!$C$27^Param!$B$3)*1_Friction!AB129</f>
        <v>14.7355518841422</v>
      </c>
      <c r="AC129" s="0" t="n">
        <f aca="false">Offre!$E$28*(Offre!$C$28^Param!$B$3)*1_Friction!AC129</f>
        <v>0</v>
      </c>
      <c r="AD129" s="0" t="n">
        <f aca="false">Offre!$E$29*(Offre!$C$29^Param!$B$3)*1_Friction!AD129</f>
        <v>0</v>
      </c>
      <c r="AE129" s="0" t="n">
        <f aca="false">Offre!$E$30*(Offre!$C$30^Param!$B$3)*1_Friction!AE129</f>
        <v>0</v>
      </c>
      <c r="AF129" s="0" t="n">
        <f aca="false">Offre!$E$31*(Offre!$C$31^Param!$B$3)*1_Friction!AF129</f>
        <v>0</v>
      </c>
      <c r="AG129" s="0" t="n">
        <f aca="false">Offre!$E$32*(Offre!$C$32^Param!$B$3)*1_Friction!AG129</f>
        <v>0</v>
      </c>
      <c r="AH129" s="0" t="n">
        <f aca="false">Offre!$E$33*(Offre!$C$33^Param!$B$3)*1_Friction!AH129</f>
        <v>0</v>
      </c>
      <c r="AI129" s="0" t="n">
        <f aca="false">Offre!$E$34*(Offre!$C$34^Param!$B$3)*1_Friction!AI129</f>
        <v>0.115550797681017</v>
      </c>
      <c r="AJ129" s="0" t="n">
        <f aca="false">Offre!$E$35*(Offre!$C$35^Param!$B$3)*1_Friction!AJ129</f>
        <v>13.3331077118562</v>
      </c>
      <c r="AK129" s="0" t="n">
        <f aca="false">Offre!$E$36*(Offre!$C$36^Param!$B$3)*1_Friction!AK129</f>
        <v>0</v>
      </c>
      <c r="AL129" s="0" t="n">
        <f aca="false">Offre!$E$37*(Offre!$C$37^Param!$B$3)*1_Friction!AL129</f>
        <v>0</v>
      </c>
      <c r="AM129" s="0" t="n">
        <f aca="false">Offre!$E$38*(Offre!$C$38^Param!$B$3)*1_Friction!AM129</f>
        <v>0</v>
      </c>
      <c r="AN129" s="0" t="n">
        <f aca="false">Offre!$E$39*(Offre!$C$39^Param!$B$3)*1_Friction!AN129</f>
        <v>0</v>
      </c>
      <c r="AO129" s="0" t="n">
        <f aca="false">SUM(C129:AN129)</f>
        <v>128.910212888485</v>
      </c>
    </row>
    <row r="130" customFormat="false" ht="15" hidden="false" customHeight="true" outlineLevel="0" collapsed="false">
      <c r="A130" s="0" t="s">
        <v>358</v>
      </c>
      <c r="B130" s="0" t="s">
        <v>359</v>
      </c>
      <c r="C130" s="0" t="n">
        <f aca="false">Offre!$E$2*(Offre!$C$2^Param!$B$3)*1_Friction!C130</f>
        <v>0</v>
      </c>
      <c r="D130" s="0" t="n">
        <f aca="false">Offre!$E$3*(Offre!$C$3^Param!$B$3)*1_Friction!D130</f>
        <v>0.212537404965928</v>
      </c>
      <c r="E130" s="0" t="n">
        <f aca="false">Offre!$E$4*(Offre!$C$4^Param!$B$3)*1_Friction!E130</f>
        <v>2.42082001049556</v>
      </c>
      <c r="F130" s="0" t="n">
        <f aca="false">Offre!$E$5*(Offre!$C$5^Param!$B$3)*1_Friction!F130</f>
        <v>0.447543186326591</v>
      </c>
      <c r="G130" s="0" t="n">
        <f aca="false">Offre!$E$6*(Offre!$C$6^Param!$B$3)*1_Friction!G130</f>
        <v>1.24198083980357</v>
      </c>
      <c r="H130" s="0" t="n">
        <f aca="false">Offre!$E$7*(Offre!$C$7^Param!$B$3)*1_Friction!H130</f>
        <v>0.347704772611233</v>
      </c>
      <c r="I130" s="0" t="n">
        <f aca="false">Offre!$E$8*(Offre!$C$8^Param!$B$3)*1_Friction!I130</f>
        <v>0.788155234335212</v>
      </c>
      <c r="J130" s="0" t="n">
        <f aca="false">Offre!$E$9*(Offre!$C$9^Param!$B$3)*1_Friction!J130</f>
        <v>0.591472579072465</v>
      </c>
      <c r="K130" s="0" t="n">
        <f aca="false">Offre!$E$10*(Offre!$C$10^Param!$B$3)*1_Friction!K130</f>
        <v>0.346259891213985</v>
      </c>
      <c r="L130" s="0" t="n">
        <f aca="false">Offre!$E$11*(Offre!$C$11^Param!$B$3)*1_Friction!L130</f>
        <v>0.394784721167568</v>
      </c>
      <c r="M130" s="0" t="n">
        <f aca="false">Offre!$E$12*(Offre!$C$12^Param!$B$3)*1_Friction!M130</f>
        <v>2.34474134190004</v>
      </c>
      <c r="N130" s="0" t="n">
        <f aca="false">Offre!$E$13*(Offre!$C$13^Param!$B$3)*1_Friction!N130</f>
        <v>0.275536520570116</v>
      </c>
      <c r="O130" s="0" t="n">
        <f aca="false">Offre!$E$14*(Offre!$C$14^Param!$B$3)*1_Friction!O130</f>
        <v>0.88944565517648</v>
      </c>
      <c r="P130" s="0" t="n">
        <f aca="false">Offre!$E$15*(Offre!$C$15^Param!$B$3)*1_Friction!P130</f>
        <v>0.44662129945662</v>
      </c>
      <c r="Q130" s="0" t="n">
        <f aca="false">Offre!$E$16*(Offre!$C$16^Param!$B$3)*1_Friction!Q130</f>
        <v>3.97624039185882</v>
      </c>
      <c r="R130" s="0" t="n">
        <f aca="false">Offre!$E$17*(Offre!$C$17^Param!$B$3)*1_Friction!R130</f>
        <v>0.521212118900234</v>
      </c>
      <c r="S130" s="0" t="n">
        <f aca="false">Offre!$E$18*(Offre!$C$18^Param!$B$3)*1_Friction!S130</f>
        <v>0.37067468655465</v>
      </c>
      <c r="T130" s="0" t="n">
        <f aca="false">Offre!$E$19*(Offre!$C$19^Param!$B$3)*1_Friction!T130</f>
        <v>0.613143978299279</v>
      </c>
      <c r="U130" s="0" t="n">
        <f aca="false">Offre!$E$20*(Offre!$C$20^Param!$B$3)*1_Friction!U130</f>
        <v>12.0294824760631</v>
      </c>
      <c r="V130" s="0" t="n">
        <f aca="false">Offre!$E$21*(Offre!$C$21^Param!$B$3)*1_Friction!V130</f>
        <v>31.3922153721525</v>
      </c>
      <c r="W130" s="0" t="n">
        <f aca="false">Offre!$E$22*(Offre!$C$22^Param!$B$3)*1_Friction!W130</f>
        <v>6.67558247049735</v>
      </c>
      <c r="X130" s="0" t="n">
        <f aca="false">Offre!$E$23*(Offre!$C$23^Param!$B$3)*1_Friction!X130</f>
        <v>9.73440793241575</v>
      </c>
      <c r="Y130" s="0" t="n">
        <f aca="false">Offre!$E$24*(Offre!$C$24^Param!$B$3)*1_Friction!Y130</f>
        <v>6.4833551707207</v>
      </c>
      <c r="Z130" s="0" t="n">
        <f aca="false">Offre!$E$25*(Offre!$C$25^Param!$B$3)*1_Friction!Z130</f>
        <v>15.982688029214</v>
      </c>
      <c r="AA130" s="0" t="n">
        <f aca="false">Offre!$E$26*(Offre!$C$26^Param!$B$3)*1_Friction!AA130</f>
        <v>32.7770819695549</v>
      </c>
      <c r="AB130" s="0" t="n">
        <f aca="false">Offre!$E$27*(Offre!$C$27^Param!$B$3)*1_Friction!AB130</f>
        <v>15.6246165839036</v>
      </c>
      <c r="AC130" s="0" t="n">
        <f aca="false">Offre!$E$28*(Offre!$C$28^Param!$B$3)*1_Friction!AC130</f>
        <v>0</v>
      </c>
      <c r="AD130" s="0" t="n">
        <f aca="false">Offre!$E$29*(Offre!$C$29^Param!$B$3)*1_Friction!AD130</f>
        <v>0</v>
      </c>
      <c r="AE130" s="0" t="n">
        <f aca="false">Offre!$E$30*(Offre!$C$30^Param!$B$3)*1_Friction!AE130</f>
        <v>0</v>
      </c>
      <c r="AF130" s="0" t="n">
        <f aca="false">Offre!$E$31*(Offre!$C$31^Param!$B$3)*1_Friction!AF130</f>
        <v>0</v>
      </c>
      <c r="AG130" s="0" t="n">
        <f aca="false">Offre!$E$32*(Offre!$C$32^Param!$B$3)*1_Friction!AG130</f>
        <v>0</v>
      </c>
      <c r="AH130" s="0" t="n">
        <f aca="false">Offre!$E$33*(Offre!$C$33^Param!$B$3)*1_Friction!AH130</f>
        <v>1.40127362993505</v>
      </c>
      <c r="AI130" s="0" t="n">
        <f aca="false">Offre!$E$34*(Offre!$C$34^Param!$B$3)*1_Friction!AI130</f>
        <v>0.239164382784065</v>
      </c>
      <c r="AJ130" s="0" t="n">
        <f aca="false">Offre!$E$35*(Offre!$C$35^Param!$B$3)*1_Friction!AJ130</f>
        <v>14.1830782412041</v>
      </c>
      <c r="AK130" s="0" t="n">
        <f aca="false">Offre!$E$36*(Offre!$C$36^Param!$B$3)*1_Friction!AK130</f>
        <v>0</v>
      </c>
      <c r="AL130" s="0" t="n">
        <f aca="false">Offre!$E$37*(Offre!$C$37^Param!$B$3)*1_Friction!AL130</f>
        <v>0</v>
      </c>
      <c r="AM130" s="0" t="n">
        <f aca="false">Offre!$E$38*(Offre!$C$38^Param!$B$3)*1_Friction!AM130</f>
        <v>0</v>
      </c>
      <c r="AN130" s="0" t="n">
        <f aca="false">Offre!$E$39*(Offre!$C$39^Param!$B$3)*1_Friction!AN130</f>
        <v>0</v>
      </c>
      <c r="AO130" s="0" t="n">
        <f aca="false">SUM(C130:AN130)</f>
        <v>162.751820891153</v>
      </c>
    </row>
    <row r="131" customFormat="false" ht="15" hidden="false" customHeight="true" outlineLevel="0" collapsed="false">
      <c r="A131" s="0" t="s">
        <v>360</v>
      </c>
      <c r="B131" s="0" t="s">
        <v>361</v>
      </c>
      <c r="C131" s="0" t="n">
        <f aca="false">Offre!$E$2*(Offre!$C$2^Param!$B$3)*1_Friction!C131</f>
        <v>0.755722742759673</v>
      </c>
      <c r="D131" s="0" t="n">
        <f aca="false">Offre!$E$3*(Offre!$C$3^Param!$B$3)*1_Friction!D131</f>
        <v>0.592771377925153</v>
      </c>
      <c r="E131" s="0" t="n">
        <f aca="false">Offre!$E$4*(Offre!$C$4^Param!$B$3)*1_Friction!E131</f>
        <v>6.73124295343929</v>
      </c>
      <c r="F131" s="0" t="n">
        <f aca="false">Offre!$E$5*(Offre!$C$5^Param!$B$3)*1_Friction!F131</f>
        <v>1.23870611882797</v>
      </c>
      <c r="G131" s="0" t="n">
        <f aca="false">Offre!$E$6*(Offre!$C$6^Param!$B$3)*1_Friction!G131</f>
        <v>3.45117314087193</v>
      </c>
      <c r="H131" s="0" t="n">
        <f aca="false">Offre!$E$7*(Offre!$C$7^Param!$B$3)*1_Friction!H131</f>
        <v>0.93755978951604</v>
      </c>
      <c r="I131" s="0" t="n">
        <f aca="false">Offre!$E$8*(Offre!$C$8^Param!$B$3)*1_Friction!I131</f>
        <v>2.12939489522667</v>
      </c>
      <c r="J131" s="0" t="n">
        <f aca="false">Offre!$E$9*(Offre!$C$9^Param!$B$3)*1_Friction!J131</f>
        <v>1.61480476682332</v>
      </c>
      <c r="K131" s="0" t="n">
        <f aca="false">Offre!$E$10*(Offre!$C$10^Param!$B$3)*1_Friction!K131</f>
        <v>0.954679985576375</v>
      </c>
      <c r="L131" s="0" t="n">
        <f aca="false">Offre!$E$11*(Offre!$C$11^Param!$B$3)*1_Friction!L131</f>
        <v>1.06631682621917</v>
      </c>
      <c r="M131" s="0" t="n">
        <f aca="false">Offre!$E$12*(Offre!$C$12^Param!$B$3)*1_Friction!M131</f>
        <v>6.23411015310616</v>
      </c>
      <c r="N131" s="0" t="n">
        <f aca="false">Offre!$E$13*(Offre!$C$13^Param!$B$3)*1_Friction!N131</f>
        <v>0.74983266396456</v>
      </c>
      <c r="O131" s="0" t="n">
        <f aca="false">Offre!$E$14*(Offre!$C$14^Param!$B$3)*1_Friction!O131</f>
        <v>2.4170650105952</v>
      </c>
      <c r="P131" s="0" t="n">
        <f aca="false">Offre!$E$15*(Offre!$C$15^Param!$B$3)*1_Friction!P131</f>
        <v>1.20665710729511</v>
      </c>
      <c r="Q131" s="0" t="n">
        <f aca="false">Offre!$E$16*(Offre!$C$16^Param!$B$3)*1_Friction!Q131</f>
        <v>10.7362852116136</v>
      </c>
      <c r="R131" s="0" t="n">
        <f aca="false">Offre!$E$17*(Offre!$C$17^Param!$B$3)*1_Friction!R131</f>
        <v>1.40991289593851</v>
      </c>
      <c r="S131" s="0" t="n">
        <f aca="false">Offre!$E$18*(Offre!$C$18^Param!$B$3)*1_Friction!S131</f>
        <v>1.01080411916972</v>
      </c>
      <c r="T131" s="0" t="n">
        <f aca="false">Offre!$E$19*(Offre!$C$19^Param!$B$3)*1_Friction!T131</f>
        <v>4.84290664106975</v>
      </c>
      <c r="U131" s="0" t="n">
        <f aca="false">Offre!$E$20*(Offre!$C$20^Param!$B$3)*1_Friction!U131</f>
        <v>19.8812770417822</v>
      </c>
      <c r="V131" s="0" t="n">
        <f aca="false">Offre!$E$21*(Offre!$C$21^Param!$B$3)*1_Friction!V131</f>
        <v>30.8271024685543</v>
      </c>
      <c r="W131" s="0" t="n">
        <f aca="false">Offre!$E$22*(Offre!$C$22^Param!$B$3)*1_Friction!W131</f>
        <v>6.11491917609526</v>
      </c>
      <c r="X131" s="0" t="n">
        <f aca="false">Offre!$E$23*(Offre!$C$23^Param!$B$3)*1_Friction!X131</f>
        <v>8.77146599213747</v>
      </c>
      <c r="Y131" s="0" t="n">
        <f aca="false">Offre!$E$24*(Offre!$C$24^Param!$B$3)*1_Friction!Y131</f>
        <v>5.71834699314787</v>
      </c>
      <c r="Z131" s="0" t="n">
        <f aca="false">Offre!$E$25*(Offre!$C$25^Param!$B$3)*1_Friction!Z131</f>
        <v>13.8329752594375</v>
      </c>
      <c r="AA131" s="0" t="n">
        <f aca="false">Offre!$E$26*(Offre!$C$26^Param!$B$3)*1_Friction!AA131</f>
        <v>30.1477533773791</v>
      </c>
      <c r="AB131" s="0" t="n">
        <f aca="false">Offre!$E$27*(Offre!$C$27^Param!$B$3)*1_Friction!AB131</f>
        <v>13.0046739354951</v>
      </c>
      <c r="AC131" s="0" t="n">
        <f aca="false">Offre!$E$28*(Offre!$C$28^Param!$B$3)*1_Friction!AC131</f>
        <v>0</v>
      </c>
      <c r="AD131" s="0" t="n">
        <f aca="false">Offre!$E$29*(Offre!$C$29^Param!$B$3)*1_Friction!AD131</f>
        <v>0</v>
      </c>
      <c r="AE131" s="0" t="n">
        <f aca="false">Offre!$E$30*(Offre!$C$30^Param!$B$3)*1_Friction!AE131</f>
        <v>0</v>
      </c>
      <c r="AF131" s="0" t="n">
        <f aca="false">Offre!$E$31*(Offre!$C$31^Param!$B$3)*1_Friction!AF131</f>
        <v>0</v>
      </c>
      <c r="AG131" s="0" t="n">
        <f aca="false">Offre!$E$32*(Offre!$C$32^Param!$B$3)*1_Friction!AG131</f>
        <v>0</v>
      </c>
      <c r="AH131" s="0" t="n">
        <f aca="false">Offre!$E$33*(Offre!$C$33^Param!$B$3)*1_Friction!AH131</f>
        <v>3.74222897151186</v>
      </c>
      <c r="AI131" s="0" t="n">
        <f aca="false">Offre!$E$34*(Offre!$C$34^Param!$B$3)*1_Friction!AI131</f>
        <v>2.01729639917863</v>
      </c>
      <c r="AJ131" s="0" t="n">
        <f aca="false">Offre!$E$35*(Offre!$C$35^Param!$B$3)*1_Friction!AJ131</f>
        <v>13.1853086705625</v>
      </c>
      <c r="AK131" s="0" t="n">
        <f aca="false">Offre!$E$36*(Offre!$C$36^Param!$B$3)*1_Friction!AK131</f>
        <v>0</v>
      </c>
      <c r="AL131" s="0" t="n">
        <f aca="false">Offre!$E$37*(Offre!$C$37^Param!$B$3)*1_Friction!AL131</f>
        <v>0</v>
      </c>
      <c r="AM131" s="0" t="n">
        <f aca="false">Offre!$E$38*(Offre!$C$38^Param!$B$3)*1_Friction!AM131</f>
        <v>1.75429449585084</v>
      </c>
      <c r="AN131" s="0" t="n">
        <f aca="false">Offre!$E$39*(Offre!$C$39^Param!$B$3)*1_Friction!AN131</f>
        <v>0</v>
      </c>
      <c r="AO131" s="0" t="n">
        <f aca="false">SUM(C131:AN131)</f>
        <v>197.077589181071</v>
      </c>
    </row>
    <row r="132" customFormat="false" ht="15" hidden="false" customHeight="true" outlineLevel="0" collapsed="false">
      <c r="A132" s="0" t="s">
        <v>362</v>
      </c>
      <c r="B132" s="0" t="s">
        <v>363</v>
      </c>
      <c r="C132" s="0" t="n">
        <f aca="false">Offre!$E$2*(Offre!$C$2^Param!$B$3)*1_Friction!C132</f>
        <v>0.323172570112412</v>
      </c>
      <c r="D132" s="0" t="n">
        <f aca="false">Offre!$E$3*(Offre!$C$3^Param!$B$3)*1_Friction!D132</f>
        <v>1.14975831438211</v>
      </c>
      <c r="E132" s="0" t="n">
        <f aca="false">Offre!$E$4*(Offre!$C$4^Param!$B$3)*1_Friction!E132</f>
        <v>13.0174008467629</v>
      </c>
      <c r="F132" s="0" t="n">
        <f aca="false">Offre!$E$5*(Offre!$C$5^Param!$B$3)*1_Friction!F132</f>
        <v>2.38888895169029</v>
      </c>
      <c r="G132" s="0" t="n">
        <f aca="false">Offre!$E$6*(Offre!$C$6^Param!$B$3)*1_Friction!G132</f>
        <v>6.68006173681114</v>
      </c>
      <c r="H132" s="0" t="n">
        <f aca="false">Offre!$E$7*(Offre!$C$7^Param!$B$3)*1_Friction!H132</f>
        <v>1.77180888052527</v>
      </c>
      <c r="I132" s="0" t="n">
        <f aca="false">Offre!$E$8*(Offre!$C$8^Param!$B$3)*1_Friction!I132</f>
        <v>4.03281667538941</v>
      </c>
      <c r="J132" s="0" t="n">
        <f aca="false">Offre!$E$9*(Offre!$C$9^Param!$B$3)*1_Friction!J132</f>
        <v>3.08025635503874</v>
      </c>
      <c r="K132" s="0" t="n">
        <f aca="false">Offre!$E$10*(Offre!$C$10^Param!$B$3)*1_Friction!K132</f>
        <v>1.83454434018904</v>
      </c>
      <c r="L132" s="0" t="n">
        <f aca="false">Offre!$E$11*(Offre!$C$11^Param!$B$3)*1_Friction!L132</f>
        <v>2.02038903596443</v>
      </c>
      <c r="M132" s="0" t="n">
        <f aca="false">Offre!$E$12*(Offre!$C$12^Param!$B$3)*1_Friction!M132</f>
        <v>11.6576096422777</v>
      </c>
      <c r="N132" s="0" t="n">
        <f aca="false">Offre!$E$13*(Offre!$C$13^Param!$B$3)*1_Friction!N132</f>
        <v>1.42782440072053</v>
      </c>
      <c r="O132" s="0" t="n">
        <f aca="false">Offre!$E$14*(Offre!$C$14^Param!$B$3)*1_Friction!O132</f>
        <v>4.59454364044878</v>
      </c>
      <c r="P132" s="0" t="n">
        <f aca="false">Offre!$E$15*(Offre!$C$15^Param!$B$3)*1_Friction!P132</f>
        <v>2.28676587358451</v>
      </c>
      <c r="Q132" s="0" t="n">
        <f aca="false">Offre!$E$16*(Offre!$C$16^Param!$B$3)*1_Friction!Q132</f>
        <v>20.3103253128602</v>
      </c>
      <c r="R132" s="0" t="n">
        <f aca="false">Offre!$E$17*(Offre!$C$17^Param!$B$3)*1_Friction!R132</f>
        <v>2.67266790815656</v>
      </c>
      <c r="S132" s="0" t="n">
        <f aca="false">Offre!$E$18*(Offre!$C$18^Param!$B$3)*1_Friction!S132</f>
        <v>1.92772400259749</v>
      </c>
      <c r="T132" s="0" t="n">
        <f aca="false">Offre!$E$19*(Offre!$C$19^Param!$B$3)*1_Friction!T132</f>
        <v>2.83072884177244</v>
      </c>
      <c r="U132" s="0" t="n">
        <f aca="false">Offre!$E$20*(Offre!$C$20^Param!$B$3)*1_Friction!U132</f>
        <v>21.1930584150427</v>
      </c>
      <c r="V132" s="0" t="n">
        <f aca="false">Offre!$E$21*(Offre!$C$21^Param!$B$3)*1_Friction!V132</f>
        <v>47.2490360755497</v>
      </c>
      <c r="W132" s="0" t="n">
        <f aca="false">Offre!$E$22*(Offre!$C$22^Param!$B$3)*1_Friction!W132</f>
        <v>9.33755537308288</v>
      </c>
      <c r="X132" s="0" t="n">
        <f aca="false">Offre!$E$23*(Offre!$C$23^Param!$B$3)*1_Friction!X132</f>
        <v>13.428571427219</v>
      </c>
      <c r="Y132" s="0" t="n">
        <f aca="false">Offre!$E$24*(Offre!$C$24^Param!$B$3)*1_Friction!Y132</f>
        <v>8.94881321610546</v>
      </c>
      <c r="Z132" s="0" t="n">
        <f aca="false">Offre!$E$25*(Offre!$C$25^Param!$B$3)*1_Friction!Z132</f>
        <v>22.1138188849685</v>
      </c>
      <c r="AA132" s="0" t="n">
        <f aca="false">Offre!$E$26*(Offre!$C$26^Param!$B$3)*1_Friction!AA132</f>
        <v>45.2800918939678</v>
      </c>
      <c r="AB132" s="0" t="n">
        <f aca="false">Offre!$E$27*(Offre!$C$27^Param!$B$3)*1_Friction!AB132</f>
        <v>21.3075500400652</v>
      </c>
      <c r="AC132" s="0" t="n">
        <f aca="false">Offre!$E$28*(Offre!$C$28^Param!$B$3)*1_Friction!AC132</f>
        <v>0</v>
      </c>
      <c r="AD132" s="0" t="n">
        <f aca="false">Offre!$E$29*(Offre!$C$29^Param!$B$3)*1_Friction!AD132</f>
        <v>0</v>
      </c>
      <c r="AE132" s="0" t="n">
        <f aca="false">Offre!$E$30*(Offre!$C$30^Param!$B$3)*1_Friction!AE132</f>
        <v>0</v>
      </c>
      <c r="AF132" s="0" t="n">
        <f aca="false">Offre!$E$31*(Offre!$C$31^Param!$B$3)*1_Friction!AF132</f>
        <v>0</v>
      </c>
      <c r="AG132" s="0" t="n">
        <f aca="false">Offre!$E$32*(Offre!$C$32^Param!$B$3)*1_Friction!AG132</f>
        <v>0</v>
      </c>
      <c r="AH132" s="0" t="n">
        <f aca="false">Offre!$E$33*(Offre!$C$33^Param!$B$3)*1_Friction!AH132</f>
        <v>7.02587878766261</v>
      </c>
      <c r="AI132" s="0" t="n">
        <f aca="false">Offre!$E$34*(Offre!$C$34^Param!$B$3)*1_Friction!AI132</f>
        <v>1.15490741605803</v>
      </c>
      <c r="AJ132" s="0" t="n">
        <f aca="false">Offre!$E$35*(Offre!$C$35^Param!$B$3)*1_Friction!AJ132</f>
        <v>19.970210692231</v>
      </c>
      <c r="AK132" s="0" t="n">
        <f aca="false">Offre!$E$36*(Offre!$C$36^Param!$B$3)*1_Friction!AK132</f>
        <v>0</v>
      </c>
      <c r="AL132" s="0" t="n">
        <f aca="false">Offre!$E$37*(Offre!$C$37^Param!$B$3)*1_Friction!AL132</f>
        <v>0</v>
      </c>
      <c r="AM132" s="0" t="n">
        <f aca="false">Offre!$E$38*(Offre!$C$38^Param!$B$3)*1_Friction!AM132</f>
        <v>0.744166990795335</v>
      </c>
      <c r="AN132" s="0" t="n">
        <f aca="false">Offre!$E$39*(Offre!$C$39^Param!$B$3)*1_Friction!AN132</f>
        <v>0</v>
      </c>
      <c r="AO132" s="0" t="n">
        <f aca="false">SUM(C132:AN132)</f>
        <v>301.760946542032</v>
      </c>
    </row>
    <row r="133" customFormat="false" ht="15" hidden="false" customHeight="true" outlineLevel="0" collapsed="false">
      <c r="A133" s="0" t="s">
        <v>364</v>
      </c>
      <c r="B133" s="0" t="s">
        <v>365</v>
      </c>
      <c r="C133" s="0" t="n">
        <f aca="false">Offre!$E$2*(Offre!$C$2^Param!$B$3)*1_Friction!C133</f>
        <v>0.31810237516201</v>
      </c>
      <c r="D133" s="0" t="n">
        <f aca="false">Offre!$E$3*(Offre!$C$3^Param!$B$3)*1_Friction!D133</f>
        <v>1.04140171181674</v>
      </c>
      <c r="E133" s="0" t="n">
        <f aca="false">Offre!$E$4*(Offre!$C$4^Param!$B$3)*1_Friction!E133</f>
        <v>11.7961638649028</v>
      </c>
      <c r="F133" s="0" t="n">
        <f aca="false">Offre!$E$5*(Offre!$C$5^Param!$B$3)*1_Friction!F133</f>
        <v>2.16572418839228</v>
      </c>
      <c r="G133" s="0" t="n">
        <f aca="false">Offre!$E$6*(Offre!$C$6^Param!$B$3)*1_Friction!G133</f>
        <v>6.04904956255091</v>
      </c>
      <c r="H133" s="0" t="n">
        <f aca="false">Offre!$E$7*(Offre!$C$7^Param!$B$3)*1_Friction!H133</f>
        <v>1.61038846786234</v>
      </c>
      <c r="I133" s="0" t="n">
        <f aca="false">Offre!$E$8*(Offre!$C$8^Param!$B$3)*1_Friction!I133</f>
        <v>3.66661736841338</v>
      </c>
      <c r="J133" s="0" t="n">
        <f aca="false">Offre!$E$9*(Offre!$C$9^Param!$B$3)*1_Friction!J133</f>
        <v>2.79546158713423</v>
      </c>
      <c r="K133" s="0" t="n">
        <f aca="false">Offre!$E$10*(Offre!$C$10^Param!$B$3)*1_Friction!K133</f>
        <v>1.6641120240945</v>
      </c>
      <c r="L133" s="0" t="n">
        <f aca="false">Offre!$E$11*(Offre!$C$11^Param!$B$3)*1_Friction!L133</f>
        <v>1.83578062026472</v>
      </c>
      <c r="M133" s="0" t="n">
        <f aca="false">Offre!$E$12*(Offre!$C$12^Param!$B$3)*1_Friction!M133</f>
        <v>10.613429293723</v>
      </c>
      <c r="N133" s="0" t="n">
        <f aca="false">Offre!$E$13*(Offre!$C$13^Param!$B$3)*1_Friction!N133</f>
        <v>1.29705275066397</v>
      </c>
      <c r="O133" s="0" t="n">
        <f aca="false">Offre!$E$14*(Offre!$C$14^Param!$B$3)*1_Friction!O133</f>
        <v>4.17206268828167</v>
      </c>
      <c r="P133" s="0" t="n">
        <f aca="false">Offre!$E$15*(Offre!$C$15^Param!$B$3)*1_Friction!P133</f>
        <v>2.07774984210092</v>
      </c>
      <c r="Q133" s="0" t="n">
        <f aca="false">Offre!$E$16*(Offre!$C$16^Param!$B$3)*1_Friction!Q133</f>
        <v>18.4693524809588</v>
      </c>
      <c r="R133" s="0" t="n">
        <f aca="false">Offre!$E$17*(Offre!$C$17^Param!$B$3)*1_Friction!R133</f>
        <v>2.42962112202492</v>
      </c>
      <c r="S133" s="0" t="n">
        <f aca="false">Offre!$E$18*(Offre!$C$18^Param!$B$3)*1_Friction!S133</f>
        <v>1.75074045996998</v>
      </c>
      <c r="T133" s="0" t="n">
        <f aca="false">Offre!$E$19*(Offre!$C$19^Param!$B$3)*1_Friction!T133</f>
        <v>2.80156443508211</v>
      </c>
      <c r="U133" s="0" t="n">
        <f aca="false">Offre!$E$20*(Offre!$C$20^Param!$B$3)*1_Friction!U133</f>
        <v>21.0250598204917</v>
      </c>
      <c r="V133" s="0" t="n">
        <f aca="false">Offre!$E$21*(Offre!$C$21^Param!$B$3)*1_Friction!V133</f>
        <v>29.3233824053597</v>
      </c>
      <c r="W133" s="0" t="n">
        <f aca="false">Offre!$E$22*(Offre!$C$22^Param!$B$3)*1_Friction!W133</f>
        <v>5.81583073384539</v>
      </c>
      <c r="X133" s="0" t="n">
        <f aca="false">Offre!$E$23*(Offre!$C$23^Param!$B$3)*1_Friction!X133</f>
        <v>8.35146286365965</v>
      </c>
      <c r="Y133" s="0" t="n">
        <f aca="false">Offre!$E$24*(Offre!$C$24^Param!$B$3)*1_Friction!Y133</f>
        <v>5.44192162671576</v>
      </c>
      <c r="Z133" s="0" t="n">
        <f aca="false">Offre!$E$25*(Offre!$C$25^Param!$B$3)*1_Friction!Z133</f>
        <v>13.1550944504937</v>
      </c>
      <c r="AA133" s="0" t="n">
        <f aca="false">Offre!$E$26*(Offre!$C$26^Param!$B$3)*1_Friction!AA133</f>
        <v>28.7233115880809</v>
      </c>
      <c r="AB133" s="0" t="n">
        <f aca="false">Offre!$E$27*(Offre!$C$27^Param!$B$3)*1_Friction!AB133</f>
        <v>12.6570020480418</v>
      </c>
      <c r="AC133" s="0" t="n">
        <f aca="false">Offre!$E$28*(Offre!$C$28^Param!$B$3)*1_Friction!AC133</f>
        <v>0</v>
      </c>
      <c r="AD133" s="0" t="n">
        <f aca="false">Offre!$E$29*(Offre!$C$29^Param!$B$3)*1_Friction!AD133</f>
        <v>0</v>
      </c>
      <c r="AE133" s="0" t="n">
        <f aca="false">Offre!$E$30*(Offre!$C$30^Param!$B$3)*1_Friction!AE133</f>
        <v>0</v>
      </c>
      <c r="AF133" s="0" t="n">
        <f aca="false">Offre!$E$31*(Offre!$C$31^Param!$B$3)*1_Friction!AF133</f>
        <v>0</v>
      </c>
      <c r="AG133" s="0" t="n">
        <f aca="false">Offre!$E$32*(Offre!$C$32^Param!$B$3)*1_Friction!AG133</f>
        <v>0</v>
      </c>
      <c r="AH133" s="0" t="n">
        <f aca="false">Offre!$E$33*(Offre!$C$33^Param!$B$3)*1_Friction!AH133</f>
        <v>6.3967298680434</v>
      </c>
      <c r="AI133" s="0" t="n">
        <f aca="false">Offre!$E$34*(Offre!$C$34^Param!$B$3)*1_Friction!AI133</f>
        <v>1.14259334087294</v>
      </c>
      <c r="AJ133" s="0" t="n">
        <f aca="false">Offre!$E$35*(Offre!$C$35^Param!$B$3)*1_Friction!AJ133</f>
        <v>12.5512175344107</v>
      </c>
      <c r="AK133" s="0" t="n">
        <f aca="false">Offre!$E$36*(Offre!$C$36^Param!$B$3)*1_Friction!AK133</f>
        <v>0</v>
      </c>
      <c r="AL133" s="0" t="n">
        <f aca="false">Offre!$E$37*(Offre!$C$37^Param!$B$3)*1_Friction!AL133</f>
        <v>0</v>
      </c>
      <c r="AM133" s="0" t="n">
        <f aca="false">Offre!$E$38*(Offre!$C$38^Param!$B$3)*1_Friction!AM133</f>
        <v>0.730302018107866</v>
      </c>
      <c r="AN133" s="0" t="n">
        <f aca="false">Offre!$E$39*(Offre!$C$39^Param!$B$3)*1_Friction!AN133</f>
        <v>0</v>
      </c>
      <c r="AO133" s="0" t="n">
        <f aca="false">SUM(C133:AN133)</f>
        <v>221.868283141523</v>
      </c>
    </row>
    <row r="134" customFormat="false" ht="15" hidden="false" customHeight="true" outlineLevel="0" collapsed="false">
      <c r="A134" s="0" t="s">
        <v>366</v>
      </c>
      <c r="B134" s="0" t="s">
        <v>367</v>
      </c>
      <c r="C134" s="0" t="n">
        <f aca="false">Offre!$E$2*(Offre!$C$2^Param!$B$3)*1_Friction!C134</f>
        <v>0</v>
      </c>
      <c r="D134" s="0" t="n">
        <f aca="false">Offre!$E$3*(Offre!$C$3^Param!$B$3)*1_Friction!D134</f>
        <v>0.100045525543873</v>
      </c>
      <c r="E134" s="0" t="n">
        <f aca="false">Offre!$E$4*(Offre!$C$4^Param!$B$3)*1_Friction!E134</f>
        <v>1.14350964990845</v>
      </c>
      <c r="F134" s="0" t="n">
        <f aca="false">Offre!$E$5*(Offre!$C$5^Param!$B$3)*1_Friction!F134</f>
        <v>0.211714945689207</v>
      </c>
      <c r="G134" s="0" t="n">
        <f aca="false">Offre!$E$6*(Offre!$C$6^Param!$B$3)*1_Friction!G134</f>
        <v>0.586615872129078</v>
      </c>
      <c r="H134" s="0" t="n">
        <f aca="false">Offre!$E$7*(Offre!$C$7^Param!$B$3)*1_Friction!H134</f>
        <v>0.167545369512685</v>
      </c>
      <c r="I134" s="0" t="n">
        <f aca="false">Offre!$E$8*(Offre!$C$8^Param!$B$3)*1_Friction!I134</f>
        <v>0.378736681100044</v>
      </c>
      <c r="J134" s="0" t="n">
        <f aca="false">Offre!$E$9*(Offre!$C$9^Param!$B$3)*1_Friction!J134</f>
        <v>0.282722384856591</v>
      </c>
      <c r="K134" s="0" t="n">
        <f aca="false">Offre!$E$10*(Offre!$C$10^Param!$B$3)*1_Friction!K134</f>
        <v>0.164460477273858</v>
      </c>
      <c r="L134" s="0" t="n">
        <f aca="false">Offre!$E$11*(Offre!$C$11^Param!$B$3)*1_Friction!L134</f>
        <v>0.189928683806318</v>
      </c>
      <c r="M134" s="0" t="n">
        <f aca="false">Offre!$E$12*(Offre!$C$12^Param!$B$3)*1_Friction!M134</f>
        <v>1.14018140321735</v>
      </c>
      <c r="N134" s="0" t="n">
        <f aca="false">Offre!$E$13*(Offre!$C$13^Param!$B$3)*1_Friction!N134</f>
        <v>0.131784978678691</v>
      </c>
      <c r="O134" s="0" t="n">
        <f aca="false">Offre!$E$14*(Offre!$C$14^Param!$B$3)*1_Friction!O134</f>
        <v>0.426433455748641</v>
      </c>
      <c r="P134" s="0" t="n">
        <f aca="false">Offre!$E$15*(Offre!$C$15^Param!$B$3)*1_Friction!P134</f>
        <v>0.214828953830752</v>
      </c>
      <c r="Q134" s="0" t="n">
        <f aca="false">Offre!$E$16*(Offre!$C$16^Param!$B$3)*1_Friction!Q134</f>
        <v>1.91430094150309</v>
      </c>
      <c r="R134" s="0" t="n">
        <f aca="false">Offre!$E$17*(Offre!$C$17^Param!$B$3)*1_Friction!R134</f>
        <v>0.250261410415271</v>
      </c>
      <c r="S134" s="0" t="n">
        <f aca="false">Offre!$E$18*(Offre!$C$18^Param!$B$3)*1_Friction!S134</f>
        <v>0.177052732079734</v>
      </c>
      <c r="T134" s="0" t="n">
        <f aca="false">Offre!$E$19*(Offre!$C$19^Param!$B$3)*1_Friction!T134</f>
        <v>0.443093325523557</v>
      </c>
      <c r="U134" s="0" t="n">
        <f aca="false">Offre!$E$20*(Offre!$C$20^Param!$B$3)*1_Friction!U134</f>
        <v>10.3183511103148</v>
      </c>
      <c r="V134" s="0" t="n">
        <f aca="false">Offre!$E$21*(Offre!$C$21^Param!$B$3)*1_Friction!V134</f>
        <v>12.3385643927312</v>
      </c>
      <c r="W134" s="0" t="n">
        <f aca="false">Offre!$E$22*(Offre!$C$22^Param!$B$3)*1_Friction!W134</f>
        <v>2.46266486157596</v>
      </c>
      <c r="X134" s="0" t="n">
        <f aca="false">Offre!$E$23*(Offre!$C$23^Param!$B$3)*1_Friction!X134</f>
        <v>3.59305702450568</v>
      </c>
      <c r="Y134" s="0" t="n">
        <f aca="false">Offre!$E$24*(Offre!$C$24^Param!$B$3)*1_Friction!Y134</f>
        <v>2.32320372426756</v>
      </c>
      <c r="Z134" s="0" t="n">
        <f aca="false">Offre!$E$25*(Offre!$C$25^Param!$B$3)*1_Friction!Z134</f>
        <v>5.55853116088078</v>
      </c>
      <c r="AA134" s="0" t="n">
        <f aca="false">Offre!$E$26*(Offre!$C$26^Param!$B$3)*1_Friction!AA134</f>
        <v>12.4710027110624</v>
      </c>
      <c r="AB134" s="0" t="n">
        <f aca="false">Offre!$E$27*(Offre!$C$27^Param!$B$3)*1_Friction!AB134</f>
        <v>5.30251839382248</v>
      </c>
      <c r="AC134" s="0" t="n">
        <f aca="false">Offre!$E$28*(Offre!$C$28^Param!$B$3)*1_Friction!AC134</f>
        <v>0</v>
      </c>
      <c r="AD134" s="0" t="n">
        <f aca="false">Offre!$E$29*(Offre!$C$29^Param!$B$3)*1_Friction!AD134</f>
        <v>0</v>
      </c>
      <c r="AE134" s="0" t="n">
        <f aca="false">Offre!$E$30*(Offre!$C$30^Param!$B$3)*1_Friction!AE134</f>
        <v>0</v>
      </c>
      <c r="AF134" s="0" t="n">
        <f aca="false">Offre!$E$31*(Offre!$C$31^Param!$B$3)*1_Friction!AF134</f>
        <v>0</v>
      </c>
      <c r="AG134" s="0" t="n">
        <f aca="false">Offre!$E$32*(Offre!$C$32^Param!$B$3)*1_Friction!AG134</f>
        <v>0</v>
      </c>
      <c r="AH134" s="0" t="n">
        <f aca="false">Offre!$E$33*(Offre!$C$33^Param!$B$3)*1_Friction!AH134</f>
        <v>0.678450912213329</v>
      </c>
      <c r="AI134" s="0" t="n">
        <f aca="false">Offre!$E$34*(Offre!$C$34^Param!$B$3)*1_Friction!AI134</f>
        <v>0.171457720931131</v>
      </c>
      <c r="AJ134" s="0" t="n">
        <f aca="false">Offre!$E$35*(Offre!$C$35^Param!$B$3)*1_Friction!AJ134</f>
        <v>5.38259689731818</v>
      </c>
      <c r="AK134" s="0" t="n">
        <f aca="false">Offre!$E$36*(Offre!$C$36^Param!$B$3)*1_Friction!AK134</f>
        <v>0</v>
      </c>
      <c r="AL134" s="0" t="n">
        <f aca="false">Offre!$E$37*(Offre!$C$37^Param!$B$3)*1_Friction!AL134</f>
        <v>0</v>
      </c>
      <c r="AM134" s="0" t="n">
        <f aca="false">Offre!$E$38*(Offre!$C$38^Param!$B$3)*1_Friction!AM134</f>
        <v>0</v>
      </c>
      <c r="AN134" s="0" t="n">
        <f aca="false">Offre!$E$39*(Offre!$C$39^Param!$B$3)*1_Friction!AN134</f>
        <v>0</v>
      </c>
      <c r="AO134" s="0" t="n">
        <f aca="false">SUM(C134:AN134)</f>
        <v>68.5236157004408</v>
      </c>
    </row>
    <row r="135" customFormat="false" ht="15" hidden="false" customHeight="true" outlineLevel="0" collapsed="false">
      <c r="A135" s="0" t="s">
        <v>368</v>
      </c>
      <c r="B135" s="0" t="s">
        <v>369</v>
      </c>
      <c r="C135" s="0" t="n">
        <f aca="false">Offre!$E$2*(Offre!$C$2^Param!$B$3)*1_Friction!C135</f>
        <v>0</v>
      </c>
      <c r="D135" s="0" t="n">
        <f aca="false">Offre!$E$3*(Offre!$C$3^Param!$B$3)*1_Friction!D135</f>
        <v>0</v>
      </c>
      <c r="E135" s="0" t="n">
        <f aca="false">Offre!$E$4*(Offre!$C$4^Param!$B$3)*1_Friction!E135</f>
        <v>0</v>
      </c>
      <c r="F135" s="0" t="n">
        <f aca="false">Offre!$E$5*(Offre!$C$5^Param!$B$3)*1_Friction!F135</f>
        <v>0</v>
      </c>
      <c r="G135" s="0" t="n">
        <f aca="false">Offre!$E$6*(Offre!$C$6^Param!$B$3)*1_Friction!G135</f>
        <v>0</v>
      </c>
      <c r="H135" s="0" t="n">
        <f aca="false">Offre!$E$7*(Offre!$C$7^Param!$B$3)*1_Friction!H135</f>
        <v>0.120764673386022</v>
      </c>
      <c r="I135" s="0" t="n">
        <f aca="false">Offre!$E$8*(Offre!$C$8^Param!$B$3)*1_Friction!I135</f>
        <v>0.27305470571565</v>
      </c>
      <c r="J135" s="0" t="n">
        <f aca="false">Offre!$E$9*(Offre!$C$9^Param!$B$3)*1_Friction!J135</f>
        <v>0</v>
      </c>
      <c r="K135" s="0" t="n">
        <f aca="false">Offre!$E$10*(Offre!$C$10^Param!$B$3)*1_Friction!K135</f>
        <v>0</v>
      </c>
      <c r="L135" s="0" t="n">
        <f aca="false">Offre!$E$11*(Offre!$C$11^Param!$B$3)*1_Friction!L135</f>
        <v>0.136806701984355</v>
      </c>
      <c r="M135" s="0" t="n">
        <f aca="false">Offre!$E$12*(Offre!$C$12^Param!$B$3)*1_Friction!M135</f>
        <v>0.824982419869701</v>
      </c>
      <c r="N135" s="0" t="n">
        <f aca="false">Offre!$E$13*(Offre!$C$13^Param!$B$3)*1_Friction!N135</f>
        <v>0</v>
      </c>
      <c r="O135" s="0" t="n">
        <f aca="false">Offre!$E$14*(Offre!$C$14^Param!$B$3)*1_Friction!O135</f>
        <v>0</v>
      </c>
      <c r="P135" s="0" t="n">
        <f aca="false">Offre!$E$15*(Offre!$C$15^Param!$B$3)*1_Friction!P135</f>
        <v>0.154730999905535</v>
      </c>
      <c r="Q135" s="0" t="n">
        <f aca="false">Offre!$E$16*(Offre!$C$16^Param!$B$3)*1_Friction!Q135</f>
        <v>1.37929198623379</v>
      </c>
      <c r="R135" s="0" t="n">
        <f aca="false">Offre!$E$17*(Offre!$C$17^Param!$B$3)*1_Friction!R135</f>
        <v>0.180184290851378</v>
      </c>
      <c r="S135" s="0" t="n">
        <f aca="false">Offre!$E$18*(Offre!$C$18^Param!$B$3)*1_Friction!S135</f>
        <v>0</v>
      </c>
      <c r="T135" s="0" t="n">
        <f aca="false">Offre!$E$19*(Offre!$C$19^Param!$B$3)*1_Friction!T135</f>
        <v>0.253322405416046</v>
      </c>
      <c r="U135" s="0" t="n">
        <f aca="false">Offre!$E$20*(Offre!$C$20^Param!$B$3)*1_Friction!U135</f>
        <v>7.64428629284914</v>
      </c>
      <c r="V135" s="0" t="n">
        <f aca="false">Offre!$E$21*(Offre!$C$21^Param!$B$3)*1_Friction!V135</f>
        <v>3.37084440227884</v>
      </c>
      <c r="W135" s="0" t="n">
        <f aca="false">Offre!$E$22*(Offre!$C$22^Param!$B$3)*1_Friction!W135</f>
        <v>0.745363765816552</v>
      </c>
      <c r="X135" s="0" t="n">
        <f aca="false">Offre!$E$23*(Offre!$C$23^Param!$B$3)*1_Friction!X135</f>
        <v>1.1418749726184</v>
      </c>
      <c r="Y135" s="0" t="n">
        <f aca="false">Offre!$E$24*(Offre!$C$24^Param!$B$3)*1_Friction!Y135</f>
        <v>0.759959599328918</v>
      </c>
      <c r="Z135" s="0" t="n">
        <f aca="false">Offre!$E$25*(Offre!$C$25^Param!$B$3)*1_Friction!Z135</f>
        <v>1.85363772447182</v>
      </c>
      <c r="AA135" s="0" t="n">
        <f aca="false">Offre!$E$26*(Offre!$C$26^Param!$B$3)*1_Friction!AA135</f>
        <v>3.87455357053348</v>
      </c>
      <c r="AB135" s="0" t="n">
        <f aca="false">Offre!$E$27*(Offre!$C$27^Param!$B$3)*1_Friction!AB135</f>
        <v>1.93303443728551</v>
      </c>
      <c r="AC135" s="0" t="n">
        <f aca="false">Offre!$E$28*(Offre!$C$28^Param!$B$3)*1_Friction!AC135</f>
        <v>0</v>
      </c>
      <c r="AD135" s="0" t="n">
        <f aca="false">Offre!$E$29*(Offre!$C$29^Param!$B$3)*1_Friction!AD135</f>
        <v>0</v>
      </c>
      <c r="AE135" s="0" t="n">
        <f aca="false">Offre!$E$30*(Offre!$C$30^Param!$B$3)*1_Friction!AE135</f>
        <v>0</v>
      </c>
      <c r="AF135" s="0" t="n">
        <f aca="false">Offre!$E$31*(Offre!$C$31^Param!$B$3)*1_Friction!AF135</f>
        <v>0</v>
      </c>
      <c r="AG135" s="0" t="n">
        <f aca="false">Offre!$E$32*(Offre!$C$32^Param!$B$3)*1_Friction!AG135</f>
        <v>0</v>
      </c>
      <c r="AH135" s="0" t="n">
        <f aca="false">Offre!$E$33*(Offre!$C$33^Param!$B$3)*1_Friction!AH135</f>
        <v>0.490680864876299</v>
      </c>
      <c r="AI135" s="0" t="n">
        <f aca="false">Offre!$E$34*(Offre!$C$34^Param!$B$3)*1_Friction!AI135</f>
        <v>0.0967650781263447</v>
      </c>
      <c r="AJ135" s="0" t="n">
        <f aca="false">Offre!$E$35*(Offre!$C$35^Param!$B$3)*1_Friction!AJ135</f>
        <v>1.61268991121202</v>
      </c>
      <c r="AK135" s="0" t="n">
        <f aca="false">Offre!$E$36*(Offre!$C$36^Param!$B$3)*1_Friction!AK135</f>
        <v>0</v>
      </c>
      <c r="AL135" s="0" t="n">
        <f aca="false">Offre!$E$37*(Offre!$C$37^Param!$B$3)*1_Friction!AL135</f>
        <v>0</v>
      </c>
      <c r="AM135" s="0" t="n">
        <f aca="false">Offre!$E$38*(Offre!$C$38^Param!$B$3)*1_Friction!AM135</f>
        <v>0</v>
      </c>
      <c r="AN135" s="0" t="n">
        <f aca="false">Offre!$E$39*(Offre!$C$39^Param!$B$3)*1_Friction!AN135</f>
        <v>0</v>
      </c>
      <c r="AO135" s="0" t="n">
        <f aca="false">SUM(C135:AN135)</f>
        <v>26.8468288027598</v>
      </c>
    </row>
    <row r="136" customFormat="false" ht="15" hidden="false" customHeight="true" outlineLevel="0" collapsed="false">
      <c r="A136" s="0" t="s">
        <v>370</v>
      </c>
      <c r="B136" s="0" t="s">
        <v>371</v>
      </c>
      <c r="C136" s="0" t="n">
        <f aca="false">Offre!$E$2*(Offre!$C$2^Param!$B$3)*1_Friction!C136</f>
        <v>0</v>
      </c>
      <c r="D136" s="0" t="n">
        <f aca="false">Offre!$E$3*(Offre!$C$3^Param!$B$3)*1_Friction!D136</f>
        <v>0</v>
      </c>
      <c r="E136" s="0" t="n">
        <f aca="false">Offre!$E$4*(Offre!$C$4^Param!$B$3)*1_Friction!E136</f>
        <v>0</v>
      </c>
      <c r="F136" s="0" t="n">
        <f aca="false">Offre!$E$5*(Offre!$C$5^Param!$B$3)*1_Friction!F136</f>
        <v>0</v>
      </c>
      <c r="G136" s="0" t="n">
        <f aca="false">Offre!$E$6*(Offre!$C$6^Param!$B$3)*1_Friction!G136</f>
        <v>0</v>
      </c>
      <c r="H136" s="0" t="n">
        <f aca="false">Offre!$E$7*(Offre!$C$7^Param!$B$3)*1_Friction!H136</f>
        <v>0</v>
      </c>
      <c r="I136" s="0" t="n">
        <f aca="false">Offre!$E$8*(Offre!$C$8^Param!$B$3)*1_Friction!I136</f>
        <v>0</v>
      </c>
      <c r="J136" s="0" t="n">
        <f aca="false">Offre!$E$9*(Offre!$C$9^Param!$B$3)*1_Friction!J136</f>
        <v>0</v>
      </c>
      <c r="K136" s="0" t="n">
        <f aca="false">Offre!$E$10*(Offre!$C$10^Param!$B$3)*1_Friction!K136</f>
        <v>0</v>
      </c>
      <c r="L136" s="0" t="n">
        <f aca="false">Offre!$E$11*(Offre!$C$11^Param!$B$3)*1_Friction!L136</f>
        <v>0</v>
      </c>
      <c r="M136" s="0" t="n">
        <f aca="false">Offre!$E$12*(Offre!$C$12^Param!$B$3)*1_Friction!M136</f>
        <v>0</v>
      </c>
      <c r="N136" s="0" t="n">
        <f aca="false">Offre!$E$13*(Offre!$C$13^Param!$B$3)*1_Friction!N136</f>
        <v>0</v>
      </c>
      <c r="O136" s="0" t="n">
        <f aca="false">Offre!$E$14*(Offre!$C$14^Param!$B$3)*1_Friction!O136</f>
        <v>0</v>
      </c>
      <c r="P136" s="0" t="n">
        <f aca="false">Offre!$E$15*(Offre!$C$15^Param!$B$3)*1_Friction!P136</f>
        <v>0</v>
      </c>
      <c r="Q136" s="0" t="n">
        <f aca="false">Offre!$E$16*(Offre!$C$16^Param!$B$3)*1_Friction!Q136</f>
        <v>0</v>
      </c>
      <c r="R136" s="0" t="n">
        <f aca="false">Offre!$E$17*(Offre!$C$17^Param!$B$3)*1_Friction!R136</f>
        <v>0</v>
      </c>
      <c r="S136" s="0" t="n">
        <f aca="false">Offre!$E$18*(Offre!$C$18^Param!$B$3)*1_Friction!S136</f>
        <v>0</v>
      </c>
      <c r="T136" s="0" t="n">
        <f aca="false">Offre!$E$19*(Offre!$C$19^Param!$B$3)*1_Friction!T136</f>
        <v>0</v>
      </c>
      <c r="U136" s="0" t="n">
        <f aca="false">Offre!$E$20*(Offre!$C$20^Param!$B$3)*1_Friction!U136</f>
        <v>5.38290783311668</v>
      </c>
      <c r="V136" s="0" t="n">
        <f aca="false">Offre!$E$21*(Offre!$C$21^Param!$B$3)*1_Friction!V136</f>
        <v>2.18663930570452</v>
      </c>
      <c r="W136" s="0" t="n">
        <f aca="false">Offre!$E$22*(Offre!$C$22^Param!$B$3)*1_Friction!W136</f>
        <v>0.479361025889096</v>
      </c>
      <c r="X136" s="0" t="n">
        <f aca="false">Offre!$E$23*(Offre!$C$23^Param!$B$3)*1_Friction!X136</f>
        <v>0.740009752308511</v>
      </c>
      <c r="Y136" s="0" t="n">
        <f aca="false">Offre!$E$24*(Offre!$C$24^Param!$B$3)*1_Friction!Y136</f>
        <v>0.492448144156959</v>
      </c>
      <c r="Z136" s="0" t="n">
        <f aca="false">Offre!$E$25*(Offre!$C$25^Param!$B$3)*1_Friction!Z136</f>
        <v>1.1991844009848</v>
      </c>
      <c r="AA136" s="0" t="n">
        <f aca="false">Offre!$E$26*(Offre!$C$26^Param!$B$3)*1_Friction!AA136</f>
        <v>2.51393411855453</v>
      </c>
      <c r="AB136" s="0" t="n">
        <f aca="false">Offre!$E$27*(Offre!$C$27^Param!$B$3)*1_Friction!AB136</f>
        <v>1.26292767440702</v>
      </c>
      <c r="AC136" s="0" t="n">
        <f aca="false">Offre!$E$28*(Offre!$C$28^Param!$B$3)*1_Friction!AC136</f>
        <v>0</v>
      </c>
      <c r="AD136" s="0" t="n">
        <f aca="false">Offre!$E$29*(Offre!$C$29^Param!$B$3)*1_Friction!AD136</f>
        <v>0</v>
      </c>
      <c r="AE136" s="0" t="n">
        <f aca="false">Offre!$E$30*(Offre!$C$30^Param!$B$3)*1_Friction!AE136</f>
        <v>0</v>
      </c>
      <c r="AF136" s="0" t="n">
        <f aca="false">Offre!$E$31*(Offre!$C$31^Param!$B$3)*1_Friction!AF136</f>
        <v>0</v>
      </c>
      <c r="AG136" s="0" t="n">
        <f aca="false">Offre!$E$32*(Offre!$C$32^Param!$B$3)*1_Friction!AG136</f>
        <v>0</v>
      </c>
      <c r="AH136" s="0" t="n">
        <f aca="false">Offre!$E$33*(Offre!$C$33^Param!$B$3)*1_Friction!AH136</f>
        <v>0</v>
      </c>
      <c r="AI136" s="0" t="n">
        <f aca="false">Offre!$E$34*(Offre!$C$34^Param!$B$3)*1_Friction!AI136</f>
        <v>0</v>
      </c>
      <c r="AJ136" s="0" t="n">
        <f aca="false">Offre!$E$35*(Offre!$C$35^Param!$B$3)*1_Friction!AJ136</f>
        <v>1.0401404361164</v>
      </c>
      <c r="AK136" s="0" t="n">
        <f aca="false">Offre!$E$36*(Offre!$C$36^Param!$B$3)*1_Friction!AK136</f>
        <v>0</v>
      </c>
      <c r="AL136" s="0" t="n">
        <f aca="false">Offre!$E$37*(Offre!$C$37^Param!$B$3)*1_Friction!AL136</f>
        <v>0</v>
      </c>
      <c r="AM136" s="0" t="n">
        <f aca="false">Offre!$E$38*(Offre!$C$38^Param!$B$3)*1_Friction!AM136</f>
        <v>0</v>
      </c>
      <c r="AN136" s="0" t="n">
        <f aca="false">Offre!$E$39*(Offre!$C$39^Param!$B$3)*1_Friction!AN136</f>
        <v>0</v>
      </c>
      <c r="AO136" s="0" t="n">
        <f aca="false">SUM(C136:AN136)</f>
        <v>15.2975526912385</v>
      </c>
    </row>
    <row r="137" customFormat="false" ht="19.5" hidden="false" customHeight="true" outlineLevel="0" collapsed="false">
      <c r="A137" s="34" t="s">
        <v>444</v>
      </c>
      <c r="B137" s="34"/>
      <c r="C137" s="34"/>
      <c r="D137" s="34"/>
      <c r="E137" s="34"/>
      <c r="F137" s="34"/>
    </row>
    <row r="138" customFormat="false" ht="30" hidden="false" customHeight="true" outlineLevel="0" collapsed="false">
      <c r="A138" s="35" t="s">
        <v>445</v>
      </c>
      <c r="B138" s="35"/>
      <c r="C138" s="35"/>
      <c r="D138" s="35"/>
      <c r="E138" s="35"/>
      <c r="F138" s="35"/>
    </row>
    <row r="139" customFormat="false" ht="18" hidden="false" customHeight="true" outlineLevel="0" collapsed="false">
      <c r="A139" s="36" t="s">
        <v>446</v>
      </c>
      <c r="B139" s="36"/>
      <c r="C139" s="36"/>
      <c r="D139" s="36"/>
      <c r="E139" s="36"/>
      <c r="F139" s="36"/>
    </row>
    <row r="140" customFormat="false" ht="18" hidden="false" customHeight="true" outlineLevel="0" collapsed="false">
      <c r="A140" s="36" t="s">
        <v>447</v>
      </c>
      <c r="B140" s="36"/>
      <c r="C140" s="36"/>
      <c r="D140" s="36"/>
      <c r="E140" s="36"/>
      <c r="F140" s="36"/>
    </row>
    <row r="141" customFormat="false" ht="18" hidden="false" customHeight="true" outlineLevel="0" collapsed="false">
      <c r="A141" s="36" t="s">
        <v>448</v>
      </c>
      <c r="B141" s="36"/>
      <c r="C141" s="36"/>
      <c r="D141" s="36"/>
      <c r="E141" s="36"/>
      <c r="F141" s="36"/>
    </row>
    <row r="142" customFormat="false" ht="18" hidden="false" customHeight="true" outlineLevel="0" collapsed="false">
      <c r="A142" s="36" t="s">
        <v>449</v>
      </c>
      <c r="B142" s="36"/>
      <c r="C142" s="36"/>
      <c r="D142" s="36"/>
      <c r="E142" s="36"/>
      <c r="F142" s="36"/>
    </row>
    <row r="143" customFormat="false" ht="18" hidden="false" customHeight="true" outlineLevel="0" collapsed="false">
      <c r="A143" s="36" t="s">
        <v>450</v>
      </c>
      <c r="B143" s="36"/>
      <c r="C143" s="36"/>
      <c r="D143" s="36"/>
      <c r="E143" s="36"/>
      <c r="F143" s="36"/>
    </row>
    <row r="144" customFormat="false" ht="18" hidden="false" customHeight="true" outlineLevel="0" collapsed="false">
      <c r="A144" s="36" t="s">
        <v>451</v>
      </c>
      <c r="B144" s="36"/>
      <c r="C144" s="36"/>
      <c r="D144" s="36"/>
      <c r="E144" s="36"/>
      <c r="F144" s="36"/>
    </row>
    <row r="145" customFormat="false" ht="18" hidden="false" customHeight="true" outlineLevel="0" collapsed="false">
      <c r="A145" s="36" t="s">
        <v>452</v>
      </c>
      <c r="B145" s="36"/>
      <c r="C145" s="36"/>
      <c r="D145" s="36"/>
      <c r="E145" s="36"/>
      <c r="F145" s="36"/>
    </row>
    <row r="146" customFormat="false" ht="18" hidden="false" customHeight="true" outlineLevel="0" collapsed="false">
      <c r="A146" s="36" t="s">
        <v>453</v>
      </c>
      <c r="B146" s="36"/>
      <c r="C146" s="36"/>
      <c r="D146" s="36"/>
      <c r="E146" s="36"/>
      <c r="F146" s="36"/>
    </row>
    <row r="147" customFormat="false" ht="18" hidden="false" customHeight="true" outlineLevel="0" collapsed="false">
      <c r="A147" s="36" t="s">
        <v>454</v>
      </c>
      <c r="B147" s="36"/>
      <c r="C147" s="36"/>
      <c r="D147" s="36"/>
      <c r="E147" s="36"/>
      <c r="F147" s="36"/>
    </row>
  </sheetData>
  <mergeCells count="11">
    <mergeCell ref="A137:F137"/>
    <mergeCell ref="A138:F138"/>
    <mergeCell ref="A139:F139"/>
    <mergeCell ref="A140:F140"/>
    <mergeCell ref="A141:F141"/>
    <mergeCell ref="A142:F142"/>
    <mergeCell ref="A143:F143"/>
    <mergeCell ref="A144:F144"/>
    <mergeCell ref="A145:F145"/>
    <mergeCell ref="A146:F146"/>
    <mergeCell ref="A147:F1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39" min="39" style="0" width="16"/>
  </cols>
  <sheetData>
    <row r="1" customFormat="false" ht="79.5" hidden="false" customHeight="true" outlineLevel="0" collapsed="false">
      <c r="A1" s="31" t="s">
        <v>99</v>
      </c>
      <c r="B1" s="31" t="s">
        <v>100</v>
      </c>
      <c r="C1" s="31" t="s">
        <v>378</v>
      </c>
      <c r="D1" s="31" t="s">
        <v>380</v>
      </c>
      <c r="E1" s="31" t="s">
        <v>381</v>
      </c>
      <c r="F1" s="31" t="s">
        <v>382</v>
      </c>
      <c r="G1" s="31" t="s">
        <v>383</v>
      </c>
      <c r="H1" s="31" t="s">
        <v>384</v>
      </c>
      <c r="I1" s="31" t="s">
        <v>385</v>
      </c>
      <c r="J1" s="31" t="s">
        <v>386</v>
      </c>
      <c r="K1" s="31" t="s">
        <v>387</v>
      </c>
      <c r="L1" s="31" t="s">
        <v>388</v>
      </c>
      <c r="M1" s="31" t="s">
        <v>389</v>
      </c>
      <c r="N1" s="31" t="s">
        <v>390</v>
      </c>
      <c r="O1" s="31" t="s">
        <v>391</v>
      </c>
      <c r="P1" s="31" t="s">
        <v>392</v>
      </c>
      <c r="Q1" s="31" t="s">
        <v>393</v>
      </c>
      <c r="R1" s="31" t="s">
        <v>394</v>
      </c>
      <c r="S1" s="31" t="s">
        <v>395</v>
      </c>
      <c r="T1" s="31" t="s">
        <v>396</v>
      </c>
      <c r="U1" s="31" t="s">
        <v>397</v>
      </c>
      <c r="V1" s="31" t="s">
        <v>398</v>
      </c>
      <c r="W1" s="31" t="s">
        <v>399</v>
      </c>
      <c r="X1" s="31" t="s">
        <v>400</v>
      </c>
      <c r="Y1" s="31" t="s">
        <v>401</v>
      </c>
      <c r="Z1" s="31" t="s">
        <v>402</v>
      </c>
      <c r="AA1" s="31" t="s">
        <v>403</v>
      </c>
      <c r="AB1" s="31" t="s">
        <v>404</v>
      </c>
      <c r="AC1" s="31" t="s">
        <v>405</v>
      </c>
      <c r="AD1" s="31" t="s">
        <v>406</v>
      </c>
      <c r="AE1" s="31" t="s">
        <v>407</v>
      </c>
      <c r="AF1" s="31" t="s">
        <v>408</v>
      </c>
      <c r="AG1" s="31" t="s">
        <v>409</v>
      </c>
      <c r="AH1" s="31" t="s">
        <v>411</v>
      </c>
      <c r="AI1" s="31" t="s">
        <v>412</v>
      </c>
      <c r="AJ1" s="31" t="s">
        <v>413</v>
      </c>
      <c r="AK1" s="31" t="s">
        <v>414</v>
      </c>
      <c r="AL1" s="31" t="s">
        <v>415</v>
      </c>
      <c r="AM1" s="46" t="s">
        <v>416</v>
      </c>
      <c r="AN1" s="43" t="s">
        <v>417</v>
      </c>
      <c r="AO1" s="43" t="s">
        <v>455</v>
      </c>
      <c r="AP1" s="47" t="s">
        <v>456</v>
      </c>
    </row>
    <row r="2" customFormat="false" ht="15" hidden="false" customHeight="true" outlineLevel="0" collapsed="false">
      <c r="A2" s="0" t="s">
        <v>102</v>
      </c>
      <c r="B2" s="0" t="s">
        <v>103</v>
      </c>
      <c r="C2" s="0" t="n">
        <f aca="false">IF(2_Utilité!AO2&gt;0,2_Utilité!C2/2_Utilité!AO2,0)</f>
        <v>0.0105534956339012</v>
      </c>
      <c r="D2" s="0" t="n">
        <f aca="false">IF(2_Utilité!AO2&gt;0,2_Utilité!D2/2_Utilité!AO2,0)</f>
        <v>0.013561915022782</v>
      </c>
      <c r="E2" s="0" t="n">
        <f aca="false">IF(2_Utilité!AO2&gt;0,2_Utilité!E2/2_Utilité!AO2,0)</f>
        <v>0.150783424508593</v>
      </c>
      <c r="F2" s="0" t="n">
        <f aca="false">IF(2_Utilité!AO2&gt;0,2_Utilité!F2/2_Utilité!AO2,0)</f>
        <v>0.0273213233056061</v>
      </c>
      <c r="G2" s="0" t="n">
        <f aca="false">IF(2_Utilité!AO2&gt;0,2_Utilité!G2/2_Utilité!AO2,0)</f>
        <v>0.0780132007632995</v>
      </c>
      <c r="H2" s="0" t="n">
        <f aca="false">IF(2_Utilité!AO2&gt;0,2_Utilité!H2/2_Utilité!AO2,0)</f>
        <v>0.017761784368783</v>
      </c>
      <c r="I2" s="0" t="n">
        <f aca="false">IF(2_Utilité!AO2&gt;0,2_Utilité!I2/2_Utilité!AO2,0)</f>
        <v>0.0411568637923948</v>
      </c>
      <c r="J2" s="0" t="n">
        <f aca="false">IF(2_Utilité!AO2&gt;0,2_Utilité!J2/2_Utilité!AO2,0)</f>
        <v>0.032852340081022</v>
      </c>
      <c r="K2" s="0" t="n">
        <f aca="false">IF(2_Utilité!AO2&gt;0,2_Utilité!K2/2_Utilité!AO2,0)</f>
        <v>0.0206162787618909</v>
      </c>
      <c r="L2" s="0" t="n">
        <f aca="false">IF(2_Utilité!AO2&gt;0,2_Utilité!L2/2_Utilité!AO2,0)</f>
        <v>0.0206096046364497</v>
      </c>
      <c r="M2" s="0" t="n">
        <f aca="false">IF(2_Utilité!AO2&gt;0,2_Utilité!M2/2_Utilité!AO2,0)</f>
        <v>0.109094587205918</v>
      </c>
      <c r="N2" s="0" t="n">
        <f aca="false">IF(2_Utilité!AO2&gt;0,2_Utilité!N2/2_Utilité!AO2,0)</f>
        <v>0.0150018805787456</v>
      </c>
      <c r="O2" s="0" t="n">
        <f aca="false">IF(2_Utilité!AO2&gt;0,2_Utilité!O2/2_Utilité!AO2,0)</f>
        <v>0.0480861658055339</v>
      </c>
      <c r="P2" s="0" t="n">
        <f aca="false">IF(2_Utilité!AO2&gt;0,2_Utilité!P2/2_Utilité!AO2,0)</f>
        <v>0.0233284556630257</v>
      </c>
      <c r="Q2" s="0" t="n">
        <f aca="false">IF(2_Utilité!AO2&gt;0,2_Utilité!Q2/2_Utilité!AO2,0)</f>
        <v>0.205947230869573</v>
      </c>
      <c r="R2" s="0" t="n">
        <f aca="false">IF(2_Utilité!AO2&gt;0,2_Utilité!R2/2_Utilité!AO2,0)</f>
        <v>0.0274231232602792</v>
      </c>
      <c r="S2" s="0" t="n">
        <f aca="false">IF(2_Utilité!AO2&gt;0,2_Utilité!S2/2_Utilité!AO2,0)</f>
        <v>0.0205721138842426</v>
      </c>
      <c r="T2" s="0" t="n">
        <f aca="false">IF(2_Utilité!AO2&gt;0,2_Utilité!T2/2_Utilité!AO2,0)</f>
        <v>0.00874287582425607</v>
      </c>
      <c r="U2" s="0" t="n">
        <f aca="false">IF(2_Utilité!AO2&gt;0,2_Utilité!U2/2_Utilité!AO2,0)</f>
        <v>0.00770606053280994</v>
      </c>
      <c r="V2" s="0" t="n">
        <f aca="false">IF(2_Utilité!AO2&gt;0,2_Utilité!V2/2_Utilité!AO2,0)</f>
        <v>0.00669577489984845</v>
      </c>
      <c r="W2" s="0" t="n">
        <f aca="false">IF(2_Utilité!AO2&gt;0,2_Utilité!W2/2_Utilité!AO2,0)</f>
        <v>0.00112814445205937</v>
      </c>
      <c r="X2" s="0" t="n">
        <f aca="false">IF(2_Utilité!AO2&gt;0,2_Utilité!X2/2_Utilité!AO2,0)</f>
        <v>0.00172860427285645</v>
      </c>
      <c r="Y2" s="0" t="n">
        <f aca="false">IF(2_Utilité!AO2&gt;0,2_Utilité!Y2/2_Utilité!AO2,0)</f>
        <v>0.00115044628975488</v>
      </c>
      <c r="Z2" s="0" t="n">
        <f aca="false">IF(2_Utilité!AO2&gt;0,2_Utilité!Z2/2_Utilité!AO2,0)</f>
        <v>0.00280597318860862</v>
      </c>
      <c r="AA2" s="0" t="n">
        <f aca="false">IF(2_Utilité!AO2&gt;0,2_Utilité!AA2/2_Utilité!AO2,0)</f>
        <v>0.005865582428539</v>
      </c>
      <c r="AB2" s="0" t="n">
        <f aca="false">IF(2_Utilité!AO2&gt;0,2_Utilité!AB2/2_Utilité!AO2,0)</f>
        <v>0.00292686001987084</v>
      </c>
      <c r="AC2" s="0" t="n">
        <f aca="false">IF(2_Utilité!AO2&gt;0,2_Utilité!AC2/2_Utilité!AO2,0)</f>
        <v>0</v>
      </c>
      <c r="AD2" s="0" t="n">
        <f aca="false">IF(2_Utilité!AO2&gt;0,2_Utilité!AD2/2_Utilité!AO2,0)</f>
        <v>0</v>
      </c>
      <c r="AE2" s="0" t="n">
        <f aca="false">IF(2_Utilité!AO2&gt;0,2_Utilité!AE2/2_Utilité!AO2,0)</f>
        <v>0</v>
      </c>
      <c r="AF2" s="0" t="n">
        <f aca="false">IF(2_Utilité!AO2&gt;0,2_Utilité!AF2/2_Utilité!AO2,0)</f>
        <v>0</v>
      </c>
      <c r="AG2" s="0" t="n">
        <f aca="false">IF(2_Utilité!AO2&gt;0,2_Utilité!AG2/2_Utilité!AO2,0)</f>
        <v>0</v>
      </c>
      <c r="AH2" s="0" t="n">
        <f aca="false">IF(2_Utilité!AO2&gt;0,2_Utilité!AH2/2_Utilité!AO2,0)</f>
        <v>0.067640116591022</v>
      </c>
      <c r="AI2" s="0" t="n">
        <f aca="false">IF(2_Utilité!AO2&gt;0,2_Utilité!AI2/2_Utilité!AO2,0)</f>
        <v>0.00383983963313545</v>
      </c>
      <c r="AJ2" s="0" t="n">
        <f aca="false">IF(2_Utilité!AO2&gt;0,2_Utilité!AJ2/2_Utilité!AO2,0)</f>
        <v>0.00244105478567552</v>
      </c>
      <c r="AK2" s="0" t="n">
        <f aca="false">IF(2_Utilité!AO2&gt;0,2_Utilité!AK2/2_Utilité!AO2,0)</f>
        <v>0</v>
      </c>
      <c r="AL2" s="0" t="n">
        <f aca="false">IF(2_Utilité!AO2&gt;0,2_Utilité!AL2/2_Utilité!AO2,0)</f>
        <v>0</v>
      </c>
      <c r="AM2" s="48" t="n">
        <f aca="false">IF(2_Utilité!AO2&gt;0,2_Utilité!AM2/2_Utilité!AO2,0)</f>
        <v>0.0246448789395245</v>
      </c>
      <c r="AN2" s="43" t="n">
        <f aca="false">IF(2_Utilité!AO2&gt;0,2_Utilité!AN2/2_Utilité!AO2,0)</f>
        <v>0</v>
      </c>
      <c r="AO2" s="43" t="n">
        <f aca="false">SUM(C2:AN2)</f>
        <v>1</v>
      </c>
      <c r="AP2" s="43" t="n">
        <f aca="false">COUNTIF(Matrice_OD!$C2:$AN2,"&lt;="&amp;Param!$B$2)</f>
        <v>30</v>
      </c>
    </row>
    <row r="3" customFormat="false" ht="15" hidden="false" customHeight="true" outlineLevel="0" collapsed="false">
      <c r="A3" s="0" t="s">
        <v>104</v>
      </c>
      <c r="B3" s="0" t="s">
        <v>105</v>
      </c>
      <c r="C3" s="0" t="n">
        <f aca="false">IF(2_Utilité!AO3&gt;0,2_Utilité!C3/2_Utilité!AO3,0)</f>
        <v>0.00277740718302884</v>
      </c>
      <c r="D3" s="0" t="n">
        <f aca="false">IF(2_Utilité!AO3&gt;0,2_Utilité!D3/2_Utilité!AO3,0)</f>
        <v>0.0116286169649355</v>
      </c>
      <c r="E3" s="0" t="n">
        <f aca="false">IF(2_Utilité!AO3&gt;0,2_Utilité!E3/2_Utilité!AO3,0)</f>
        <v>0.130789534762551</v>
      </c>
      <c r="F3" s="0" t="n">
        <f aca="false">IF(2_Utilité!AO3&gt;0,2_Utilité!F3/2_Utilité!AO3,0)</f>
        <v>0.0238544831817057</v>
      </c>
      <c r="G3" s="0" t="n">
        <f aca="false">IF(2_Utilité!AO3&gt;0,2_Utilité!G3/2_Utilité!AO3,0)</f>
        <v>0.0671317942011802</v>
      </c>
      <c r="H3" s="0" t="n">
        <f aca="false">IF(2_Utilité!AO3&gt;0,2_Utilité!H3/2_Utilité!AO3,0)</f>
        <v>0.0169112886279747</v>
      </c>
      <c r="I3" s="0" t="n">
        <f aca="false">IF(2_Utilité!AO3&gt;0,2_Utilité!I3/2_Utilité!AO3,0)</f>
        <v>0.0386932400793085</v>
      </c>
      <c r="J3" s="0" t="n">
        <f aca="false">IF(2_Utilité!AO3&gt;0,2_Utilité!J3/2_Utilité!AO3,0)</f>
        <v>0.0300165868242333</v>
      </c>
      <c r="K3" s="0" t="n">
        <f aca="false">IF(2_Utilité!AO3&gt;0,2_Utilité!K3/2_Utilité!AO3,0)</f>
        <v>0.0181733546711691</v>
      </c>
      <c r="L3" s="0" t="n">
        <f aca="false">IF(2_Utilité!AO3&gt;0,2_Utilité!L3/2_Utilité!AO3,0)</f>
        <v>0.0193632361416053</v>
      </c>
      <c r="M3" s="0" t="n">
        <f aca="false">IF(2_Utilité!AO3&gt;0,2_Utilité!M3/2_Utilité!AO3,0)</f>
        <v>0.108684091256318</v>
      </c>
      <c r="N3" s="0" t="n">
        <f aca="false">IF(2_Utilité!AO3&gt;0,2_Utilité!N3/2_Utilité!AO3,0)</f>
        <v>0.0138600627061507</v>
      </c>
      <c r="O3" s="0" t="n">
        <f aca="false">IF(2_Utilité!AO3&gt;0,2_Utilité!O3/2_Utilité!AO3,0)</f>
        <v>0.0444271779273094</v>
      </c>
      <c r="P3" s="0" t="n">
        <f aca="false">IF(2_Utilité!AO3&gt;0,2_Utilité!P3/2_Utilité!AO3,0)</f>
        <v>0.0219261693782748</v>
      </c>
      <c r="Q3" s="0" t="n">
        <f aca="false">IF(2_Utilité!AO3&gt;0,2_Utilité!Q3/2_Utilité!AO3,0)</f>
        <v>0.194297550087611</v>
      </c>
      <c r="R3" s="0" t="n">
        <f aca="false">IF(2_Utilité!AO3&gt;0,2_Utilité!R3/2_Utilité!AO3,0)</f>
        <v>0.0256848289867137</v>
      </c>
      <c r="S3" s="0" t="n">
        <f aca="false">IF(2_Utilité!AO3&gt;0,2_Utilité!S3/2_Utilité!AO3,0)</f>
        <v>0.0187767825329707</v>
      </c>
      <c r="T3" s="0" t="n">
        <f aca="false">IF(2_Utilité!AO3&gt;0,2_Utilité!T3/2_Utilité!AO3,0)</f>
        <v>0.0156576815343481</v>
      </c>
      <c r="U3" s="0" t="n">
        <f aca="false">IF(2_Utilité!AO3&gt;0,2_Utilité!U3/2_Utilité!AO3,0)</f>
        <v>0.0251160129000663</v>
      </c>
      <c r="V3" s="0" t="n">
        <f aca="false">IF(2_Utilité!AO3&gt;0,2_Utilité!V3/2_Utilité!AO3,0)</f>
        <v>0.0205108516835692</v>
      </c>
      <c r="W3" s="0" t="n">
        <f aca="false">IF(2_Utilité!AO3&gt;0,2_Utilité!W3/2_Utilité!AO3,0)</f>
        <v>0.00457692564878593</v>
      </c>
      <c r="X3" s="0" t="n">
        <f aca="false">IF(2_Utilité!AO3&gt;0,2_Utilité!X3/2_Utilité!AO3,0)</f>
        <v>0.00692689499488787</v>
      </c>
      <c r="Y3" s="0" t="n">
        <f aca="false">IF(2_Utilité!AO3&gt;0,2_Utilité!Y3/2_Utilité!AO3,0)</f>
        <v>0.00461442762802864</v>
      </c>
      <c r="Z3" s="0" t="n">
        <f aca="false">IF(2_Utilité!AO3&gt;0,2_Utilité!Z3/2_Utilité!AO3,0)</f>
        <v>0.0112844575500737</v>
      </c>
      <c r="AA3" s="0" t="n">
        <f aca="false">IF(2_Utilité!AO3&gt;0,2_Utilité!AA3/2_Utilité!AO3,0)</f>
        <v>0.0234598684066384</v>
      </c>
      <c r="AB3" s="0" t="n">
        <f aca="false">IF(2_Utilité!AO3&gt;0,2_Utilité!AB3/2_Utilité!AO3,0)</f>
        <v>0.0115761247041425</v>
      </c>
      <c r="AC3" s="0" t="n">
        <f aca="false">IF(2_Utilité!AO3&gt;0,2_Utilité!AC3/2_Utilité!AO3,0)</f>
        <v>0</v>
      </c>
      <c r="AD3" s="0" t="n">
        <f aca="false">IF(2_Utilité!AO3&gt;0,2_Utilité!AD3/2_Utilité!AO3,0)</f>
        <v>0</v>
      </c>
      <c r="AE3" s="0" t="n">
        <f aca="false">IF(2_Utilité!AO3&gt;0,2_Utilité!AE3/2_Utilité!AO3,0)</f>
        <v>0</v>
      </c>
      <c r="AF3" s="0" t="n">
        <f aca="false">IF(2_Utilité!AO3&gt;0,2_Utilité!AF3/2_Utilité!AO3,0)</f>
        <v>0</v>
      </c>
      <c r="AG3" s="0" t="n">
        <f aca="false">IF(2_Utilité!AO3&gt;0,2_Utilité!AG3/2_Utilité!AO3,0)</f>
        <v>0</v>
      </c>
      <c r="AH3" s="0" t="n">
        <f aca="false">IF(2_Utilité!AO3&gt;0,2_Utilité!AH3/2_Utilité!AO3,0)</f>
        <v>0.0661154299226805</v>
      </c>
      <c r="AI3" s="0" t="n">
        <f aca="false">IF(2_Utilité!AO3&gt;0,2_Utilité!AI3/2_Utilité!AO3,0)</f>
        <v>0.00685230992879739</v>
      </c>
      <c r="AJ3" s="0" t="n">
        <f aca="false">IF(2_Utilité!AO3&gt;0,2_Utilité!AJ3/2_Utilité!AO3,0)</f>
        <v>0.00986524851667862</v>
      </c>
      <c r="AK3" s="0" t="n">
        <f aca="false">IF(2_Utilité!AO3&gt;0,2_Utilité!AK3/2_Utilité!AO3,0)</f>
        <v>0</v>
      </c>
      <c r="AL3" s="0" t="n">
        <f aca="false">IF(2_Utilité!AO3&gt;0,2_Utilité!AL3/2_Utilité!AO3,0)</f>
        <v>0</v>
      </c>
      <c r="AM3" s="49" t="n">
        <f aca="false">IF(2_Utilité!AO3&gt;0,2_Utilité!AM3/2_Utilité!AO3,0)</f>
        <v>0.00644756106826237</v>
      </c>
      <c r="AN3" s="43" t="n">
        <f aca="false">IF(2_Utilité!AO3&gt;0,2_Utilité!AN3/2_Utilité!AO3,0)</f>
        <v>0</v>
      </c>
      <c r="AO3" s="43" t="n">
        <f aca="false">SUM(C3:AN3)</f>
        <v>1</v>
      </c>
      <c r="AP3" s="43" t="n">
        <f aca="false">COUNTIF(Matrice_OD!$C3:$AN3,"&lt;="&amp;Param!$B$2)</f>
        <v>30</v>
      </c>
    </row>
    <row r="4" customFormat="false" ht="15" hidden="false" customHeight="true" outlineLevel="0" collapsed="false">
      <c r="A4" s="0" t="s">
        <v>106</v>
      </c>
      <c r="B4" s="0" t="s">
        <v>107</v>
      </c>
      <c r="C4" s="0" t="n">
        <f aca="false">IF(2_Utilité!AO4&gt;0,2_Utilité!C4/2_Utilité!AO4,0)</f>
        <v>0</v>
      </c>
      <c r="D4" s="0" t="n">
        <f aca="false">IF(2_Utilité!AO4&gt;0,2_Utilité!D4/2_Utilité!AO4,0)</f>
        <v>0.0106829739351171</v>
      </c>
      <c r="E4" s="0" t="n">
        <f aca="false">IF(2_Utilité!AO4&gt;0,2_Utilité!E4/2_Utilité!AO4,0)</f>
        <v>0.121018589226049</v>
      </c>
      <c r="F4" s="0" t="n">
        <f aca="false">IF(2_Utilité!AO4&gt;0,2_Utilité!F4/2_Utilité!AO4,0)</f>
        <v>0.0222513991846756</v>
      </c>
      <c r="G4" s="0" t="n">
        <f aca="false">IF(2_Utilité!AO4&gt;0,2_Utilité!G4/2_Utilité!AO4,0)</f>
        <v>0.0620996316970202</v>
      </c>
      <c r="H4" s="0" t="n">
        <f aca="false">IF(2_Utilité!AO4&gt;0,2_Utilité!H4/2_Utilité!AO4,0)</f>
        <v>0.016637114859709</v>
      </c>
      <c r="I4" s="0" t="n">
        <f aca="false">IF(2_Utilité!AO4&gt;0,2_Utilité!I4/2_Utilité!AO4,0)</f>
        <v>0.0378590743581882</v>
      </c>
      <c r="J4" s="0" t="n">
        <f aca="false">IF(2_Utilité!AO4&gt;0,2_Utilité!J4/2_Utilité!AO4,0)</f>
        <v>0.0288068260733203</v>
      </c>
      <c r="K4" s="0" t="n">
        <f aca="false">IF(2_Utilité!AO4&gt;0,2_Utilité!K4/2_Utilité!AO4,0)</f>
        <v>0.0171021257135652</v>
      </c>
      <c r="L4" s="0" t="n">
        <f aca="false">IF(2_Utilité!AO4&gt;0,2_Utilité!L4/2_Utilité!AO4,0)</f>
        <v>0.0189561212187028</v>
      </c>
      <c r="M4" s="0" t="n">
        <f aca="false">IF(2_Utilité!AO4&gt;0,2_Utilité!M4/2_Utilité!AO4,0)</f>
        <v>0.109964968284126</v>
      </c>
      <c r="N4" s="0" t="n">
        <f aca="false">IF(2_Utilité!AO4&gt;0,2_Utilité!N4/2_Utilité!AO4,0)</f>
        <v>0.0133726718383773</v>
      </c>
      <c r="O4" s="0" t="n">
        <f aca="false">IF(2_Utilité!AO4&gt;0,2_Utilité!O4/2_Utilité!AO4,0)</f>
        <v>0.0430334082882867</v>
      </c>
      <c r="P4" s="0" t="n">
        <f aca="false">IF(2_Utilité!AO4&gt;0,2_Utilité!P4/2_Utilité!AO4,0)</f>
        <v>0.02145347546964</v>
      </c>
      <c r="Q4" s="0" t="n">
        <f aca="false">IF(2_Utilité!AO4&gt;0,2_Utilité!Q4/2_Utilité!AO4,0)</f>
        <v>0.19062744536014</v>
      </c>
      <c r="R4" s="0" t="n">
        <f aca="false">IF(2_Utilité!AO4&gt;0,2_Utilité!R4/2_Utilité!AO4,0)</f>
        <v>0.0250803516395089</v>
      </c>
      <c r="S4" s="0" t="n">
        <f aca="false">IF(2_Utilité!AO4&gt;0,2_Utilité!S4/2_Utilité!AO4,0)</f>
        <v>0.0180426404427406</v>
      </c>
      <c r="T4" s="0" t="n">
        <f aca="false">IF(2_Utilité!AO4&gt;0,2_Utilité!T4/2_Utilité!AO4,0)</f>
        <v>0.00934811354012196</v>
      </c>
      <c r="U4" s="0" t="n">
        <f aca="false">IF(2_Utilité!AO4&gt;0,2_Utilité!U4/2_Utilité!AO4,0)</f>
        <v>0.0148707948862971</v>
      </c>
      <c r="V4" s="0" t="n">
        <f aca="false">IF(2_Utilité!AO4&gt;0,2_Utilité!V4/2_Utilité!AO4,0)</f>
        <v>0</v>
      </c>
      <c r="W4" s="0" t="n">
        <f aca="false">IF(2_Utilité!AO4&gt;0,2_Utilité!W4/2_Utilité!AO4,0)</f>
        <v>0</v>
      </c>
      <c r="X4" s="0" t="n">
        <f aca="false">IF(2_Utilité!AO4&gt;0,2_Utilité!X4/2_Utilité!AO4,0)</f>
        <v>0</v>
      </c>
      <c r="Y4" s="0" t="n">
        <f aca="false">IF(2_Utilité!AO4&gt;0,2_Utilité!Y4/2_Utilité!AO4,0)</f>
        <v>0</v>
      </c>
      <c r="Z4" s="0" t="n">
        <f aca="false">IF(2_Utilité!AO4&gt;0,2_Utilité!Z4/2_Utilité!AO4,0)</f>
        <v>0</v>
      </c>
      <c r="AA4" s="0" t="n">
        <f aca="false">IF(2_Utilité!AO4&gt;0,2_Utilité!AA4/2_Utilité!AO4,0)</f>
        <v>0</v>
      </c>
      <c r="AB4" s="0" t="n">
        <f aca="false">IF(2_Utilité!AO4&gt;0,2_Utilité!AB4/2_Utilité!AO4,0)</f>
        <v>0</v>
      </c>
      <c r="AC4" s="0" t="n">
        <f aca="false">IF(2_Utilité!AO4&gt;0,2_Utilité!AC4/2_Utilité!AO4,0)</f>
        <v>0.00610846564134027</v>
      </c>
      <c r="AD4" s="0" t="n">
        <f aca="false">IF(2_Utilité!AO4&gt;0,2_Utilité!AD4/2_Utilité!AO4,0)</f>
        <v>0.0296715908062402</v>
      </c>
      <c r="AE4" s="0" t="n">
        <f aca="false">IF(2_Utilité!AO4&gt;0,2_Utilité!AE4/2_Utilité!AO4,0)</f>
        <v>0.0168377815828737</v>
      </c>
      <c r="AF4" s="0" t="n">
        <f aca="false">IF(2_Utilité!AO4&gt;0,2_Utilité!AF4/2_Utilité!AO4,0)</f>
        <v>0.0111562053965963</v>
      </c>
      <c r="AG4" s="0" t="n">
        <f aca="false">IF(2_Utilité!AO4&gt;0,2_Utilité!AG4/2_Utilité!AO4,0)</f>
        <v>0</v>
      </c>
      <c r="AH4" s="0" t="n">
        <f aca="false">IF(2_Utilité!AO4&gt;0,2_Utilité!AH4/2_Utilité!AO4,0)</f>
        <v>0.0662056423593108</v>
      </c>
      <c r="AI4" s="0" t="n">
        <f aca="false">IF(2_Utilité!AO4&gt;0,2_Utilité!AI4/2_Utilité!AO4,0)</f>
        <v>0.00396907674251557</v>
      </c>
      <c r="AJ4" s="0" t="n">
        <f aca="false">IF(2_Utilité!AO4&gt;0,2_Utilité!AJ4/2_Utilité!AO4,0)</f>
        <v>0</v>
      </c>
      <c r="AK4" s="0" t="n">
        <f aca="false">IF(2_Utilité!AO4&gt;0,2_Utilité!AK4/2_Utilité!AO4,0)</f>
        <v>0.0287559759276092</v>
      </c>
      <c r="AL4" s="0" t="n">
        <f aca="false">IF(2_Utilité!AO4&gt;0,2_Utilité!AL4/2_Utilité!AO4,0)</f>
        <v>0.0560875355279275</v>
      </c>
      <c r="AM4" s="48" t="n">
        <f aca="false">IF(2_Utilité!AO4&gt;0,2_Utilité!AM4/2_Utilité!AO4,0)</f>
        <v>0</v>
      </c>
      <c r="AN4" s="43" t="n">
        <f aca="false">IF(2_Utilité!AO4&gt;0,2_Utilité!AN4/2_Utilité!AO4,0)</f>
        <v>0</v>
      </c>
      <c r="AO4" s="43" t="n">
        <f aca="false">SUM(C4:AN4)</f>
        <v>1</v>
      </c>
      <c r="AP4" s="43" t="n">
        <f aca="false">COUNTIF(Matrice_OD!$C4:$AN4,"&lt;="&amp;Param!$B$2)</f>
        <v>26</v>
      </c>
    </row>
    <row r="5" customFormat="false" ht="15" hidden="false" customHeight="true" outlineLevel="0" collapsed="false">
      <c r="A5" s="0" t="s">
        <v>108</v>
      </c>
      <c r="B5" s="0" t="s">
        <v>109</v>
      </c>
      <c r="C5" s="0" t="n">
        <f aca="false">IF(2_Utilité!AO5&gt;0,2_Utilité!C5/2_Utilité!AO5,0)</f>
        <v>0.00145631158919657</v>
      </c>
      <c r="D5" s="0" t="n">
        <f aca="false">IF(2_Utilité!AO5&gt;0,2_Utilité!D5/2_Utilité!AO5,0)</f>
        <v>0.0123341874726206</v>
      </c>
      <c r="E5" s="0" t="n">
        <f aca="false">IF(2_Utilité!AO5&gt;0,2_Utilité!E5/2_Utilité!AO5,0)</f>
        <v>0.13958423266436</v>
      </c>
      <c r="F5" s="0" t="n">
        <f aca="false">IF(2_Utilité!AO5&gt;0,2_Utilité!F5/2_Utilité!AO5,0)</f>
        <v>0.0256052712167698</v>
      </c>
      <c r="G5" s="0" t="n">
        <f aca="false">IF(2_Utilité!AO5&gt;0,2_Utilité!G5/2_Utilité!AO5,0)</f>
        <v>0.0716306972561212</v>
      </c>
      <c r="H5" s="0" t="n">
        <f aca="false">IF(2_Utilité!AO5&gt;0,2_Utilité!H5/2_Utilité!AO5,0)</f>
        <v>0.0189338996193223</v>
      </c>
      <c r="I5" s="0" t="n">
        <f aca="false">IF(2_Utilité!AO5&gt;0,2_Utilité!I5/2_Utilité!AO5,0)</f>
        <v>0.0431092670912854</v>
      </c>
      <c r="J5" s="0" t="n">
        <f aca="false">IF(2_Utilité!AO5&gt;0,2_Utilité!J5/2_Utilité!AO5,0)</f>
        <v>0.0329618995326328</v>
      </c>
      <c r="K5" s="0" t="n">
        <f aca="false">IF(2_Utilité!AO5&gt;0,2_Utilité!K5/2_Utilité!AO5,0)</f>
        <v>0.0196530530496086</v>
      </c>
      <c r="L5" s="0" t="n">
        <f aca="false">IF(2_Utilité!AO5&gt;0,2_Utilité!L5/2_Utilité!AO5,0)</f>
        <v>0.0215961984896395</v>
      </c>
      <c r="M5" s="0" t="n">
        <f aca="false">IF(2_Utilité!AO5&gt;0,2_Utilité!M5/2_Utilité!AO5,0)</f>
        <v>0.124380163897431</v>
      </c>
      <c r="N5" s="0" t="n">
        <f aca="false">IF(2_Utilité!AO5&gt;0,2_Utilité!N5/2_Utilité!AO5,0)</f>
        <v>0.0152752270670137</v>
      </c>
      <c r="O5" s="0" t="n">
        <f aca="false">IF(2_Utilité!AO5&gt;0,2_Utilité!O5/2_Utilité!AO5,0)</f>
        <v>0.0491408610959788</v>
      </c>
      <c r="P5" s="0" t="n">
        <f aca="false">IF(2_Utilité!AO5&gt;0,2_Utilité!P5/2_Utilité!AO5,0)</f>
        <v>0.0244442796943444</v>
      </c>
      <c r="Q5" s="0" t="n">
        <f aca="false">IF(2_Utilité!AO5&gt;0,2_Utilité!Q5/2_Utilité!AO5,0)</f>
        <v>0.217073220086888</v>
      </c>
      <c r="R5" s="0" t="n">
        <f aca="false">IF(2_Utilité!AO5&gt;0,2_Utilité!R5/2_Utilité!AO5,0)</f>
        <v>0.0285737153288005</v>
      </c>
      <c r="S5" s="0" t="n">
        <f aca="false">IF(2_Utilité!AO5&gt;0,2_Utilité!S5/2_Utilité!AO5,0)</f>
        <v>0.0206279936673797</v>
      </c>
      <c r="T5" s="0" t="n">
        <f aca="false">IF(2_Utilité!AO5&gt;0,2_Utilité!T5/2_Utilité!AO5,0)</f>
        <v>0.0104671572824347</v>
      </c>
      <c r="U5" s="0" t="n">
        <f aca="false">IF(2_Utilité!AO5&gt;0,2_Utilité!U5/2_Utilité!AO5,0)</f>
        <v>0.0166717343680361</v>
      </c>
      <c r="V5" s="0" t="n">
        <f aca="false">IF(2_Utilité!AO5&gt;0,2_Utilité!V5/2_Utilité!AO5,0)</f>
        <v>0</v>
      </c>
      <c r="W5" s="0" t="n">
        <f aca="false">IF(2_Utilité!AO5&gt;0,2_Utilité!W5/2_Utilité!AO5,0)</f>
        <v>0</v>
      </c>
      <c r="X5" s="0" t="n">
        <f aca="false">IF(2_Utilité!AO5&gt;0,2_Utilité!X5/2_Utilité!AO5,0)</f>
        <v>0</v>
      </c>
      <c r="Y5" s="0" t="n">
        <f aca="false">IF(2_Utilité!AO5&gt;0,2_Utilité!Y5/2_Utilité!AO5,0)</f>
        <v>0</v>
      </c>
      <c r="Z5" s="0" t="n">
        <f aca="false">IF(2_Utilité!AO5&gt;0,2_Utilité!Z5/2_Utilité!AO5,0)</f>
        <v>0</v>
      </c>
      <c r="AA5" s="0" t="n">
        <f aca="false">IF(2_Utilité!AO5&gt;0,2_Utilité!AA5/2_Utilité!AO5,0)</f>
        <v>0</v>
      </c>
      <c r="AB5" s="0" t="n">
        <f aca="false">IF(2_Utilité!AO5&gt;0,2_Utilité!AB5/2_Utilité!AO5,0)</f>
        <v>0.00430517012800138</v>
      </c>
      <c r="AC5" s="0" t="n">
        <f aca="false">IF(2_Utilité!AO5&gt;0,2_Utilité!AC5/2_Utilité!AO5,0)</f>
        <v>0.0009746463371999</v>
      </c>
      <c r="AD5" s="0" t="n">
        <f aca="false">IF(2_Utilité!AO5&gt;0,2_Utilité!AD5/2_Utilité!AO5,0)</f>
        <v>0.00468706029987692</v>
      </c>
      <c r="AE5" s="0" t="n">
        <f aca="false">IF(2_Utilité!AO5&gt;0,2_Utilité!AE5/2_Utilité!AO5,0)</f>
        <v>0.00260939182467356</v>
      </c>
      <c r="AF5" s="0" t="n">
        <f aca="false">IF(2_Utilité!AO5&gt;0,2_Utilité!AF5/2_Utilité!AO5,0)</f>
        <v>0.0017252791411303</v>
      </c>
      <c r="AG5" s="0" t="n">
        <f aca="false">IF(2_Utilité!AO5&gt;0,2_Utilité!AG5/2_Utilité!AO5,0)</f>
        <v>0</v>
      </c>
      <c r="AH5" s="0" t="n">
        <f aca="false">IF(2_Utilité!AO5&gt;0,2_Utilité!AH5/2_Utilité!AO5,0)</f>
        <v>0.0750067491141219</v>
      </c>
      <c r="AI5" s="0" t="n">
        <f aca="false">IF(2_Utilité!AO5&gt;0,2_Utilité!AI5/2_Utilité!AO5,0)</f>
        <v>0.00446756555883583</v>
      </c>
      <c r="AJ5" s="0" t="n">
        <f aca="false">IF(2_Utilité!AO5&gt;0,2_Utilité!AJ5/2_Utilité!AO5,0)</f>
        <v>0</v>
      </c>
      <c r="AK5" s="0" t="n">
        <f aca="false">IF(2_Utilité!AO5&gt;0,2_Utilité!AK5/2_Utilité!AO5,0)</f>
        <v>0.00400679437738455</v>
      </c>
      <c r="AL5" s="0" t="n">
        <f aca="false">IF(2_Utilité!AO5&gt;0,2_Utilité!AL5/2_Utilité!AO5,0)</f>
        <v>0.00869797274891187</v>
      </c>
      <c r="AM5" s="49" t="n">
        <f aca="false">IF(2_Utilité!AO5&gt;0,2_Utilité!AM5/2_Utilité!AO5,0)</f>
        <v>0</v>
      </c>
      <c r="AN5" s="43" t="n">
        <f aca="false">IF(2_Utilité!AO5&gt;0,2_Utilité!AN5/2_Utilité!AO5,0)</f>
        <v>0</v>
      </c>
      <c r="AO5" s="43" t="n">
        <f aca="false">SUM(C5:AN5)</f>
        <v>1</v>
      </c>
      <c r="AP5" s="43" t="n">
        <f aca="false">COUNTIF(Matrice_OD!$C5:$AN5,"&lt;="&amp;Param!$B$2)</f>
        <v>28</v>
      </c>
    </row>
    <row r="6" customFormat="false" ht="15" hidden="false" customHeight="true" outlineLevel="0" collapsed="false">
      <c r="A6" s="0" t="s">
        <v>110</v>
      </c>
      <c r="B6" s="0" t="s">
        <v>111</v>
      </c>
      <c r="C6" s="0" t="n">
        <f aca="false">IF(2_Utilité!AO6&gt;0,2_Utilité!C6/2_Utilité!AO6,0)</f>
        <v>0.0186820850973049</v>
      </c>
      <c r="D6" s="0" t="n">
        <f aca="false">IF(2_Utilité!AO6&gt;0,2_Utilité!D6/2_Utilité!AO6,0)</f>
        <v>0.0137586338732198</v>
      </c>
      <c r="E6" s="0" t="n">
        <f aca="false">IF(2_Utilité!AO6&gt;0,2_Utilité!E6/2_Utilité!AO6,0)</f>
        <v>0.147338106016554</v>
      </c>
      <c r="F6" s="0" t="n">
        <f aca="false">IF(2_Utilité!AO6&gt;0,2_Utilité!F6/2_Utilité!AO6,0)</f>
        <v>0.0267363899258597</v>
      </c>
      <c r="G6" s="0" t="n">
        <f aca="false">IF(2_Utilité!AO6&gt;0,2_Utilité!G6/2_Utilité!AO6,0)</f>
        <v>0.0743739480806594</v>
      </c>
      <c r="H6" s="0" t="n">
        <f aca="false">IF(2_Utilité!AO6&gt;0,2_Utilité!H6/2_Utilité!AO6,0)</f>
        <v>0.0182602903406074</v>
      </c>
      <c r="I6" s="0" t="n">
        <f aca="false">IF(2_Utilité!AO6&gt;0,2_Utilité!I6/2_Utilité!AO6,0)</f>
        <v>0.0402196966674996</v>
      </c>
      <c r="J6" s="0" t="n">
        <f aca="false">IF(2_Utilité!AO6&gt;0,2_Utilité!J6/2_Utilité!AO6,0)</f>
        <v>0.031730455657698</v>
      </c>
      <c r="K6" s="0" t="n">
        <f aca="false">IF(2_Utilité!AO6&gt;0,2_Utilité!K6/2_Utilité!AO6,0)</f>
        <v>0.0197311680379737</v>
      </c>
      <c r="L6" s="0" t="n">
        <f aca="false">IF(2_Utilité!AO6&gt;0,2_Utilité!L6/2_Utilité!AO6,0)</f>
        <v>0.0201255259888754</v>
      </c>
      <c r="M6" s="0" t="n">
        <f aca="false">IF(2_Utilité!AO6&gt;0,2_Utilité!M6/2_Utilité!AO6,0)</f>
        <v>0.11034212673687</v>
      </c>
      <c r="N6" s="0" t="n">
        <f aca="false">IF(2_Utilité!AO6&gt;0,2_Utilité!N6/2_Utilité!AO6,0)</f>
        <v>0.0147165337228349</v>
      </c>
      <c r="O6" s="0" t="n">
        <f aca="false">IF(2_Utilité!AO6&gt;0,2_Utilité!O6/2_Utilité!AO6,0)</f>
        <v>0.0464825109744223</v>
      </c>
      <c r="P6" s="0" t="n">
        <f aca="false">IF(2_Utilité!AO6&gt;0,2_Utilité!P6/2_Utilité!AO6,0)</f>
        <v>0.0225235300632263</v>
      </c>
      <c r="Q6" s="0" t="n">
        <f aca="false">IF(2_Utilité!AO6&gt;0,2_Utilité!Q6/2_Utilité!AO6,0)</f>
        <v>0.196941152108878</v>
      </c>
      <c r="R6" s="0" t="n">
        <f aca="false">IF(2_Utilité!AO6&gt;0,2_Utilité!R6/2_Utilité!AO6,0)</f>
        <v>0.0261669296248674</v>
      </c>
      <c r="S6" s="0" t="n">
        <f aca="false">IF(2_Utilité!AO6&gt;0,2_Utilité!S6/2_Utilité!AO6,0)</f>
        <v>0.0194763052683371</v>
      </c>
      <c r="T6" s="0" t="n">
        <f aca="false">IF(2_Utilité!AO6&gt;0,2_Utilité!T6/2_Utilité!AO6,0)</f>
        <v>0.0109628412120334</v>
      </c>
      <c r="U6" s="0" t="n">
        <f aca="false">IF(2_Utilité!AO6&gt;0,2_Utilité!U6/2_Utilité!AO6,0)</f>
        <v>0.0030682544866458</v>
      </c>
      <c r="V6" s="0" t="n">
        <f aca="false">IF(2_Utilité!AO6&gt;0,2_Utilité!V6/2_Utilité!AO6,0)</f>
        <v>0.00808943062679805</v>
      </c>
      <c r="W6" s="0" t="n">
        <f aca="false">IF(2_Utilité!AO6&gt;0,2_Utilité!W6/2_Utilité!AO6,0)</f>
        <v>0.00130541177452213</v>
      </c>
      <c r="X6" s="0" t="n">
        <f aca="false">IF(2_Utilité!AO6&gt;0,2_Utilité!X6/2_Utilité!AO6,0)</f>
        <v>0.00176292255949993</v>
      </c>
      <c r="Y6" s="0" t="n">
        <f aca="false">IF(2_Utilité!AO6&gt;0,2_Utilité!Y6/2_Utilité!AO6,0)</f>
        <v>0.00117320892724166</v>
      </c>
      <c r="Z6" s="0" t="n">
        <f aca="false">IF(2_Utilité!AO6&gt;0,2_Utilité!Z6/2_Utilité!AO6,0)</f>
        <v>0.00285875685823899</v>
      </c>
      <c r="AA6" s="0" t="n">
        <f aca="false">IF(2_Utilité!AO6&gt;0,2_Utilité!AA6/2_Utilité!AO6,0)</f>
        <v>0.00502219430760702</v>
      </c>
      <c r="AB6" s="0" t="n">
        <f aca="false">IF(2_Utilité!AO6&gt;0,2_Utilité!AB6/2_Utilité!AO6,0)</f>
        <v>0.00211525168620894</v>
      </c>
      <c r="AC6" s="0" t="n">
        <f aca="false">IF(2_Utilité!AO6&gt;0,2_Utilité!AC6/2_Utilité!AO6,0)</f>
        <v>0</v>
      </c>
      <c r="AD6" s="0" t="n">
        <f aca="false">IF(2_Utilité!AO6&gt;0,2_Utilité!AD6/2_Utilité!AO6,0)</f>
        <v>0</v>
      </c>
      <c r="AE6" s="0" t="n">
        <f aca="false">IF(2_Utilité!AO6&gt;0,2_Utilité!AE6/2_Utilité!AO6,0)</f>
        <v>0</v>
      </c>
      <c r="AF6" s="0" t="n">
        <f aca="false">IF(2_Utilité!AO6&gt;0,2_Utilité!AF6/2_Utilité!AO6,0)</f>
        <v>0</v>
      </c>
      <c r="AG6" s="0" t="n">
        <f aca="false">IF(2_Utilité!AO6&gt;0,2_Utilité!AG6/2_Utilité!AO6,0)</f>
        <v>0.000278223421845432</v>
      </c>
      <c r="AH6" s="0" t="n">
        <f aca="false">IF(2_Utilité!AO6&gt;0,2_Utilité!AH6/2_Utilité!AO6,0)</f>
        <v>0.0628224743508973</v>
      </c>
      <c r="AI6" s="0" t="n">
        <f aca="false">IF(2_Utilité!AO6&gt;0,2_Utilité!AI6/2_Utilité!AO6,0)</f>
        <v>0.00511699871527798</v>
      </c>
      <c r="AJ6" s="0" t="n">
        <f aca="false">IF(2_Utilité!AO6&gt;0,2_Utilité!AJ6/2_Utilité!AO6,0)</f>
        <v>0.00248254938023948</v>
      </c>
      <c r="AK6" s="0" t="n">
        <f aca="false">IF(2_Utilité!AO6&gt;0,2_Utilité!AK6/2_Utilité!AO6,0)</f>
        <v>0</v>
      </c>
      <c r="AL6" s="0" t="n">
        <f aca="false">IF(2_Utilité!AO6&gt;0,2_Utilité!AL6/2_Utilité!AO6,0)</f>
        <v>0</v>
      </c>
      <c r="AM6" s="48" t="n">
        <f aca="false">IF(2_Utilité!AO6&gt;0,2_Utilité!AM6/2_Utilité!AO6,0)</f>
        <v>0.0453360935072551</v>
      </c>
      <c r="AN6" s="43" t="n">
        <f aca="false">IF(2_Utilité!AO6&gt;0,2_Utilité!AN6/2_Utilité!AO6,0)</f>
        <v>0</v>
      </c>
      <c r="AO6" s="43" t="n">
        <f aca="false">SUM(C6:AN6)</f>
        <v>1</v>
      </c>
      <c r="AP6" s="43" t="n">
        <f aca="false">COUNTIF(Matrice_OD!$C6:$AN6,"&lt;="&amp;Param!$B$2)</f>
        <v>31</v>
      </c>
    </row>
    <row r="7" customFormat="false" ht="15" hidden="false" customHeight="true" outlineLevel="0" collapsed="false">
      <c r="A7" s="0" t="s">
        <v>112</v>
      </c>
      <c r="B7" s="0" t="s">
        <v>113</v>
      </c>
      <c r="C7" s="0" t="n">
        <f aca="false">IF(2_Utilité!AO7&gt;0,2_Utilité!C7/2_Utilité!AO7,0)</f>
        <v>0.0191623343332315</v>
      </c>
      <c r="D7" s="0" t="n">
        <f aca="false">IF(2_Utilité!AO7&gt;0,2_Utilité!D7/2_Utilité!AO7,0)</f>
        <v>0.0142766757905252</v>
      </c>
      <c r="E7" s="0" t="n">
        <f aca="false">IF(2_Utilité!AO7&gt;0,2_Utilité!E7/2_Utilité!AO7,0)</f>
        <v>0.154228064834939</v>
      </c>
      <c r="F7" s="0" t="n">
        <f aca="false">IF(2_Utilité!AO7&gt;0,2_Utilité!F7/2_Utilité!AO7,0)</f>
        <v>0.0277328151604034</v>
      </c>
      <c r="G7" s="0" t="n">
        <f aca="false">IF(2_Utilité!AO7&gt;0,2_Utilité!G7/2_Utilité!AO7,0)</f>
        <v>0.0782586003585318</v>
      </c>
      <c r="H7" s="0" t="n">
        <f aca="false">IF(2_Utilité!AO7&gt;0,2_Utilité!H7/2_Utilité!AO7,0)</f>
        <v>0.0176250086342834</v>
      </c>
      <c r="I7" s="0" t="n">
        <f aca="false">IF(2_Utilité!AO7&gt;0,2_Utilité!I7/2_Utilité!AO7,0)</f>
        <v>0.0405684072136893</v>
      </c>
      <c r="J7" s="0" t="n">
        <f aca="false">IF(2_Utilité!AO7&gt;0,2_Utilité!J7/2_Utilité!AO7,0)</f>
        <v>0.0322533777565234</v>
      </c>
      <c r="K7" s="0" t="n">
        <f aca="false">IF(2_Utilité!AO7&gt;0,2_Utilité!K7/2_Utilité!AO7,0)</f>
        <v>0.0200805334166652</v>
      </c>
      <c r="L7" s="0" t="n">
        <f aca="false">IF(2_Utilité!AO7&gt;0,2_Utilité!L7/2_Utilité!AO7,0)</f>
        <v>0.0200476076323036</v>
      </c>
      <c r="M7" s="0" t="n">
        <f aca="false">IF(2_Utilité!AO7&gt;0,2_Utilité!M7/2_Utilité!AO7,0)</f>
        <v>0.106854596250374</v>
      </c>
      <c r="N7" s="0" t="n">
        <f aca="false">IF(2_Utilité!AO7&gt;0,2_Utilité!N7/2_Utilité!AO7,0)</f>
        <v>0.0146043290523344</v>
      </c>
      <c r="O7" s="0" t="n">
        <f aca="false">IF(2_Utilité!AO7&gt;0,2_Utilité!O7/2_Utilité!AO7,0)</f>
        <v>0.0464099280001826</v>
      </c>
      <c r="P7" s="0" t="n">
        <f aca="false">IF(2_Utilité!AO7&gt;0,2_Utilité!P7/2_Utilité!AO7,0)</f>
        <v>0.0224945700977279</v>
      </c>
      <c r="Q7" s="0" t="n">
        <f aca="false">IF(2_Utilité!AO7&gt;0,2_Utilité!Q7/2_Utilité!AO7,0)</f>
        <v>0.197091799077424</v>
      </c>
      <c r="R7" s="0" t="n">
        <f aca="false">IF(2_Utilité!AO7&gt;0,2_Utilité!R7/2_Utilité!AO7,0)</f>
        <v>0.0262053778580536</v>
      </c>
      <c r="S7" s="0" t="n">
        <f aca="false">IF(2_Utilité!AO7&gt;0,2_Utilité!S7/2_Utilité!AO7,0)</f>
        <v>0.0195345047700168</v>
      </c>
      <c r="T7" s="0" t="n">
        <f aca="false">IF(2_Utilité!AO7&gt;0,2_Utilité!T7/2_Utilité!AO7,0)</f>
        <v>0.00850613875111878</v>
      </c>
      <c r="U7" s="0" t="n">
        <f aca="false">IF(2_Utilité!AO7&gt;0,2_Utilité!U7/2_Utilité!AO7,0)</f>
        <v>0.00331534962326921</v>
      </c>
      <c r="V7" s="0" t="n">
        <f aca="false">IF(2_Utilité!AO7&gt;0,2_Utilité!V7/2_Utilité!AO7,0)</f>
        <v>0.00561117976877157</v>
      </c>
      <c r="W7" s="0" t="n">
        <f aca="false">IF(2_Utilité!AO7&gt;0,2_Utilité!W7/2_Utilité!AO7,0)</f>
        <v>0.000899107775264839</v>
      </c>
      <c r="X7" s="0" t="n">
        <f aca="false">IF(2_Utilité!AO7&gt;0,2_Utilité!X7/2_Utilité!AO7,0)</f>
        <v>0.00121378291071537</v>
      </c>
      <c r="Y7" s="0" t="n">
        <f aca="false">IF(2_Utilité!AO7&gt;0,2_Utilité!Y7/2_Utilité!AO7,0)</f>
        <v>0.000807708582909913</v>
      </c>
      <c r="Z7" s="0" t="n">
        <f aca="false">IF(2_Utilité!AO7&gt;0,2_Utilité!Z7/2_Utilité!AO7,0)</f>
        <v>0.00196627435005942</v>
      </c>
      <c r="AA7" s="0" t="n">
        <f aca="false">IF(2_Utilité!AO7&gt;0,2_Utilité!AA7/2_Utilité!AO7,0)</f>
        <v>0.00343793913451708</v>
      </c>
      <c r="AB7" s="0" t="n">
        <f aca="false">IF(2_Utilité!AO7&gt;0,2_Utilité!AB7/2_Utilité!AO7,0)</f>
        <v>0.00144589998418828</v>
      </c>
      <c r="AC7" s="0" t="n">
        <f aca="false">IF(2_Utilité!AO7&gt;0,2_Utilité!AC7/2_Utilité!AO7,0)</f>
        <v>0</v>
      </c>
      <c r="AD7" s="0" t="n">
        <f aca="false">IF(2_Utilité!AO7&gt;0,2_Utilité!AD7/2_Utilité!AO7,0)</f>
        <v>0</v>
      </c>
      <c r="AE7" s="0" t="n">
        <f aca="false">IF(2_Utilité!AO7&gt;0,2_Utilité!AE7/2_Utilité!AO7,0)</f>
        <v>0</v>
      </c>
      <c r="AF7" s="0" t="n">
        <f aca="false">IF(2_Utilité!AO7&gt;0,2_Utilité!AF7/2_Utilité!AO7,0)</f>
        <v>0</v>
      </c>
      <c r="AG7" s="0" t="n">
        <f aca="false">IF(2_Utilité!AO7&gt;0,2_Utilité!AG7/2_Utilité!AO7,0)</f>
        <v>0.000775313370246787</v>
      </c>
      <c r="AH7" s="0" t="n">
        <f aca="false">IF(2_Utilité!AO7&gt;0,2_Utilité!AH7/2_Utilité!AO7,0)</f>
        <v>0.0632767772287351</v>
      </c>
      <c r="AI7" s="0" t="n">
        <f aca="false">IF(2_Utilité!AO7&gt;0,2_Utilité!AI7/2_Utilité!AO7,0)</f>
        <v>0.00371902113794856</v>
      </c>
      <c r="AJ7" s="0" t="n">
        <f aca="false">IF(2_Utilité!AO7&gt;0,2_Utilité!AJ7/2_Utilité!AO7,0)</f>
        <v>0.00170449915467839</v>
      </c>
      <c r="AK7" s="0" t="n">
        <f aca="false">IF(2_Utilité!AO7&gt;0,2_Utilité!AK7/2_Utilité!AO7,0)</f>
        <v>0</v>
      </c>
      <c r="AL7" s="0" t="n">
        <f aca="false">IF(2_Utilité!AO7&gt;0,2_Utilité!AL7/2_Utilité!AO7,0)</f>
        <v>0</v>
      </c>
      <c r="AM7" s="49" t="n">
        <f aca="false">IF(2_Utilité!AO7&gt;0,2_Utilité!AM7/2_Utilité!AO7,0)</f>
        <v>0.0458924779903671</v>
      </c>
      <c r="AN7" s="43" t="n">
        <f aca="false">IF(2_Utilité!AO7&gt;0,2_Utilité!AN7/2_Utilité!AO7,0)</f>
        <v>0</v>
      </c>
      <c r="AO7" s="43" t="n">
        <f aca="false">SUM(C7:AN7)</f>
        <v>1</v>
      </c>
      <c r="AP7" s="43" t="n">
        <f aca="false">COUNTIF(Matrice_OD!$C7:$AN7,"&lt;="&amp;Param!$B$2)</f>
        <v>31</v>
      </c>
    </row>
    <row r="8" customFormat="false" ht="15" hidden="false" customHeight="true" outlineLevel="0" collapsed="false">
      <c r="A8" s="0" t="s">
        <v>114</v>
      </c>
      <c r="B8" s="0" t="s">
        <v>115</v>
      </c>
      <c r="C8" s="0" t="n">
        <f aca="false">IF(2_Utilité!AO8&gt;0,2_Utilité!C8/2_Utilité!AO8,0)</f>
        <v>0.014083355027962</v>
      </c>
      <c r="D8" s="0" t="n">
        <f aca="false">IF(2_Utilité!AO8&gt;0,2_Utilité!D8/2_Utilité!AO8,0)</f>
        <v>0.0145501055870617</v>
      </c>
      <c r="E8" s="0" t="n">
        <f aca="false">IF(2_Utilité!AO8&gt;0,2_Utilité!E8/2_Utilité!AO8,0)</f>
        <v>0.157516807646282</v>
      </c>
      <c r="F8" s="0" t="n">
        <f aca="false">IF(2_Utilité!AO8&gt;0,2_Utilité!F8/2_Utilité!AO8,0)</f>
        <v>0.0283284383760104</v>
      </c>
      <c r="G8" s="0" t="n">
        <f aca="false">IF(2_Utilité!AO8&gt;0,2_Utilité!G8/2_Utilité!AO8,0)</f>
        <v>0.0799972076132157</v>
      </c>
      <c r="H8" s="0" t="n">
        <f aca="false">IF(2_Utilité!AO8&gt;0,2_Utilité!H8/2_Utilité!AO8,0)</f>
        <v>0.0180325553953897</v>
      </c>
      <c r="I8" s="0" t="n">
        <f aca="false">IF(2_Utilité!AO8&gt;0,2_Utilité!I8/2_Utilité!AO8,0)</f>
        <v>0.0415138422311362</v>
      </c>
      <c r="J8" s="0" t="n">
        <f aca="false">IF(2_Utilité!AO8&gt;0,2_Utilité!J8/2_Utilité!AO8,0)</f>
        <v>0.0330189972778597</v>
      </c>
      <c r="K8" s="0" t="n">
        <f aca="false">IF(2_Utilité!AO8&gt;0,2_Utilité!K8/2_Utilité!AO8,0)</f>
        <v>0.0205625283982197</v>
      </c>
      <c r="L8" s="0" t="n">
        <f aca="false">IF(2_Utilité!AO8&gt;0,2_Utilité!L8/2_Utilité!AO8,0)</f>
        <v>0.0205310533321165</v>
      </c>
      <c r="M8" s="0" t="n">
        <f aca="false">IF(2_Utilité!AO8&gt;0,2_Utilité!M8/2_Utilité!AO8,0)</f>
        <v>0.10943586191791</v>
      </c>
      <c r="N8" s="0" t="n">
        <f aca="false">IF(2_Utilité!AO8&gt;0,2_Utilité!N8/2_Utilité!AO8,0)</f>
        <v>0.0149630427417467</v>
      </c>
      <c r="O8" s="0" t="n">
        <f aca="false">IF(2_Utilité!AO8&gt;0,2_Utilité!O8/2_Utilité!AO8,0)</f>
        <v>0.0475444138861018</v>
      </c>
      <c r="P8" s="0" t="n">
        <f aca="false">IF(2_Utilité!AO8&gt;0,2_Utilité!P8/2_Utilité!AO8,0)</f>
        <v>0.0230521172242393</v>
      </c>
      <c r="Q8" s="0" t="n">
        <f aca="false">IF(2_Utilité!AO8&gt;0,2_Utilité!Q8/2_Utilité!AO8,0)</f>
        <v>0.202027201698223</v>
      </c>
      <c r="R8" s="0" t="n">
        <f aca="false">IF(2_Utilité!AO8&gt;0,2_Utilité!R8/2_Utilité!AO8,0)</f>
        <v>0.0268717617664334</v>
      </c>
      <c r="S8" s="0" t="n">
        <f aca="false">IF(2_Utilité!AO8&gt;0,2_Utilité!S8/2_Utilité!AO8,0)</f>
        <v>0.0200347827998319</v>
      </c>
      <c r="T8" s="0" t="n">
        <f aca="false">IF(2_Utilité!AO8&gt;0,2_Utilité!T8/2_Utilité!AO8,0)</f>
        <v>0.00781372864720932</v>
      </c>
      <c r="U8" s="0" t="n">
        <f aca="false">IF(2_Utilité!AO8&gt;0,2_Utilité!U8/2_Utilité!AO8,0)</f>
        <v>0.00362858474711911</v>
      </c>
      <c r="V8" s="0" t="n">
        <f aca="false">IF(2_Utilité!AO8&gt;0,2_Utilité!V8/2_Utilité!AO8,0)</f>
        <v>0.00483329006880442</v>
      </c>
      <c r="W8" s="0" t="n">
        <f aca="false">IF(2_Utilité!AO8&gt;0,2_Utilité!W8/2_Utilité!AO8,0)</f>
        <v>0.00077131142436472</v>
      </c>
      <c r="X8" s="0" t="n">
        <f aca="false">IF(2_Utilité!AO8&gt;0,2_Utilité!X8/2_Utilité!AO8,0)</f>
        <v>0.00104104345096397</v>
      </c>
      <c r="Y8" s="0" t="n">
        <f aca="false">IF(2_Utilité!AO8&gt;0,2_Utilité!Y8/2_Utilité!AO8,0)</f>
        <v>0.000693380930876924</v>
      </c>
      <c r="Z8" s="0" t="n">
        <f aca="false">IF(2_Utilité!AO8&gt;0,2_Utilité!Z8/2_Utilité!AO8,0)</f>
        <v>0.00168703857648642</v>
      </c>
      <c r="AA8" s="0" t="n">
        <f aca="false">IF(2_Utilité!AO8&gt;0,2_Utilité!AA8/2_Utilité!AO8,0)</f>
        <v>0.00293888949180852</v>
      </c>
      <c r="AB8" s="0" t="n">
        <f aca="false">IF(2_Utilité!AO8&gt;0,2_Utilité!AB8/2_Utilité!AO8,0)</f>
        <v>0.00123433516882065</v>
      </c>
      <c r="AC8" s="0" t="n">
        <f aca="false">IF(2_Utilité!AO8&gt;0,2_Utilité!AC8/2_Utilité!AO8,0)</f>
        <v>0</v>
      </c>
      <c r="AD8" s="0" t="n">
        <f aca="false">IF(2_Utilité!AO8&gt;0,2_Utilité!AD8/2_Utilité!AO8,0)</f>
        <v>0</v>
      </c>
      <c r="AE8" s="0" t="n">
        <f aca="false">IF(2_Utilité!AO8&gt;0,2_Utilité!AE8/2_Utilité!AO8,0)</f>
        <v>0</v>
      </c>
      <c r="AF8" s="0" t="n">
        <f aca="false">IF(2_Utilité!AO8&gt;0,2_Utilité!AF8/2_Utilité!AO8,0)</f>
        <v>0</v>
      </c>
      <c r="AG8" s="0" t="n">
        <f aca="false">IF(2_Utilité!AO8&gt;0,2_Utilité!AG8/2_Utilité!AO8,0)</f>
        <v>0.000335202851043518</v>
      </c>
      <c r="AH8" s="0" t="n">
        <f aca="false">IF(2_Utilité!AO8&gt;0,2_Utilité!AH8/2_Utilité!AO8,0)</f>
        <v>0.0649797766673042</v>
      </c>
      <c r="AI8" s="0" t="n">
        <f aca="false">IF(2_Utilité!AO8&gt;0,2_Utilité!AI8/2_Utilité!AO8,0)</f>
        <v>0.00341029649686884</v>
      </c>
      <c r="AJ8" s="0" t="n">
        <f aca="false">IF(2_Utilité!AO8&gt;0,2_Utilité!AJ8/2_Utilité!AO8,0)</f>
        <v>0.00146095786148919</v>
      </c>
      <c r="AK8" s="0" t="n">
        <f aca="false">IF(2_Utilité!AO8&gt;0,2_Utilité!AK8/2_Utilité!AO8,0)</f>
        <v>0</v>
      </c>
      <c r="AL8" s="0" t="n">
        <f aca="false">IF(2_Utilité!AO8&gt;0,2_Utilité!AL8/2_Utilité!AO8,0)</f>
        <v>0</v>
      </c>
      <c r="AM8" s="48" t="n">
        <f aca="false">IF(2_Utilité!AO8&gt;0,2_Utilité!AM8/2_Utilité!AO8,0)</f>
        <v>0.0331080906971013</v>
      </c>
      <c r="AN8" s="43" t="n">
        <f aca="false">IF(2_Utilité!AO8&gt;0,2_Utilité!AN8/2_Utilité!AO8,0)</f>
        <v>0</v>
      </c>
      <c r="AO8" s="43" t="n">
        <f aca="false">SUM(C8:AN8)</f>
        <v>1</v>
      </c>
      <c r="AP8" s="43" t="n">
        <f aca="false">COUNTIF(Matrice_OD!$C8:$AN8,"&lt;="&amp;Param!$B$2)</f>
        <v>31</v>
      </c>
    </row>
    <row r="9" customFormat="false" ht="15" hidden="false" customHeight="true" outlineLevel="0" collapsed="false">
      <c r="A9" s="0" t="s">
        <v>116</v>
      </c>
      <c r="B9" s="0" t="s">
        <v>117</v>
      </c>
      <c r="C9" s="0" t="n">
        <f aca="false">IF(2_Utilité!AO9&gt;0,2_Utilité!C9/2_Utilité!AO9,0)</f>
        <v>0.00590604433829821</v>
      </c>
      <c r="D9" s="0" t="n">
        <f aca="false">IF(2_Utilité!AO9&gt;0,2_Utilité!D9/2_Utilité!AO9,0)</f>
        <v>0.0129219234757152</v>
      </c>
      <c r="E9" s="0" t="n">
        <f aca="false">IF(2_Utilité!AO9&gt;0,2_Utilité!E9/2_Utilité!AO9,0)</f>
        <v>0.144387903409268</v>
      </c>
      <c r="F9" s="0" t="n">
        <f aca="false">IF(2_Utilité!AO9&gt;0,2_Utilité!F9/2_Utilité!AO9,0)</f>
        <v>0.0261747470741184</v>
      </c>
      <c r="G9" s="0" t="n">
        <f aca="false">IF(2_Utilité!AO9&gt;0,2_Utilité!G9/2_Utilité!AO9,0)</f>
        <v>0.0741283008010468</v>
      </c>
      <c r="H9" s="0" t="n">
        <f aca="false">IF(2_Utilité!AO9&gt;0,2_Utilité!H9/2_Utilité!AO9,0)</f>
        <v>0.0177455748588684</v>
      </c>
      <c r="I9" s="0" t="n">
        <f aca="false">IF(2_Utilité!AO9&gt;0,2_Utilité!I9/2_Utilité!AO9,0)</f>
        <v>0.0407773929764953</v>
      </c>
      <c r="J9" s="0" t="n">
        <f aca="false">IF(2_Utilité!AO9&gt;0,2_Utilité!J9/2_Utilité!AO9,0)</f>
        <v>0.0321506998649783</v>
      </c>
      <c r="K9" s="0" t="n">
        <f aca="false">IF(2_Utilité!AO9&gt;0,2_Utilité!K9/2_Utilité!AO9,0)</f>
        <v>0.0197841979433438</v>
      </c>
      <c r="L9" s="0" t="n">
        <f aca="false">IF(2_Utilité!AO9&gt;0,2_Utilité!L9/2_Utilité!AO9,0)</f>
        <v>0.0204011603005375</v>
      </c>
      <c r="M9" s="0" t="n">
        <f aca="false">IF(2_Utilité!AO9&gt;0,2_Utilité!M9/2_Utilité!AO9,0)</f>
        <v>0.111426346918836</v>
      </c>
      <c r="N9" s="0" t="n">
        <f aca="false">IF(2_Utilité!AO9&gt;0,2_Utilité!N9/2_Utilité!AO9,0)</f>
        <v>0.0147886570876635</v>
      </c>
      <c r="O9" s="0" t="n">
        <f aca="false">IF(2_Utilité!AO9&gt;0,2_Utilité!O9/2_Utilité!AO9,0)</f>
        <v>0.0472222515822177</v>
      </c>
      <c r="P9" s="0" t="n">
        <f aca="false">IF(2_Utilité!AO9&gt;0,2_Utilité!P9/2_Utilité!AO9,0)</f>
        <v>0.0231118995735267</v>
      </c>
      <c r="Q9" s="0" t="n">
        <f aca="false">IF(2_Utilité!AO9&gt;0,2_Utilité!Q9/2_Utilité!AO9,0)</f>
        <v>0.204343321593979</v>
      </c>
      <c r="R9" s="0" t="n">
        <f aca="false">IF(2_Utilité!AO9&gt;0,2_Utilité!R9/2_Utilité!AO9,0)</f>
        <v>0.0271349676784372</v>
      </c>
      <c r="S9" s="0" t="n">
        <f aca="false">IF(2_Utilité!AO9&gt;0,2_Utilité!S9/2_Utilité!AO9,0)</f>
        <v>0.0201026980657157</v>
      </c>
      <c r="T9" s="0" t="n">
        <f aca="false">IF(2_Utilité!AO9&gt;0,2_Utilité!T9/2_Utilité!AO9,0)</f>
        <v>0.00769745523903161</v>
      </c>
      <c r="U9" s="0" t="n">
        <f aca="false">IF(2_Utilité!AO9&gt;0,2_Utilité!U9/2_Utilité!AO9,0)</f>
        <v>0.0138812503499989</v>
      </c>
      <c r="V9" s="0" t="n">
        <f aca="false">IF(2_Utilité!AO9&gt;0,2_Utilité!V9/2_Utilité!AO9,0)</f>
        <v>0.0112200659784114</v>
      </c>
      <c r="W9" s="0" t="n">
        <f aca="false">IF(2_Utilité!AO9&gt;0,2_Utilité!W9/2_Utilité!AO9,0)</f>
        <v>0.00250545331479842</v>
      </c>
      <c r="X9" s="0" t="n">
        <f aca="false">IF(2_Utilité!AO9&gt;0,2_Utilité!X9/2_Utilité!AO9,0)</f>
        <v>0.0037939021288713</v>
      </c>
      <c r="Y9" s="0" t="n">
        <f aca="false">IF(2_Utilité!AO9&gt;0,2_Utilité!Y9/2_Utilité!AO9,0)</f>
        <v>0.00252733975927957</v>
      </c>
      <c r="Z9" s="0" t="n">
        <f aca="false">IF(2_Utilité!AO9&gt;0,2_Utilité!Z9/2_Utilité!AO9,0)</f>
        <v>0.00617982752414576</v>
      </c>
      <c r="AA9" s="0" t="n">
        <f aca="false">IF(2_Utilité!AO9&gt;0,2_Utilité!AA9/2_Utilité!AO9,0)</f>
        <v>0.0128501852044319</v>
      </c>
      <c r="AB9" s="0" t="n">
        <f aca="false">IF(2_Utilité!AO9&gt;0,2_Utilité!AB9/2_Utilité!AO9,0)</f>
        <v>0.00634394785385235</v>
      </c>
      <c r="AC9" s="0" t="n">
        <f aca="false">IF(2_Utilité!AO9&gt;0,2_Utilité!AC9/2_Utilité!AO9,0)</f>
        <v>0</v>
      </c>
      <c r="AD9" s="0" t="n">
        <f aca="false">IF(2_Utilité!AO9&gt;0,2_Utilité!AD9/2_Utilité!AO9,0)</f>
        <v>0</v>
      </c>
      <c r="AE9" s="0" t="n">
        <f aca="false">IF(2_Utilité!AO9&gt;0,2_Utilité!AE9/2_Utilité!AO9,0)</f>
        <v>0</v>
      </c>
      <c r="AF9" s="0" t="n">
        <f aca="false">IF(2_Utilité!AO9&gt;0,2_Utilité!AF9/2_Utilité!AO9,0)</f>
        <v>0</v>
      </c>
      <c r="AG9" s="0" t="n">
        <f aca="false">IF(2_Utilité!AO9&gt;0,2_Utilité!AG9/2_Utilité!AO9,0)</f>
        <v>0</v>
      </c>
      <c r="AH9" s="0" t="n">
        <f aca="false">IF(2_Utilité!AO9&gt;0,2_Utilité!AH9/2_Utilité!AO9,0)</f>
        <v>0.0683539287140947</v>
      </c>
      <c r="AI9" s="0" t="n">
        <f aca="false">IF(2_Utilité!AO9&gt;0,2_Utilité!AI9/2_Utilité!AO9,0)</f>
        <v>0.00335940102323427</v>
      </c>
      <c r="AJ9" s="0" t="n">
        <f aca="false">IF(2_Utilité!AO9&gt;0,2_Utilité!AJ9/2_Utilité!AO9,0)</f>
        <v>0.00540145004539948</v>
      </c>
      <c r="AK9" s="0" t="n">
        <f aca="false">IF(2_Utilité!AO9&gt;0,2_Utilité!AK9/2_Utilité!AO9,0)</f>
        <v>0</v>
      </c>
      <c r="AL9" s="0" t="n">
        <f aca="false">IF(2_Utilité!AO9&gt;0,2_Utilité!AL9/2_Utilité!AO9,0)</f>
        <v>0</v>
      </c>
      <c r="AM9" s="49" t="n">
        <f aca="false">IF(2_Utilité!AO9&gt;0,2_Utilité!AM9/2_Utilité!AO9,0)</f>
        <v>0.0133777053214056</v>
      </c>
      <c r="AN9" s="43" t="n">
        <f aca="false">IF(2_Utilité!AO9&gt;0,2_Utilité!AN9/2_Utilité!AO9,0)</f>
        <v>0</v>
      </c>
      <c r="AO9" s="43" t="n">
        <f aca="false">SUM(C9:AN9)</f>
        <v>1</v>
      </c>
      <c r="AP9" s="43" t="n">
        <f aca="false">COUNTIF(Matrice_OD!$C9:$AN9,"&lt;="&amp;Param!$B$2)</f>
        <v>30</v>
      </c>
    </row>
    <row r="10" customFormat="false" ht="15" hidden="false" customHeight="true" outlineLevel="0" collapsed="false">
      <c r="A10" s="0" t="s">
        <v>118</v>
      </c>
      <c r="B10" s="0" t="s">
        <v>119</v>
      </c>
      <c r="C10" s="0" t="n">
        <f aca="false">IF(2_Utilité!AO10&gt;0,2_Utilité!C10/2_Utilité!AO10,0)</f>
        <v>0.0103019010117974</v>
      </c>
      <c r="D10" s="0" t="n">
        <f aca="false">IF(2_Utilité!AO10&gt;0,2_Utilité!D10/2_Utilité!AO10,0)</f>
        <v>0.0135320721121749</v>
      </c>
      <c r="E10" s="0" t="n">
        <f aca="false">IF(2_Utilité!AO10&gt;0,2_Utilité!E10/2_Utilité!AO10,0)</f>
        <v>0.147159346362367</v>
      </c>
      <c r="F10" s="0" t="n">
        <f aca="false">IF(2_Utilité!AO10&gt;0,2_Utilité!F10/2_Utilité!AO10,0)</f>
        <v>0.0266255262539111</v>
      </c>
      <c r="G10" s="0" t="n">
        <f aca="false">IF(2_Utilité!AO10&gt;0,2_Utilité!G10/2_Utilité!AO10,0)</f>
        <v>0.0748034032035225</v>
      </c>
      <c r="H10" s="0" t="n">
        <f aca="false">IF(2_Utilité!AO10&gt;0,2_Utilité!H10/2_Utilité!AO10,0)</f>
        <v>0.0177942476726453</v>
      </c>
      <c r="I10" s="0" t="n">
        <f aca="false">IF(2_Utilité!AO10&gt;0,2_Utilité!I10/2_Utilité!AO10,0)</f>
        <v>0.040004959013381</v>
      </c>
      <c r="J10" s="0" t="n">
        <f aca="false">IF(2_Utilité!AO10&gt;0,2_Utilité!J10/2_Utilité!AO10,0)</f>
        <v>0.0317437847557771</v>
      </c>
      <c r="K10" s="0" t="n">
        <f aca="false">IF(2_Utilité!AO10&gt;0,2_Utilité!K10/2_Utilité!AO10,0)</f>
        <v>0.0197803538474702</v>
      </c>
      <c r="L10" s="0" t="n">
        <f aca="false">IF(2_Utilité!AO10&gt;0,2_Utilité!L10/2_Utilité!AO10,0)</f>
        <v>0.0200085167815202</v>
      </c>
      <c r="M10" s="0" t="n">
        <f aca="false">IF(2_Utilité!AO10&gt;0,2_Utilité!M10/2_Utilité!AO10,0)</f>
        <v>0.108422101637921</v>
      </c>
      <c r="N10" s="0" t="n">
        <f aca="false">IF(2_Utilité!AO10&gt;0,2_Utilité!N10/2_Utilité!AO10,0)</f>
        <v>0.0146507223506025</v>
      </c>
      <c r="O10" s="0" t="n">
        <f aca="false">IF(2_Utilité!AO10&gt;0,2_Utilité!O10/2_Utilité!AO10,0)</f>
        <v>0.0464160020389443</v>
      </c>
      <c r="P10" s="0" t="n">
        <f aca="false">IF(2_Utilité!AO10&gt;0,2_Utilité!P10/2_Utilité!AO10,0)</f>
        <v>0.0225098477816832</v>
      </c>
      <c r="Q10" s="0" t="n">
        <f aca="false">IF(2_Utilité!AO10&gt;0,2_Utilité!Q10/2_Utilité!AO10,0)</f>
        <v>0.197582690908887</v>
      </c>
      <c r="R10" s="0" t="n">
        <f aca="false">IF(2_Utilité!AO10&gt;0,2_Utilité!R10/2_Utilité!AO10,0)</f>
        <v>0.0262893713072595</v>
      </c>
      <c r="S10" s="0" t="n">
        <f aca="false">IF(2_Utilité!AO10&gt;0,2_Utilité!S10/2_Utilité!AO10,0)</f>
        <v>0.0196272136038788</v>
      </c>
      <c r="T10" s="0" t="n">
        <f aca="false">IF(2_Utilité!AO10&gt;0,2_Utilité!T10/2_Utilité!AO10,0)</f>
        <v>0.0139804078637612</v>
      </c>
      <c r="U10" s="0" t="n">
        <f aca="false">IF(2_Utilité!AO10&gt;0,2_Utilité!U10/2_Utilité!AO10,0)</f>
        <v>0.00505572886372444</v>
      </c>
      <c r="V10" s="0" t="n">
        <f aca="false">IF(2_Utilité!AO10&gt;0,2_Utilité!V10/2_Utilité!AO10,0)</f>
        <v>0.0157607469554765</v>
      </c>
      <c r="W10" s="0" t="n">
        <f aca="false">IF(2_Utilité!AO10&gt;0,2_Utilité!W10/2_Utilité!AO10,0)</f>
        <v>0.0026126167107284</v>
      </c>
      <c r="X10" s="0" t="n">
        <f aca="false">IF(2_Utilité!AO10&gt;0,2_Utilité!X10/2_Utilité!AO10,0)</f>
        <v>0.00353309798141739</v>
      </c>
      <c r="Y10" s="0" t="n">
        <f aca="false">IF(2_Utilité!AO10&gt;0,2_Utilité!Y10/2_Utilité!AO10,0)</f>
        <v>0.00235182961417239</v>
      </c>
      <c r="Z10" s="0" t="n">
        <f aca="false">IF(2_Utilité!AO10&gt;0,2_Utilité!Z10/2_Utilité!AO10,0)</f>
        <v>0.00575141136494541</v>
      </c>
      <c r="AA10" s="0" t="n">
        <f aca="false">IF(2_Utilité!AO10&gt;0,2_Utilité!AA10/2_Utilité!AO10,0)</f>
        <v>0.0102878424193948</v>
      </c>
      <c r="AB10" s="0" t="n">
        <f aca="false">IF(2_Utilité!AO10&gt;0,2_Utilité!AB10/2_Utilité!AO10,0)</f>
        <v>0.00437256872763852</v>
      </c>
      <c r="AC10" s="0" t="n">
        <f aca="false">IF(2_Utilité!AO10&gt;0,2_Utilité!AC10/2_Utilité!AO10,0)</f>
        <v>0</v>
      </c>
      <c r="AD10" s="0" t="n">
        <f aca="false">IF(2_Utilité!AO10&gt;0,2_Utilité!AD10/2_Utilité!AO10,0)</f>
        <v>0</v>
      </c>
      <c r="AE10" s="0" t="n">
        <f aca="false">IF(2_Utilité!AO10&gt;0,2_Utilité!AE10/2_Utilité!AO10,0)</f>
        <v>0</v>
      </c>
      <c r="AF10" s="0" t="n">
        <f aca="false">IF(2_Utilité!AO10&gt;0,2_Utilité!AF10/2_Utilité!AO10,0)</f>
        <v>0</v>
      </c>
      <c r="AG10" s="0" t="n">
        <f aca="false">IF(2_Utilité!AO10&gt;0,2_Utilité!AG10/2_Utilité!AO10,0)</f>
        <v>0</v>
      </c>
      <c r="AH10" s="0" t="n">
        <f aca="false">IF(2_Utilité!AO10&gt;0,2_Utilité!AH10/2_Utilité!AO10,0)</f>
        <v>0.0638494539886582</v>
      </c>
      <c r="AI10" s="0" t="n">
        <f aca="false">IF(2_Utilité!AO10&gt;0,2_Utilité!AI10/2_Utilité!AO10,0)</f>
        <v>0.00620458504773858</v>
      </c>
      <c r="AJ10" s="0" t="n">
        <f aca="false">IF(2_Utilité!AO10&gt;0,2_Utilité!AJ10/2_Utilité!AO10,0)</f>
        <v>0.00502819880938231</v>
      </c>
      <c r="AK10" s="0" t="n">
        <f aca="false">IF(2_Utilité!AO10&gt;0,2_Utilité!AK10/2_Utilité!AO10,0)</f>
        <v>0</v>
      </c>
      <c r="AL10" s="0" t="n">
        <f aca="false">IF(2_Utilité!AO10&gt;0,2_Utilité!AL10/2_Utilité!AO10,0)</f>
        <v>0</v>
      </c>
      <c r="AM10" s="48" t="n">
        <f aca="false">IF(2_Utilité!AO10&gt;0,2_Utilité!AM10/2_Utilité!AO10,0)</f>
        <v>0.0239594510092192</v>
      </c>
      <c r="AN10" s="43" t="n">
        <f aca="false">IF(2_Utilité!AO10&gt;0,2_Utilité!AN10/2_Utilité!AO10,0)</f>
        <v>0</v>
      </c>
      <c r="AO10" s="43" t="n">
        <f aca="false">SUM(C10:AN10)</f>
        <v>1</v>
      </c>
      <c r="AP10" s="43" t="n">
        <f aca="false">COUNTIF(Matrice_OD!$C10:$AN10,"&lt;="&amp;Param!$B$2)</f>
        <v>30</v>
      </c>
    </row>
    <row r="11" customFormat="false" ht="15" hidden="false" customHeight="true" outlineLevel="0" collapsed="false">
      <c r="A11" s="0" t="s">
        <v>120</v>
      </c>
      <c r="B11" s="0" t="s">
        <v>121</v>
      </c>
      <c r="C11" s="0" t="n">
        <f aca="false">IF(2_Utilité!AO11&gt;0,2_Utilité!C11/2_Utilité!AO11,0)</f>
        <v>0.00338220392155608</v>
      </c>
      <c r="D11" s="0" t="n">
        <f aca="false">IF(2_Utilité!AO11&gt;0,2_Utilité!D11/2_Utilité!AO11,0)</f>
        <v>0.013337665030222</v>
      </c>
      <c r="E11" s="0" t="n">
        <f aca="false">IF(2_Utilité!AO11&gt;0,2_Utilité!E11/2_Utilité!AO11,0)</f>
        <v>0.148048081835464</v>
      </c>
      <c r="F11" s="0" t="n">
        <f aca="false">IF(2_Utilité!AO11&gt;0,2_Utilité!F11/2_Utilité!AO11,0)</f>
        <v>0.027491359781896</v>
      </c>
      <c r="G11" s="0" t="n">
        <f aca="false">IF(2_Utilité!AO11&gt;0,2_Utilité!G11/2_Utilité!AO11,0)</f>
        <v>0.0829339669922354</v>
      </c>
      <c r="H11" s="0" t="n">
        <f aca="false">IF(2_Utilité!AO11&gt;0,2_Utilité!H11/2_Utilité!AO11,0)</f>
        <v>0.0178693838582324</v>
      </c>
      <c r="I11" s="0" t="n">
        <f aca="false">IF(2_Utilité!AO11&gt;0,2_Utilité!I11/2_Utilité!AO11,0)</f>
        <v>0.0448315523229591</v>
      </c>
      <c r="J11" s="0" t="n">
        <f aca="false">IF(2_Utilité!AO11&gt;0,2_Utilité!J11/2_Utilité!AO11,0)</f>
        <v>0.0349195650493623</v>
      </c>
      <c r="K11" s="0" t="n">
        <f aca="false">IF(2_Utilité!AO11&gt;0,2_Utilité!K11/2_Utilité!AO11,0)</f>
        <v>0.0218247281558514</v>
      </c>
      <c r="L11" s="0" t="n">
        <f aca="false">IF(2_Utilité!AO11&gt;0,2_Utilité!L11/2_Utilité!AO11,0)</f>
        <v>0.022996666777222</v>
      </c>
      <c r="M11" s="0" t="n">
        <f aca="false">IF(2_Utilité!AO11&gt;0,2_Utilité!M11/2_Utilité!AO11,0)</f>
        <v>0.106701320241776</v>
      </c>
      <c r="N11" s="0" t="n">
        <f aca="false">IF(2_Utilité!AO11&gt;0,2_Utilité!N11/2_Utilité!AO11,0)</f>
        <v>0.0160048006476244</v>
      </c>
      <c r="O11" s="0" t="n">
        <f aca="false">IF(2_Utilité!AO11&gt;0,2_Utilité!O11/2_Utilité!AO11,0)</f>
        <v>0.0523034777101189</v>
      </c>
      <c r="P11" s="0" t="n">
        <f aca="false">IF(2_Utilité!AO11&gt;0,2_Utilité!P11/2_Utilité!AO11,0)</f>
        <v>0.026062889014185</v>
      </c>
      <c r="Q11" s="0" t="n">
        <f aca="false">IF(2_Utilité!AO11&gt;0,2_Utilité!Q11/2_Utilité!AO11,0)</f>
        <v>0.235657993872426</v>
      </c>
      <c r="R11" s="0" t="n">
        <f aca="false">IF(2_Utilité!AO11&gt;0,2_Utilité!R11/2_Utilité!AO11,0)</f>
        <v>0.0306622223696294</v>
      </c>
      <c r="S11" s="0" t="n">
        <f aca="false">IF(2_Utilité!AO11&gt;0,2_Utilité!S11/2_Utilité!AO11,0)</f>
        <v>0.022996666777222</v>
      </c>
      <c r="T11" s="0" t="n">
        <f aca="false">IF(2_Utilité!AO11&gt;0,2_Utilité!T11/2_Utilité!AO11,0)</f>
        <v>0.00271421491826583</v>
      </c>
      <c r="U11" s="0" t="n">
        <f aca="false">IF(2_Utilité!AO11&gt;0,2_Utilité!U11/2_Utilité!AO11,0)</f>
        <v>0.00125907950333053</v>
      </c>
      <c r="V11" s="0" t="n">
        <f aca="false">IF(2_Utilité!AO11&gt;0,2_Utilité!V11/2_Utilité!AO11,0)</f>
        <v>0</v>
      </c>
      <c r="W11" s="0" t="n">
        <f aca="false">IF(2_Utilité!AO11&gt;0,2_Utilité!W11/2_Utilité!AO11,0)</f>
        <v>0</v>
      </c>
      <c r="X11" s="0" t="n">
        <f aca="false">IF(2_Utilité!AO11&gt;0,2_Utilité!X11/2_Utilité!AO11,0)</f>
        <v>0</v>
      </c>
      <c r="Y11" s="0" t="n">
        <f aca="false">IF(2_Utilité!AO11&gt;0,2_Utilité!Y11/2_Utilité!AO11,0)</f>
        <v>0</v>
      </c>
      <c r="Z11" s="0" t="n">
        <f aca="false">IF(2_Utilité!AO11&gt;0,2_Utilité!Z11/2_Utilité!AO11,0)</f>
        <v>0</v>
      </c>
      <c r="AA11" s="0" t="n">
        <f aca="false">IF(2_Utilité!AO11&gt;0,2_Utilité!AA11/2_Utilité!AO11,0)</f>
        <v>0</v>
      </c>
      <c r="AB11" s="0" t="n">
        <f aca="false">IF(2_Utilité!AO11&gt;0,2_Utilité!AB11/2_Utilité!AO11,0)</f>
        <v>0</v>
      </c>
      <c r="AC11" s="0" t="n">
        <f aca="false">IF(2_Utilité!AO11&gt;0,2_Utilité!AC11/2_Utilité!AO11,0)</f>
        <v>0</v>
      </c>
      <c r="AD11" s="0" t="n">
        <f aca="false">IF(2_Utilité!AO11&gt;0,2_Utilité!AD11/2_Utilité!AO11,0)</f>
        <v>0</v>
      </c>
      <c r="AE11" s="0" t="n">
        <f aca="false">IF(2_Utilité!AO11&gt;0,2_Utilité!AE11/2_Utilité!AO11,0)</f>
        <v>0</v>
      </c>
      <c r="AF11" s="0" t="n">
        <f aca="false">IF(2_Utilité!AO11&gt;0,2_Utilité!AF11/2_Utilité!AO11,0)</f>
        <v>0</v>
      </c>
      <c r="AG11" s="0" t="n">
        <f aca="false">IF(2_Utilité!AO11&gt;0,2_Utilité!AG11/2_Utilité!AO11,0)</f>
        <v>0</v>
      </c>
      <c r="AH11" s="0" t="n">
        <f aca="false">IF(2_Utilité!AO11&gt;0,2_Utilité!AH11/2_Utilité!AO11,0)</f>
        <v>0.0776798572394293</v>
      </c>
      <c r="AI11" s="0" t="n">
        <f aca="false">IF(2_Utilité!AO11&gt;0,2_Utilité!AI11/2_Utilité!AO11,0)</f>
        <v>0.00124401517087184</v>
      </c>
      <c r="AJ11" s="0" t="n">
        <f aca="false">IF(2_Utilité!AO11&gt;0,2_Utilité!AJ11/2_Utilité!AO11,0)</f>
        <v>0</v>
      </c>
      <c r="AK11" s="0" t="n">
        <f aca="false">IF(2_Utilité!AO11&gt;0,2_Utilité!AK11/2_Utilité!AO11,0)</f>
        <v>0</v>
      </c>
      <c r="AL11" s="0" t="n">
        <f aca="false">IF(2_Utilité!AO11&gt;0,2_Utilité!AL11/2_Utilité!AO11,0)</f>
        <v>0</v>
      </c>
      <c r="AM11" s="49" t="n">
        <f aca="false">IF(2_Utilité!AO11&gt;0,2_Utilité!AM11/2_Utilité!AO11,0)</f>
        <v>0.00907828881012026</v>
      </c>
      <c r="AN11" s="43" t="n">
        <f aca="false">IF(2_Utilité!AO11&gt;0,2_Utilité!AN11/2_Utilité!AO11,0)</f>
        <v>0</v>
      </c>
      <c r="AO11" s="43" t="n">
        <f aca="false">SUM(C11:AN11)</f>
        <v>1</v>
      </c>
      <c r="AP11" s="43" t="n">
        <f aca="false">COUNTIF(Matrice_OD!$C11:$AN11,"&lt;="&amp;Param!$B$2)</f>
        <v>22</v>
      </c>
    </row>
    <row r="12" customFormat="false" ht="15" hidden="false" customHeight="true" outlineLevel="0" collapsed="false">
      <c r="A12" s="0" t="s">
        <v>122</v>
      </c>
      <c r="B12" s="0" t="s">
        <v>123</v>
      </c>
      <c r="C12" s="0" t="n">
        <f aca="false">IF(2_Utilité!AO12&gt;0,2_Utilité!C12/2_Utilité!AO12,0)</f>
        <v>0</v>
      </c>
      <c r="D12" s="0" t="n">
        <f aca="false">IF(2_Utilité!AO12&gt;0,2_Utilité!D12/2_Utilité!AO12,0)</f>
        <v>0</v>
      </c>
      <c r="E12" s="0" t="n">
        <f aca="false">IF(2_Utilité!AO12&gt;0,2_Utilité!E12/2_Utilité!AO12,0)</f>
        <v>0</v>
      </c>
      <c r="F12" s="0" t="n">
        <f aca="false">IF(2_Utilité!AO12&gt;0,2_Utilité!F12/2_Utilité!AO12,0)</f>
        <v>0</v>
      </c>
      <c r="G12" s="0" t="n">
        <f aca="false">IF(2_Utilité!AO12&gt;0,2_Utilité!G12/2_Utilité!AO12,0)</f>
        <v>0</v>
      </c>
      <c r="H12" s="0" t="n">
        <f aca="false">IF(2_Utilité!AO12&gt;0,2_Utilité!H12/2_Utilité!AO12,0)</f>
        <v>0</v>
      </c>
      <c r="I12" s="0" t="n">
        <f aca="false">IF(2_Utilité!AO12&gt;0,2_Utilité!I12/2_Utilité!AO12,0)</f>
        <v>0</v>
      </c>
      <c r="J12" s="0" t="n">
        <f aca="false">IF(2_Utilité!AO12&gt;0,2_Utilité!J12/2_Utilité!AO12,0)</f>
        <v>0</v>
      </c>
      <c r="K12" s="0" t="n">
        <f aca="false">IF(2_Utilité!AO12&gt;0,2_Utilité!K12/2_Utilité!AO12,0)</f>
        <v>0</v>
      </c>
      <c r="L12" s="0" t="n">
        <f aca="false">IF(2_Utilité!AO12&gt;0,2_Utilité!L12/2_Utilité!AO12,0)</f>
        <v>0</v>
      </c>
      <c r="M12" s="0" t="n">
        <f aca="false">IF(2_Utilité!AO12&gt;0,2_Utilité!M12/2_Utilité!AO12,0)</f>
        <v>0</v>
      </c>
      <c r="N12" s="0" t="n">
        <f aca="false">IF(2_Utilité!AO12&gt;0,2_Utilité!N12/2_Utilité!AO12,0)</f>
        <v>0</v>
      </c>
      <c r="O12" s="0" t="n">
        <f aca="false">IF(2_Utilité!AO12&gt;0,2_Utilité!O12/2_Utilité!AO12,0)</f>
        <v>0</v>
      </c>
      <c r="P12" s="0" t="n">
        <f aca="false">IF(2_Utilité!AO12&gt;0,2_Utilité!P12/2_Utilité!AO12,0)</f>
        <v>0</v>
      </c>
      <c r="Q12" s="0" t="n">
        <f aca="false">IF(2_Utilité!AO12&gt;0,2_Utilité!Q12/2_Utilité!AO12,0)</f>
        <v>0</v>
      </c>
      <c r="R12" s="0" t="n">
        <f aca="false">IF(2_Utilité!AO12&gt;0,2_Utilité!R12/2_Utilité!AO12,0)</f>
        <v>0</v>
      </c>
      <c r="S12" s="0" t="n">
        <f aca="false">IF(2_Utilité!AO12&gt;0,2_Utilité!S12/2_Utilité!AO12,0)</f>
        <v>0</v>
      </c>
      <c r="T12" s="0" t="n">
        <f aca="false">IF(2_Utilité!AO12&gt;0,2_Utilité!T12/2_Utilité!AO12,0)</f>
        <v>0</v>
      </c>
      <c r="U12" s="0" t="n">
        <f aca="false">IF(2_Utilité!AO12&gt;0,2_Utilité!U12/2_Utilité!AO12,0)</f>
        <v>0</v>
      </c>
      <c r="V12" s="0" t="n">
        <f aca="false">IF(2_Utilité!AO12&gt;0,2_Utilité!V12/2_Utilité!AO12,0)</f>
        <v>0</v>
      </c>
      <c r="W12" s="0" t="n">
        <f aca="false">IF(2_Utilité!AO12&gt;0,2_Utilité!W12/2_Utilité!AO12,0)</f>
        <v>0</v>
      </c>
      <c r="X12" s="0" t="n">
        <f aca="false">IF(2_Utilité!AO12&gt;0,2_Utilité!X12/2_Utilité!AO12,0)</f>
        <v>0</v>
      </c>
      <c r="Y12" s="0" t="n">
        <f aca="false">IF(2_Utilité!AO12&gt;0,2_Utilité!Y12/2_Utilité!AO12,0)</f>
        <v>0</v>
      </c>
      <c r="Z12" s="0" t="n">
        <f aca="false">IF(2_Utilité!AO12&gt;0,2_Utilité!Z12/2_Utilité!AO12,0)</f>
        <v>0</v>
      </c>
      <c r="AA12" s="0" t="n">
        <f aca="false">IF(2_Utilité!AO12&gt;0,2_Utilité!AA12/2_Utilité!AO12,0)</f>
        <v>0</v>
      </c>
      <c r="AB12" s="0" t="n">
        <f aca="false">IF(2_Utilité!AO12&gt;0,2_Utilité!AB12/2_Utilité!AO12,0)</f>
        <v>0</v>
      </c>
      <c r="AC12" s="0" t="n">
        <f aca="false">IF(2_Utilité!AO12&gt;0,2_Utilité!AC12/2_Utilité!AO12,0)</f>
        <v>0</v>
      </c>
      <c r="AD12" s="0" t="n">
        <f aca="false">IF(2_Utilité!AO12&gt;0,2_Utilité!AD12/2_Utilité!AO12,0)</f>
        <v>0</v>
      </c>
      <c r="AE12" s="0" t="n">
        <f aca="false">IF(2_Utilité!AO12&gt;0,2_Utilité!AE12/2_Utilité!AO12,0)</f>
        <v>0</v>
      </c>
      <c r="AF12" s="0" t="n">
        <f aca="false">IF(2_Utilité!AO12&gt;0,2_Utilité!AF12/2_Utilité!AO12,0)</f>
        <v>0</v>
      </c>
      <c r="AG12" s="0" t="n">
        <f aca="false">IF(2_Utilité!AO12&gt;0,2_Utilité!AG12/2_Utilité!AO12,0)</f>
        <v>0</v>
      </c>
      <c r="AH12" s="0" t="n">
        <f aca="false">IF(2_Utilité!AO12&gt;0,2_Utilité!AH12/2_Utilité!AO12,0)</f>
        <v>0</v>
      </c>
      <c r="AI12" s="0" t="n">
        <f aca="false">IF(2_Utilité!AO12&gt;0,2_Utilité!AI12/2_Utilité!AO12,0)</f>
        <v>0</v>
      </c>
      <c r="AJ12" s="0" t="n">
        <f aca="false">IF(2_Utilité!AO12&gt;0,2_Utilité!AJ12/2_Utilité!AO12,0)</f>
        <v>0</v>
      </c>
      <c r="AK12" s="0" t="n">
        <f aca="false">IF(2_Utilité!AO12&gt;0,2_Utilité!AK12/2_Utilité!AO12,0)</f>
        <v>0</v>
      </c>
      <c r="AL12" s="0" t="n">
        <f aca="false">IF(2_Utilité!AO12&gt;0,2_Utilité!AL12/2_Utilité!AO12,0)</f>
        <v>0</v>
      </c>
      <c r="AM12" s="48" t="n">
        <f aca="false">IF(2_Utilité!AO12&gt;0,2_Utilité!AM12/2_Utilité!AO12,0)</f>
        <v>0</v>
      </c>
      <c r="AN12" s="43" t="n">
        <f aca="false">IF(2_Utilité!AO12&gt;0,2_Utilité!AN12/2_Utilité!AO12,0)</f>
        <v>0</v>
      </c>
      <c r="AO12" s="43" t="n">
        <f aca="false">SUM(C12:AN12)</f>
        <v>0</v>
      </c>
      <c r="AP12" s="43" t="n">
        <f aca="false">COUNTIF(Matrice_OD!$C12:$AN12,"&lt;="&amp;Param!$B$2)</f>
        <v>0</v>
      </c>
    </row>
    <row r="13" customFormat="false" ht="15" hidden="false" customHeight="true" outlineLevel="0" collapsed="false">
      <c r="A13" s="0" t="s">
        <v>124</v>
      </c>
      <c r="B13" s="0" t="s">
        <v>125</v>
      </c>
      <c r="C13" s="0" t="n">
        <f aca="false">IF(2_Utilité!AO13&gt;0,2_Utilité!C13/2_Utilité!AO13,0)</f>
        <v>0.00148533569513527</v>
      </c>
      <c r="D13" s="0" t="n">
        <f aca="false">IF(2_Utilité!AO13&gt;0,2_Utilité!D13/2_Utilité!AO13,0)</f>
        <v>0.0124832330887384</v>
      </c>
      <c r="E13" s="0" t="n">
        <f aca="false">IF(2_Utilité!AO13&gt;0,2_Utilité!E13/2_Utilité!AO13,0)</f>
        <v>0.141260712329018</v>
      </c>
      <c r="F13" s="0" t="n">
        <f aca="false">IF(2_Utilité!AO13&gt;0,2_Utilité!F13/2_Utilité!AO13,0)</f>
        <v>0.0259110537643895</v>
      </c>
      <c r="G13" s="0" t="n">
        <f aca="false">IF(2_Utilité!AO13&gt;0,2_Utilité!G13/2_Utilité!AO13,0)</f>
        <v>0.0724431404247815</v>
      </c>
      <c r="H13" s="0" t="n">
        <f aca="false">IF(2_Utilité!AO13&gt;0,2_Utilité!H13/2_Utilité!AO13,0)</f>
        <v>0.0191383190416822</v>
      </c>
      <c r="I13" s="0" t="n">
        <f aca="false">IF(2_Utilité!AO13&gt;0,2_Utilité!I13/2_Utilité!AO13,0)</f>
        <v>0.0436047738295437</v>
      </c>
      <c r="J13" s="0" t="n">
        <f aca="false">IF(2_Utilité!AO13&gt;0,2_Utilité!J13/2_Utilité!AO13,0)</f>
        <v>0.0333250125400891</v>
      </c>
      <c r="K13" s="0" t="n">
        <f aca="false">IF(2_Utilité!AO13&gt;0,2_Utilité!K13/2_Utilité!AO13,0)</f>
        <v>0.0198860119875964</v>
      </c>
      <c r="L13" s="0" t="n">
        <f aca="false">IF(2_Utilité!AO13&gt;0,2_Utilité!L13/2_Utilité!AO13,0)</f>
        <v>0.0218302996427997</v>
      </c>
      <c r="M13" s="0" t="n">
        <f aca="false">IF(2_Utilité!AO13&gt;0,2_Utilité!M13/2_Utilité!AO13,0)</f>
        <v>0.125692113743321</v>
      </c>
      <c r="N13" s="0" t="n">
        <f aca="false">IF(2_Utilité!AO13&gt;0,2_Utilité!N13/2_Utilité!AO13,0)</f>
        <v>0.0154528523091651</v>
      </c>
      <c r="O13" s="0" t="n">
        <f aca="false">IF(2_Utilité!AO13&gt;0,2_Utilité!O13/2_Utilité!AO13,0)</f>
        <v>0.0496781704544073</v>
      </c>
      <c r="P13" s="0" t="n">
        <f aca="false">IF(2_Utilité!AO13&gt;0,2_Utilité!P13/2_Utilité!AO13,0)</f>
        <v>0.0247093718367414</v>
      </c>
      <c r="Q13" s="0" t="n">
        <f aca="false">IF(2_Utilité!AO13&gt;0,2_Utilité!Q13/2_Utilité!AO13,0)</f>
        <v>0.219562262255932</v>
      </c>
      <c r="R13" s="0" t="n">
        <f aca="false">IF(2_Utilité!AO13&gt;0,2_Utilité!R13/2_Utilité!AO13,0)</f>
        <v>0.0289027981754524</v>
      </c>
      <c r="S13" s="0" t="n">
        <f aca="false">IF(2_Utilité!AO13&gt;0,2_Utilité!S13/2_Utilité!AO13,0)</f>
        <v>0.020868645649468</v>
      </c>
      <c r="T13" s="0" t="n">
        <f aca="false">IF(2_Utilité!AO13&gt;0,2_Utilité!T13/2_Utilité!AO13,0)</f>
        <v>0.00933373268655529</v>
      </c>
      <c r="U13" s="0" t="n">
        <f aca="false">IF(2_Utilité!AO13&gt;0,2_Utilité!U13/2_Utilité!AO13,0)</f>
        <v>0.0148601263418485</v>
      </c>
      <c r="V13" s="0" t="n">
        <f aca="false">IF(2_Utilité!AO13&gt;0,2_Utilité!V13/2_Utilité!AO13,0)</f>
        <v>0</v>
      </c>
      <c r="W13" s="0" t="n">
        <f aca="false">IF(2_Utilité!AO13&gt;0,2_Utilité!W13/2_Utilité!AO13,0)</f>
        <v>0</v>
      </c>
      <c r="X13" s="0" t="n">
        <f aca="false">IF(2_Utilité!AO13&gt;0,2_Utilité!X13/2_Utilité!AO13,0)</f>
        <v>0</v>
      </c>
      <c r="Y13" s="0" t="n">
        <f aca="false">IF(2_Utilité!AO13&gt;0,2_Utilité!Y13/2_Utilité!AO13,0)</f>
        <v>0</v>
      </c>
      <c r="Z13" s="0" t="n">
        <f aca="false">IF(2_Utilité!AO13&gt;0,2_Utilité!Z13/2_Utilité!AO13,0)</f>
        <v>0</v>
      </c>
      <c r="AA13" s="0" t="n">
        <f aca="false">IF(2_Utilité!AO13&gt;0,2_Utilité!AA13/2_Utilité!AO13,0)</f>
        <v>0</v>
      </c>
      <c r="AB13" s="0" t="n">
        <f aca="false">IF(2_Utilité!AO13&gt;0,2_Utilité!AB13/2_Utilité!AO13,0)</f>
        <v>0</v>
      </c>
      <c r="AC13" s="0" t="n">
        <f aca="false">IF(2_Utilité!AO13&gt;0,2_Utilité!AC13/2_Utilité!AO13,0)</f>
        <v>0.000852462810358222</v>
      </c>
      <c r="AD13" s="0" t="n">
        <f aca="false">IF(2_Utilité!AO13&gt;0,2_Utilité!AD13/2_Utilité!AO13,0)</f>
        <v>0.00409280962946662</v>
      </c>
      <c r="AE13" s="0" t="n">
        <f aca="false">IF(2_Utilité!AO13&gt;0,2_Utilité!AE13/2_Utilité!AO13,0)</f>
        <v>0.00227760703188152</v>
      </c>
      <c r="AF13" s="0" t="n">
        <f aca="false">IF(2_Utilité!AO13&gt;0,2_Utilité!AF13/2_Utilité!AO13,0)</f>
        <v>0.00150428030850443</v>
      </c>
      <c r="AG13" s="0" t="n">
        <f aca="false">IF(2_Utilité!AO13&gt;0,2_Utilité!AG13/2_Utilité!AO13,0)</f>
        <v>0</v>
      </c>
      <c r="AH13" s="0" t="n">
        <f aca="false">IF(2_Utilité!AO13&gt;0,2_Utilité!AH13/2_Utilité!AO13,0)</f>
        <v>0.0758527614639892</v>
      </c>
      <c r="AI13" s="0" t="n">
        <f aca="false">IF(2_Utilité!AO13&gt;0,2_Utilité!AI13/2_Utilité!AO13,0)</f>
        <v>0.0039746383355418</v>
      </c>
      <c r="AJ13" s="0" t="n">
        <f aca="false">IF(2_Utilité!AO13&gt;0,2_Utilité!AJ13/2_Utilité!AO13,0)</f>
        <v>0</v>
      </c>
      <c r="AK13" s="0" t="n">
        <f aca="false">IF(2_Utilité!AO13&gt;0,2_Utilité!AK13/2_Utilité!AO13,0)</f>
        <v>0.00346789319699735</v>
      </c>
      <c r="AL13" s="0" t="n">
        <f aca="false">IF(2_Utilité!AO13&gt;0,2_Utilité!AL13/2_Utilité!AO13,0)</f>
        <v>0.00754958142659706</v>
      </c>
      <c r="AM13" s="49" t="n">
        <f aca="false">IF(2_Utilité!AO13&gt;0,2_Utilité!AM13/2_Utilité!AO13,0)</f>
        <v>0</v>
      </c>
      <c r="AN13" s="43" t="n">
        <f aca="false">IF(2_Utilité!AO13&gt;0,2_Utilité!AN13/2_Utilité!AO13,0)</f>
        <v>0</v>
      </c>
      <c r="AO13" s="43" t="n">
        <f aca="false">SUM(C13:AN13)</f>
        <v>1</v>
      </c>
      <c r="AP13" s="43" t="n">
        <f aca="false">COUNTIF(Matrice_OD!$C13:$AN13,"&lt;="&amp;Param!$B$2)</f>
        <v>27</v>
      </c>
    </row>
    <row r="14" customFormat="false" ht="15" hidden="false" customHeight="true" outlineLevel="0" collapsed="false">
      <c r="A14" s="0" t="s">
        <v>126</v>
      </c>
      <c r="B14" s="0" t="s">
        <v>127</v>
      </c>
      <c r="C14" s="0" t="n">
        <f aca="false">IF(2_Utilité!AO14&gt;0,2_Utilité!C14/2_Utilité!AO14,0)</f>
        <v>0</v>
      </c>
      <c r="D14" s="0" t="n">
        <f aca="false">IF(2_Utilité!AO14&gt;0,2_Utilité!D14/2_Utilité!AO14,0)</f>
        <v>0.0130493485106068</v>
      </c>
      <c r="E14" s="0" t="n">
        <f aca="false">IF(2_Utilité!AO14&gt;0,2_Utilité!E14/2_Utilité!AO14,0)</f>
        <v>0.147799888056337</v>
      </c>
      <c r="F14" s="0" t="n">
        <f aca="false">IF(2_Utilité!AO14&gt;0,2_Utilité!F14/2_Utilité!AO14,0)</f>
        <v>0.0271332482712078</v>
      </c>
      <c r="G14" s="0" t="n">
        <f aca="false">IF(2_Utilité!AO14&gt;0,2_Utilité!G14/2_Utilité!AO14,0)</f>
        <v>0.0758445755484234</v>
      </c>
      <c r="H14" s="0" t="n">
        <f aca="false">IF(2_Utilité!AO14&gt;0,2_Utilité!H14/2_Utilité!AO14,0)</f>
        <v>0.0201774695631397</v>
      </c>
      <c r="I14" s="0" t="n">
        <f aca="false">IF(2_Utilité!AO14&gt;0,2_Utilité!I14/2_Utilité!AO14,0)</f>
        <v>0.0459131377233562</v>
      </c>
      <c r="J14" s="0" t="n">
        <f aca="false">IF(2_Utilité!AO14&gt;0,2_Utilité!J14/2_Utilité!AO14,0)</f>
        <v>0.0350357090598416</v>
      </c>
      <c r="K14" s="0" t="n">
        <f aca="false">IF(2_Utilité!AO14&gt;0,2_Utilité!K14/2_Utilité!AO14,0)</f>
        <v>0.0208466493741941</v>
      </c>
      <c r="L14" s="0" t="n">
        <f aca="false">IF(2_Utilité!AO14&gt;0,2_Utilité!L14/2_Utilité!AO14,0)</f>
        <v>0.0230028066951803</v>
      </c>
      <c r="M14" s="0" t="n">
        <f aca="false">IF(2_Utilité!AO14&gt;0,2_Utilité!M14/2_Utilité!AO14,0)</f>
        <v>0.132939624171562</v>
      </c>
      <c r="N14" s="0" t="n">
        <f aca="false">IF(2_Utilité!AO14&gt;0,2_Utilité!N14/2_Utilité!AO14,0)</f>
        <v>0.0162441529774216</v>
      </c>
      <c r="O14" s="0" t="n">
        <f aca="false">IF(2_Utilité!AO14&gt;0,2_Utilité!O14/2_Utilité!AO14,0)</f>
        <v>0.0522832859102678</v>
      </c>
      <c r="P14" s="0" t="n">
        <f aca="false">IF(2_Utilité!AO14&gt;0,2_Utilité!P14/2_Utilité!AO14,0)</f>
        <v>0.0260349035819333</v>
      </c>
      <c r="Q14" s="0" t="n">
        <f aca="false">IF(2_Utilité!AO14&gt;0,2_Utilité!Q14/2_Utilité!AO14,0)</f>
        <v>0.231264476893473</v>
      </c>
      <c r="R14" s="0" t="n">
        <f aca="false">IF(2_Utilité!AO14&gt;0,2_Utilité!R14/2_Utilité!AO14,0)</f>
        <v>0.030424362878886</v>
      </c>
      <c r="S14" s="0" t="n">
        <f aca="false">IF(2_Utilité!AO14&gt;0,2_Utilité!S14/2_Utilité!AO14,0)</f>
        <v>0.0219270627507645</v>
      </c>
      <c r="T14" s="0" t="n">
        <f aca="false">IF(2_Utilité!AO14&gt;0,2_Utilité!T14/2_Utilité!AO14,0)</f>
        <v>0</v>
      </c>
      <c r="U14" s="0" t="n">
        <f aca="false">IF(2_Utilité!AO14&gt;0,2_Utilité!U14/2_Utilité!AO14,0)</f>
        <v>0</v>
      </c>
      <c r="V14" s="0" t="n">
        <f aca="false">IF(2_Utilité!AO14&gt;0,2_Utilité!V14/2_Utilité!AO14,0)</f>
        <v>0</v>
      </c>
      <c r="W14" s="0" t="n">
        <f aca="false">IF(2_Utilité!AO14&gt;0,2_Utilité!W14/2_Utilité!AO14,0)</f>
        <v>0</v>
      </c>
      <c r="X14" s="0" t="n">
        <f aca="false">IF(2_Utilité!AO14&gt;0,2_Utilité!X14/2_Utilité!AO14,0)</f>
        <v>0</v>
      </c>
      <c r="Y14" s="0" t="n">
        <f aca="false">IF(2_Utilité!AO14&gt;0,2_Utilité!Y14/2_Utilité!AO14,0)</f>
        <v>0</v>
      </c>
      <c r="Z14" s="0" t="n">
        <f aca="false">IF(2_Utilité!AO14&gt;0,2_Utilité!Z14/2_Utilité!AO14,0)</f>
        <v>0</v>
      </c>
      <c r="AA14" s="0" t="n">
        <f aca="false">IF(2_Utilité!AO14&gt;0,2_Utilité!AA14/2_Utilité!AO14,0)</f>
        <v>0</v>
      </c>
      <c r="AB14" s="0" t="n">
        <f aca="false">IF(2_Utilité!AO14&gt;0,2_Utilité!AB14/2_Utilité!AO14,0)</f>
        <v>0</v>
      </c>
      <c r="AC14" s="0" t="n">
        <f aca="false">IF(2_Utilité!AO14&gt;0,2_Utilité!AC14/2_Utilité!AO14,0)</f>
        <v>0</v>
      </c>
      <c r="AD14" s="0" t="n">
        <f aca="false">IF(2_Utilité!AO14&gt;0,2_Utilité!AD14/2_Utilité!AO14,0)</f>
        <v>0</v>
      </c>
      <c r="AE14" s="0" t="n">
        <f aca="false">IF(2_Utilité!AO14&gt;0,2_Utilité!AE14/2_Utilité!AO14,0)</f>
        <v>0</v>
      </c>
      <c r="AF14" s="0" t="n">
        <f aca="false">IF(2_Utilité!AO14&gt;0,2_Utilité!AF14/2_Utilité!AO14,0)</f>
        <v>0</v>
      </c>
      <c r="AG14" s="0" t="n">
        <f aca="false">IF(2_Utilité!AO14&gt;0,2_Utilité!AG14/2_Utilité!AO14,0)</f>
        <v>0</v>
      </c>
      <c r="AH14" s="0" t="n">
        <f aca="false">IF(2_Utilité!AO14&gt;0,2_Utilité!AH14/2_Utilité!AO14,0)</f>
        <v>0.080079298033405</v>
      </c>
      <c r="AI14" s="0" t="n">
        <f aca="false">IF(2_Utilité!AO14&gt;0,2_Utilité!AI14/2_Utilité!AO14,0)</f>
        <v>0</v>
      </c>
      <c r="AJ14" s="0" t="n">
        <f aca="false">IF(2_Utilité!AO14&gt;0,2_Utilité!AJ14/2_Utilité!AO14,0)</f>
        <v>0</v>
      </c>
      <c r="AK14" s="0" t="n">
        <f aca="false">IF(2_Utilité!AO14&gt;0,2_Utilité!AK14/2_Utilité!AO14,0)</f>
        <v>0</v>
      </c>
      <c r="AL14" s="0" t="n">
        <f aca="false">IF(2_Utilité!AO14&gt;0,2_Utilité!AL14/2_Utilité!AO14,0)</f>
        <v>0</v>
      </c>
      <c r="AM14" s="48" t="n">
        <f aca="false">IF(2_Utilité!AO14&gt;0,2_Utilité!AM14/2_Utilité!AO14,0)</f>
        <v>0</v>
      </c>
      <c r="AN14" s="43" t="n">
        <f aca="false">IF(2_Utilité!AO14&gt;0,2_Utilité!AN14/2_Utilité!AO14,0)</f>
        <v>0</v>
      </c>
      <c r="AO14" s="43" t="n">
        <f aca="false">SUM(C14:AN14)</f>
        <v>1</v>
      </c>
      <c r="AP14" s="43" t="n">
        <f aca="false">COUNTIF(Matrice_OD!$C14:$AN14,"&lt;="&amp;Param!$B$2)</f>
        <v>17</v>
      </c>
    </row>
    <row r="15" customFormat="false" ht="15" hidden="false" customHeight="true" outlineLevel="0" collapsed="false">
      <c r="A15" s="0" t="s">
        <v>128</v>
      </c>
      <c r="B15" s="0" t="s">
        <v>129</v>
      </c>
      <c r="C15" s="0" t="n">
        <f aca="false">IF(2_Utilité!AO15&gt;0,2_Utilité!C15/2_Utilité!AO15,0)</f>
        <v>0.00316076828690474</v>
      </c>
      <c r="D15" s="0" t="n">
        <f aca="false">IF(2_Utilité!AO15&gt;0,2_Utilité!D15/2_Utilité!AO15,0)</f>
        <v>0.0133976446411033</v>
      </c>
      <c r="E15" s="0" t="n">
        <f aca="false">IF(2_Utilité!AO15&gt;0,2_Utilité!E15/2_Utilité!AO15,0)</f>
        <v>0.150636485262078</v>
      </c>
      <c r="F15" s="0" t="n">
        <f aca="false">IF(2_Utilité!AO15&gt;0,2_Utilité!F15/2_Utilité!AO15,0)</f>
        <v>0.0274659014513544</v>
      </c>
      <c r="G15" s="0" t="n">
        <f aca="false">IF(2_Utilité!AO15&gt;0,2_Utilité!G15/2_Utilité!AO15,0)</f>
        <v>0.0772856107685857</v>
      </c>
      <c r="H15" s="0" t="n">
        <f aca="false">IF(2_Utilité!AO15&gt;0,2_Utilité!H15/2_Utilité!AO15,0)</f>
        <v>0.0194277617832065</v>
      </c>
      <c r="I15" s="0" t="n">
        <f aca="false">IF(2_Utilité!AO15&gt;0,2_Utilité!I15/2_Utilité!AO15,0)</f>
        <v>0.0444424892228781</v>
      </c>
      <c r="J15" s="0" t="n">
        <f aca="false">IF(2_Utilité!AO15&gt;0,2_Utilité!J15/2_Utilité!AO15,0)</f>
        <v>0.0345188849025486</v>
      </c>
      <c r="K15" s="0" t="n">
        <f aca="false">IF(2_Utilité!AO15&gt;0,2_Utilité!K15/2_Utilité!AO15,0)</f>
        <v>0.0209163600223722</v>
      </c>
      <c r="L15" s="0" t="n">
        <f aca="false">IF(2_Utilité!AO15&gt;0,2_Utilité!L15/2_Utilité!AO15,0)</f>
        <v>0.0222398289061171</v>
      </c>
      <c r="M15" s="0" t="n">
        <f aca="false">IF(2_Utilité!AO15&gt;0,2_Utilité!M15/2_Utilité!AO15,0)</f>
        <v>0.124710610240427</v>
      </c>
      <c r="N15" s="0" t="n">
        <f aca="false">IF(2_Utilité!AO15&gt;0,2_Utilité!N15/2_Utilité!AO15,0)</f>
        <v>0.0159359036426875</v>
      </c>
      <c r="O15" s="0" t="n">
        <f aca="false">IF(2_Utilité!AO15&gt;0,2_Utilité!O15/2_Utilité!AO15,0)</f>
        <v>0.0510712251765109</v>
      </c>
      <c r="P15" s="0" t="n">
        <f aca="false">IF(2_Utilité!AO15&gt;0,2_Utilité!P15/2_Utilité!AO15,0)</f>
        <v>0.0251840772262976</v>
      </c>
      <c r="Q15" s="0" t="n">
        <f aca="false">IF(2_Utilité!AO15&gt;0,2_Utilité!Q15/2_Utilité!AO15,0)</f>
        <v>0.223235251104247</v>
      </c>
      <c r="R15" s="0" t="n">
        <f aca="false">IF(2_Utilité!AO15&gt;0,2_Utilité!R15/2_Utilité!AO15,0)</f>
        <v>0.029516910231891</v>
      </c>
      <c r="S15" s="0" t="n">
        <f aca="false">IF(2_Utilité!AO15&gt;0,2_Utilité!S15/2_Utilité!AO15,0)</f>
        <v>0.0215926900357157</v>
      </c>
      <c r="T15" s="0" t="n">
        <f aca="false">IF(2_Utilité!AO15&gt;0,2_Utilité!T15/2_Utilité!AO15,0)</f>
        <v>0.00364637558552445</v>
      </c>
      <c r="U15" s="0" t="n">
        <f aca="false">IF(2_Utilité!AO15&gt;0,2_Utilité!U15/2_Utilité!AO15,0)</f>
        <v>0.00578890265743218</v>
      </c>
      <c r="V15" s="0" t="n">
        <f aca="false">IF(2_Utilité!AO15&gt;0,2_Utilité!V15/2_Utilité!AO15,0)</f>
        <v>0</v>
      </c>
      <c r="W15" s="0" t="n">
        <f aca="false">IF(2_Utilité!AO15&gt;0,2_Utilité!W15/2_Utilité!AO15,0)</f>
        <v>0</v>
      </c>
      <c r="X15" s="0" t="n">
        <f aca="false">IF(2_Utilité!AO15&gt;0,2_Utilité!X15/2_Utilité!AO15,0)</f>
        <v>0</v>
      </c>
      <c r="Y15" s="0" t="n">
        <f aca="false">IF(2_Utilité!AO15&gt;0,2_Utilité!Y15/2_Utilité!AO15,0)</f>
        <v>0</v>
      </c>
      <c r="Z15" s="0" t="n">
        <f aca="false">IF(2_Utilité!AO15&gt;0,2_Utilité!Z15/2_Utilité!AO15,0)</f>
        <v>0</v>
      </c>
      <c r="AA15" s="0" t="n">
        <f aca="false">IF(2_Utilité!AO15&gt;0,2_Utilité!AA15/2_Utilité!AO15,0)</f>
        <v>0</v>
      </c>
      <c r="AB15" s="0" t="n">
        <f aca="false">IF(2_Utilité!AO15&gt;0,2_Utilité!AB15/2_Utilité!AO15,0)</f>
        <v>0.00147509706125801</v>
      </c>
      <c r="AC15" s="0" t="n">
        <f aca="false">IF(2_Utilité!AO15&gt;0,2_Utilité!AC15/2_Utilité!AO15,0)</f>
        <v>0</v>
      </c>
      <c r="AD15" s="0" t="n">
        <f aca="false">IF(2_Utilité!AO15&gt;0,2_Utilité!AD15/2_Utilité!AO15,0)</f>
        <v>0</v>
      </c>
      <c r="AE15" s="0" t="n">
        <f aca="false">IF(2_Utilité!AO15&gt;0,2_Utilité!AE15/2_Utilité!AO15,0)</f>
        <v>0</v>
      </c>
      <c r="AF15" s="0" t="n">
        <f aca="false">IF(2_Utilité!AO15&gt;0,2_Utilité!AF15/2_Utilité!AO15,0)</f>
        <v>0</v>
      </c>
      <c r="AG15" s="0" t="n">
        <f aca="false">IF(2_Utilité!AO15&gt;0,2_Utilité!AG15/2_Utilité!AO15,0)</f>
        <v>0</v>
      </c>
      <c r="AH15" s="0" t="n">
        <f aca="false">IF(2_Utilité!AO15&gt;0,2_Utilité!AH15/2_Utilité!AO15,0)</f>
        <v>0.0758665872737194</v>
      </c>
      <c r="AI15" s="0" t="n">
        <f aca="false">IF(2_Utilité!AO15&gt;0,2_Utilité!AI15/2_Utilité!AO15,0)</f>
        <v>0.00155428540661696</v>
      </c>
      <c r="AJ15" s="0" t="n">
        <f aca="false">IF(2_Utilité!AO15&gt;0,2_Utilité!AJ15/2_Utilité!AO15,0)</f>
        <v>0</v>
      </c>
      <c r="AK15" s="0" t="n">
        <f aca="false">IF(2_Utilité!AO15&gt;0,2_Utilité!AK15/2_Utilité!AO15,0)</f>
        <v>0</v>
      </c>
      <c r="AL15" s="0" t="n">
        <f aca="false">IF(2_Utilité!AO15&gt;0,2_Utilité!AL15/2_Utilité!AO15,0)</f>
        <v>0</v>
      </c>
      <c r="AM15" s="49" t="n">
        <f aca="false">IF(2_Utilité!AO15&gt;0,2_Utilité!AM15/2_Utilité!AO15,0)</f>
        <v>0.00693034911052323</v>
      </c>
      <c r="AN15" s="43" t="n">
        <f aca="false">IF(2_Utilité!AO15&gt;0,2_Utilité!AN15/2_Utilité!AO15,0)</f>
        <v>0</v>
      </c>
      <c r="AO15" s="43" t="n">
        <f aca="false">SUM(C15:AN15)</f>
        <v>1</v>
      </c>
      <c r="AP15" s="43" t="n">
        <f aca="false">COUNTIF(Matrice_OD!$C15:$AN15,"&lt;="&amp;Param!$B$2)</f>
        <v>23</v>
      </c>
    </row>
    <row r="16" customFormat="false" ht="15" hidden="false" customHeight="true" outlineLevel="0" collapsed="false">
      <c r="A16" s="0" t="s">
        <v>130</v>
      </c>
      <c r="B16" s="0" t="s">
        <v>131</v>
      </c>
      <c r="C16" s="0" t="n">
        <f aca="false">IF(2_Utilité!AO16&gt;0,2_Utilité!C16/2_Utilité!AO16,0)</f>
        <v>0</v>
      </c>
      <c r="D16" s="0" t="n">
        <f aca="false">IF(2_Utilité!AO16&gt;0,2_Utilité!D16/2_Utilité!AO16,0)</f>
        <v>0.0103793419189189</v>
      </c>
      <c r="E16" s="0" t="n">
        <f aca="false">IF(2_Utilité!AO16&gt;0,2_Utilité!E16/2_Utilité!AO16,0)</f>
        <v>0.117825794762664</v>
      </c>
      <c r="F16" s="0" t="n">
        <f aca="false">IF(2_Utilité!AO16&gt;0,2_Utilité!F16/2_Utilité!AO16,0)</f>
        <v>0.0216763120645893</v>
      </c>
      <c r="G16" s="0" t="n">
        <f aca="false">IF(2_Utilité!AO16&gt;0,2_Utilité!G16/2_Utilité!AO16,0)</f>
        <v>0.0604584240875929</v>
      </c>
      <c r="H16" s="0" t="n">
        <f aca="false">IF(2_Utilité!AO16&gt;0,2_Utilité!H16/2_Utilité!AO16,0)</f>
        <v>0.01637108329034</v>
      </c>
      <c r="I16" s="0" t="n">
        <f aca="false">IF(2_Utilité!AO16&gt;0,2_Utilité!I16/2_Utilité!AO16,0)</f>
        <v>0.0371906877251988</v>
      </c>
      <c r="J16" s="0" t="n">
        <f aca="false">IF(2_Utilité!AO16&gt;0,2_Utilité!J16/2_Utilité!AO16,0)</f>
        <v>0.0282247351492235</v>
      </c>
      <c r="K16" s="0" t="n">
        <f aca="false">IF(2_Utilité!AO16&gt;0,2_Utilité!K16/2_Utilité!AO16,0)</f>
        <v>0.016699712859578</v>
      </c>
      <c r="L16" s="0" t="n">
        <f aca="false">IF(2_Utilité!AO16&gt;0,2_Utilité!L16/2_Utilité!AO16,0)</f>
        <v>0.0186371710638491</v>
      </c>
      <c r="M16" s="0" t="n">
        <f aca="false">IF(2_Utilité!AO16&gt;0,2_Utilité!M16/2_Utilité!AO16,0)</f>
        <v>0.108733813702094</v>
      </c>
      <c r="N16" s="0" t="n">
        <f aca="false">IF(2_Utilité!AO16&gt;0,2_Utilité!N16/2_Utilité!AO16,0)</f>
        <v>0.0131036901466784</v>
      </c>
      <c r="O16" s="0" t="n">
        <f aca="false">IF(2_Utilité!AO16&gt;0,2_Utilité!O16/2_Utilité!AO16,0)</f>
        <v>0.0422315478221741</v>
      </c>
      <c r="P16" s="0" t="n">
        <f aca="false">IF(2_Utilité!AO16&gt;0,2_Utilité!P16/2_Utilité!AO16,0)</f>
        <v>0.0210905149968091</v>
      </c>
      <c r="Q16" s="0" t="n">
        <f aca="false">IF(2_Utilité!AO16&gt;0,2_Utilité!Q16/2_Utilité!AO16,0)</f>
        <v>0.187490770012502</v>
      </c>
      <c r="R16" s="0" t="n">
        <f aca="false">IF(2_Utilité!AO16&gt;0,2_Utilité!R16/2_Utilité!AO16,0)</f>
        <v>0.0246270816511674</v>
      </c>
      <c r="S16" s="0" t="n">
        <f aca="false">IF(2_Utilité!AO16&gt;0,2_Utilité!S16/2_Utilité!AO16,0)</f>
        <v>0.0176671857097815</v>
      </c>
      <c r="T16" s="0" t="n">
        <f aca="false">IF(2_Utilité!AO16&gt;0,2_Utilité!T16/2_Utilité!AO16,0)</f>
        <v>0.00875300913527868</v>
      </c>
      <c r="U16" s="0" t="n">
        <f aca="false">IF(2_Utilité!AO16&gt;0,2_Utilité!U16/2_Utilité!AO16,0)</f>
        <v>0.0139190671417607</v>
      </c>
      <c r="V16" s="0" t="n">
        <f aca="false">IF(2_Utilité!AO16&gt;0,2_Utilité!V16/2_Utilité!AO16,0)</f>
        <v>0</v>
      </c>
      <c r="W16" s="0" t="n">
        <f aca="false">IF(2_Utilité!AO16&gt;0,2_Utilité!W16/2_Utilité!AO16,0)</f>
        <v>0</v>
      </c>
      <c r="X16" s="0" t="n">
        <f aca="false">IF(2_Utilité!AO16&gt;0,2_Utilité!X16/2_Utilité!AO16,0)</f>
        <v>0</v>
      </c>
      <c r="Y16" s="0" t="n">
        <f aca="false">IF(2_Utilité!AO16&gt;0,2_Utilité!Y16/2_Utilité!AO16,0)</f>
        <v>0</v>
      </c>
      <c r="Z16" s="0" t="n">
        <f aca="false">IF(2_Utilité!AO16&gt;0,2_Utilité!Z16/2_Utilité!AO16,0)</f>
        <v>0</v>
      </c>
      <c r="AA16" s="0" t="n">
        <f aca="false">IF(2_Utilité!AO16&gt;0,2_Utilité!AA16/2_Utilité!AO16,0)</f>
        <v>0</v>
      </c>
      <c r="AB16" s="0" t="n">
        <f aca="false">IF(2_Utilité!AO16&gt;0,2_Utilité!AB16/2_Utilité!AO16,0)</f>
        <v>0</v>
      </c>
      <c r="AC16" s="0" t="n">
        <f aca="false">IF(2_Utilité!AO16&gt;0,2_Utilité!AC16/2_Utilité!AO16,0)</f>
        <v>0.00686709326782979</v>
      </c>
      <c r="AD16" s="0" t="n">
        <f aca="false">IF(2_Utilité!AO16&gt;0,2_Utilité!AD16/2_Utilité!AO16,0)</f>
        <v>0.0333168181366049</v>
      </c>
      <c r="AE16" s="0" t="n">
        <f aca="false">IF(2_Utilité!AO16&gt;0,2_Utilité!AE16/2_Utilité!AO16,0)</f>
        <v>0.0188633798126909</v>
      </c>
      <c r="AF16" s="0" t="n">
        <f aca="false">IF(2_Utilité!AO16&gt;0,2_Utilité!AF16/2_Utilité!AO16,0)</f>
        <v>0.0124951851197419</v>
      </c>
      <c r="AG16" s="0" t="n">
        <f aca="false">IF(2_Utilité!AO16&gt;0,2_Utilité!AG16/2_Utilité!AO16,0)</f>
        <v>0</v>
      </c>
      <c r="AH16" s="0" t="n">
        <f aca="false">IF(2_Utilité!AO16&gt;0,2_Utilité!AH16/2_Utilité!AO16,0)</f>
        <v>0.0652988291915627</v>
      </c>
      <c r="AI16" s="0" t="n">
        <f aca="false">IF(2_Utilité!AO16&gt;0,2_Utilité!AI16/2_Utilité!AO16,0)</f>
        <v>0.00370332951158602</v>
      </c>
      <c r="AJ16" s="0" t="n">
        <f aca="false">IF(2_Utilité!AO16&gt;0,2_Utilité!AJ16/2_Utilité!AO16,0)</f>
        <v>0</v>
      </c>
      <c r="AK16" s="0" t="n">
        <f aca="false">IF(2_Utilité!AO16&gt;0,2_Utilité!AK16/2_Utilité!AO16,0)</f>
        <v>0.0318103341065314</v>
      </c>
      <c r="AL16" s="0" t="n">
        <f aca="false">IF(2_Utilité!AO16&gt;0,2_Utilité!AL16/2_Utilité!AO16,0)</f>
        <v>0.0625650876132522</v>
      </c>
      <c r="AM16" s="48" t="n">
        <f aca="false">IF(2_Utilité!AO16&gt;0,2_Utilité!AM16/2_Utilité!AO16,0)</f>
        <v>0</v>
      </c>
      <c r="AN16" s="43" t="n">
        <f aca="false">IF(2_Utilité!AO16&gt;0,2_Utilité!AN16/2_Utilité!AO16,0)</f>
        <v>0</v>
      </c>
      <c r="AO16" s="43" t="n">
        <f aca="false">SUM(C16:AN16)</f>
        <v>1</v>
      </c>
      <c r="AP16" s="43" t="n">
        <f aca="false">COUNTIF(Matrice_OD!$C16:$AN16,"&lt;="&amp;Param!$B$2)</f>
        <v>26</v>
      </c>
    </row>
    <row r="17" customFormat="false" ht="15" hidden="false" customHeight="true" outlineLevel="0" collapsed="false">
      <c r="A17" s="0" t="s">
        <v>132</v>
      </c>
      <c r="B17" s="0" t="s">
        <v>133</v>
      </c>
      <c r="C17" s="0" t="n">
        <f aca="false">IF(2_Utilité!AO17&gt;0,2_Utilité!C17/2_Utilité!AO17,0)</f>
        <v>0</v>
      </c>
      <c r="D17" s="0" t="n">
        <f aca="false">IF(2_Utilité!AO17&gt;0,2_Utilité!D17/2_Utilité!AO17,0)</f>
        <v>0</v>
      </c>
      <c r="E17" s="0" t="n">
        <f aca="false">IF(2_Utilité!AO17&gt;0,2_Utilité!E17/2_Utilité!AO17,0)</f>
        <v>0</v>
      </c>
      <c r="F17" s="0" t="n">
        <f aca="false">IF(2_Utilité!AO17&gt;0,2_Utilité!F17/2_Utilité!AO17,0)</f>
        <v>0</v>
      </c>
      <c r="G17" s="0" t="n">
        <f aca="false">IF(2_Utilité!AO17&gt;0,2_Utilité!G17/2_Utilité!AO17,0)</f>
        <v>0</v>
      </c>
      <c r="H17" s="0" t="n">
        <f aca="false">IF(2_Utilité!AO17&gt;0,2_Utilité!H17/2_Utilité!AO17,0)</f>
        <v>0</v>
      </c>
      <c r="I17" s="0" t="n">
        <f aca="false">IF(2_Utilité!AO17&gt;0,2_Utilité!I17/2_Utilité!AO17,0)</f>
        <v>0</v>
      </c>
      <c r="J17" s="0" t="n">
        <f aca="false">IF(2_Utilité!AO17&gt;0,2_Utilité!J17/2_Utilité!AO17,0)</f>
        <v>0</v>
      </c>
      <c r="K17" s="0" t="n">
        <f aca="false">IF(2_Utilité!AO17&gt;0,2_Utilité!K17/2_Utilité!AO17,0)</f>
        <v>0</v>
      </c>
      <c r="L17" s="0" t="n">
        <f aca="false">IF(2_Utilité!AO17&gt;0,2_Utilité!L17/2_Utilité!AO17,0)</f>
        <v>0</v>
      </c>
      <c r="M17" s="0" t="n">
        <f aca="false">IF(2_Utilité!AO17&gt;0,2_Utilité!M17/2_Utilité!AO17,0)</f>
        <v>0</v>
      </c>
      <c r="N17" s="0" t="n">
        <f aca="false">IF(2_Utilité!AO17&gt;0,2_Utilité!N17/2_Utilité!AO17,0)</f>
        <v>0</v>
      </c>
      <c r="O17" s="0" t="n">
        <f aca="false">IF(2_Utilité!AO17&gt;0,2_Utilité!O17/2_Utilité!AO17,0)</f>
        <v>0</v>
      </c>
      <c r="P17" s="0" t="n">
        <f aca="false">IF(2_Utilité!AO17&gt;0,2_Utilité!P17/2_Utilité!AO17,0)</f>
        <v>0</v>
      </c>
      <c r="Q17" s="0" t="n">
        <f aca="false">IF(2_Utilité!AO17&gt;0,2_Utilité!Q17/2_Utilité!AO17,0)</f>
        <v>0</v>
      </c>
      <c r="R17" s="0" t="n">
        <f aca="false">IF(2_Utilité!AO17&gt;0,2_Utilité!R17/2_Utilité!AO17,0)</f>
        <v>0</v>
      </c>
      <c r="S17" s="0" t="n">
        <f aca="false">IF(2_Utilité!AO17&gt;0,2_Utilité!S17/2_Utilité!AO17,0)</f>
        <v>0</v>
      </c>
      <c r="T17" s="0" t="n">
        <f aca="false">IF(2_Utilité!AO17&gt;0,2_Utilité!T17/2_Utilité!AO17,0)</f>
        <v>0</v>
      </c>
      <c r="U17" s="0" t="n">
        <f aca="false">IF(2_Utilité!AO17&gt;0,2_Utilité!U17/2_Utilité!AO17,0)</f>
        <v>0</v>
      </c>
      <c r="V17" s="0" t="n">
        <f aca="false">IF(2_Utilité!AO17&gt;0,2_Utilité!V17/2_Utilité!AO17,0)</f>
        <v>0</v>
      </c>
      <c r="W17" s="0" t="n">
        <f aca="false">IF(2_Utilité!AO17&gt;0,2_Utilité!W17/2_Utilité!AO17,0)</f>
        <v>0</v>
      </c>
      <c r="X17" s="0" t="n">
        <f aca="false">IF(2_Utilité!AO17&gt;0,2_Utilité!X17/2_Utilité!AO17,0)</f>
        <v>0</v>
      </c>
      <c r="Y17" s="0" t="n">
        <f aca="false">IF(2_Utilité!AO17&gt;0,2_Utilité!Y17/2_Utilité!AO17,0)</f>
        <v>0</v>
      </c>
      <c r="Z17" s="0" t="n">
        <f aca="false">IF(2_Utilité!AO17&gt;0,2_Utilité!Z17/2_Utilité!AO17,0)</f>
        <v>0</v>
      </c>
      <c r="AA17" s="0" t="n">
        <f aca="false">IF(2_Utilité!AO17&gt;0,2_Utilité!AA17/2_Utilité!AO17,0)</f>
        <v>0</v>
      </c>
      <c r="AB17" s="0" t="n">
        <f aca="false">IF(2_Utilité!AO17&gt;0,2_Utilité!AB17/2_Utilité!AO17,0)</f>
        <v>0</v>
      </c>
      <c r="AC17" s="0" t="n">
        <f aca="false">IF(2_Utilité!AO17&gt;0,2_Utilité!AC17/2_Utilité!AO17,0)</f>
        <v>0</v>
      </c>
      <c r="AD17" s="0" t="n">
        <f aca="false">IF(2_Utilité!AO17&gt;0,2_Utilité!AD17/2_Utilité!AO17,0)</f>
        <v>0</v>
      </c>
      <c r="AE17" s="0" t="n">
        <f aca="false">IF(2_Utilité!AO17&gt;0,2_Utilité!AE17/2_Utilité!AO17,0)</f>
        <v>0</v>
      </c>
      <c r="AF17" s="0" t="n">
        <f aca="false">IF(2_Utilité!AO17&gt;0,2_Utilité!AF17/2_Utilité!AO17,0)</f>
        <v>0</v>
      </c>
      <c r="AG17" s="0" t="n">
        <f aca="false">IF(2_Utilité!AO17&gt;0,2_Utilité!AG17/2_Utilité!AO17,0)</f>
        <v>0</v>
      </c>
      <c r="AH17" s="0" t="n">
        <f aca="false">IF(2_Utilité!AO17&gt;0,2_Utilité!AH17/2_Utilité!AO17,0)</f>
        <v>0</v>
      </c>
      <c r="AI17" s="0" t="n">
        <f aca="false">IF(2_Utilité!AO17&gt;0,2_Utilité!AI17/2_Utilité!AO17,0)</f>
        <v>0</v>
      </c>
      <c r="AJ17" s="0" t="n">
        <f aca="false">IF(2_Utilité!AO17&gt;0,2_Utilité!AJ17/2_Utilité!AO17,0)</f>
        <v>0</v>
      </c>
      <c r="AK17" s="0" t="n">
        <f aca="false">IF(2_Utilité!AO17&gt;0,2_Utilité!AK17/2_Utilité!AO17,0)</f>
        <v>0</v>
      </c>
      <c r="AL17" s="0" t="n">
        <f aca="false">IF(2_Utilité!AO17&gt;0,2_Utilité!AL17/2_Utilité!AO17,0)</f>
        <v>0</v>
      </c>
      <c r="AM17" s="49" t="n">
        <f aca="false">IF(2_Utilité!AO17&gt;0,2_Utilité!AM17/2_Utilité!AO17,0)</f>
        <v>0</v>
      </c>
      <c r="AN17" s="43" t="n">
        <f aca="false">IF(2_Utilité!AO17&gt;0,2_Utilité!AN17/2_Utilité!AO17,0)</f>
        <v>0</v>
      </c>
      <c r="AO17" s="43" t="n">
        <f aca="false">SUM(C17:AN17)</f>
        <v>0</v>
      </c>
      <c r="AP17" s="43" t="n">
        <f aca="false">COUNTIF(Matrice_OD!$C17:$AN17,"&lt;="&amp;Param!$B$2)</f>
        <v>0</v>
      </c>
    </row>
    <row r="18" customFormat="false" ht="15" hidden="false" customHeight="true" outlineLevel="0" collapsed="false">
      <c r="A18" s="0" t="s">
        <v>134</v>
      </c>
      <c r="B18" s="0" t="s">
        <v>135</v>
      </c>
      <c r="C18" s="0" t="n">
        <f aca="false">IF(2_Utilité!AO18&gt;0,2_Utilité!C18/2_Utilité!AO18,0)</f>
        <v>0</v>
      </c>
      <c r="D18" s="0" t="n">
        <f aca="false">IF(2_Utilité!AO18&gt;0,2_Utilité!D18/2_Utilité!AO18,0)</f>
        <v>0</v>
      </c>
      <c r="E18" s="0" t="n">
        <f aca="false">IF(2_Utilité!AO18&gt;0,2_Utilité!E18/2_Utilité!AO18,0)</f>
        <v>0</v>
      </c>
      <c r="F18" s="0" t="n">
        <f aca="false">IF(2_Utilité!AO18&gt;0,2_Utilité!F18/2_Utilité!AO18,0)</f>
        <v>0</v>
      </c>
      <c r="G18" s="0" t="n">
        <f aca="false">IF(2_Utilité!AO18&gt;0,2_Utilité!G18/2_Utilité!AO18,0)</f>
        <v>0</v>
      </c>
      <c r="H18" s="0" t="n">
        <f aca="false">IF(2_Utilité!AO18&gt;0,2_Utilité!H18/2_Utilité!AO18,0)</f>
        <v>0</v>
      </c>
      <c r="I18" s="0" t="n">
        <f aca="false">IF(2_Utilité!AO18&gt;0,2_Utilité!I18/2_Utilité!AO18,0)</f>
        <v>0</v>
      </c>
      <c r="J18" s="0" t="n">
        <f aca="false">IF(2_Utilité!AO18&gt;0,2_Utilité!J18/2_Utilité!AO18,0)</f>
        <v>0</v>
      </c>
      <c r="K18" s="0" t="n">
        <f aca="false">IF(2_Utilité!AO18&gt;0,2_Utilité!K18/2_Utilité!AO18,0)</f>
        <v>0</v>
      </c>
      <c r="L18" s="0" t="n">
        <f aca="false">IF(2_Utilité!AO18&gt;0,2_Utilité!L18/2_Utilité!AO18,0)</f>
        <v>0</v>
      </c>
      <c r="M18" s="0" t="n">
        <f aca="false">IF(2_Utilité!AO18&gt;0,2_Utilité!M18/2_Utilité!AO18,0)</f>
        <v>0</v>
      </c>
      <c r="N18" s="0" t="n">
        <f aca="false">IF(2_Utilité!AO18&gt;0,2_Utilité!N18/2_Utilité!AO18,0)</f>
        <v>0</v>
      </c>
      <c r="O18" s="0" t="n">
        <f aca="false">IF(2_Utilité!AO18&gt;0,2_Utilité!O18/2_Utilité!AO18,0)</f>
        <v>0</v>
      </c>
      <c r="P18" s="0" t="n">
        <f aca="false">IF(2_Utilité!AO18&gt;0,2_Utilité!P18/2_Utilité!AO18,0)</f>
        <v>0</v>
      </c>
      <c r="Q18" s="0" t="n">
        <f aca="false">IF(2_Utilité!AO18&gt;0,2_Utilité!Q18/2_Utilité!AO18,0)</f>
        <v>0</v>
      </c>
      <c r="R18" s="0" t="n">
        <f aca="false">IF(2_Utilité!AO18&gt;0,2_Utilité!R18/2_Utilité!AO18,0)</f>
        <v>0</v>
      </c>
      <c r="S18" s="0" t="n">
        <f aca="false">IF(2_Utilité!AO18&gt;0,2_Utilité!S18/2_Utilité!AO18,0)</f>
        <v>0</v>
      </c>
      <c r="T18" s="0" t="n">
        <f aca="false">IF(2_Utilité!AO18&gt;0,2_Utilité!T18/2_Utilité!AO18,0)</f>
        <v>0</v>
      </c>
      <c r="U18" s="0" t="n">
        <f aca="false">IF(2_Utilité!AO18&gt;0,2_Utilité!U18/2_Utilité!AO18,0)</f>
        <v>0</v>
      </c>
      <c r="V18" s="0" t="n">
        <f aca="false">IF(2_Utilité!AO18&gt;0,2_Utilité!V18/2_Utilité!AO18,0)</f>
        <v>0</v>
      </c>
      <c r="W18" s="0" t="n">
        <f aca="false">IF(2_Utilité!AO18&gt;0,2_Utilité!W18/2_Utilité!AO18,0)</f>
        <v>0</v>
      </c>
      <c r="X18" s="0" t="n">
        <f aca="false">IF(2_Utilité!AO18&gt;0,2_Utilité!X18/2_Utilité!AO18,0)</f>
        <v>0</v>
      </c>
      <c r="Y18" s="0" t="n">
        <f aca="false">IF(2_Utilité!AO18&gt;0,2_Utilité!Y18/2_Utilité!AO18,0)</f>
        <v>0</v>
      </c>
      <c r="Z18" s="0" t="n">
        <f aca="false">IF(2_Utilité!AO18&gt;0,2_Utilité!Z18/2_Utilité!AO18,0)</f>
        <v>0</v>
      </c>
      <c r="AA18" s="0" t="n">
        <f aca="false">IF(2_Utilité!AO18&gt;0,2_Utilité!AA18/2_Utilité!AO18,0)</f>
        <v>0</v>
      </c>
      <c r="AB18" s="0" t="n">
        <f aca="false">IF(2_Utilité!AO18&gt;0,2_Utilité!AB18/2_Utilité!AO18,0)</f>
        <v>0</v>
      </c>
      <c r="AC18" s="0" t="n">
        <f aca="false">IF(2_Utilité!AO18&gt;0,2_Utilité!AC18/2_Utilité!AO18,0)</f>
        <v>0</v>
      </c>
      <c r="AD18" s="0" t="n">
        <f aca="false">IF(2_Utilité!AO18&gt;0,2_Utilité!AD18/2_Utilité!AO18,0)</f>
        <v>0</v>
      </c>
      <c r="AE18" s="0" t="n">
        <f aca="false">IF(2_Utilité!AO18&gt;0,2_Utilité!AE18/2_Utilité!AO18,0)</f>
        <v>0</v>
      </c>
      <c r="AF18" s="0" t="n">
        <f aca="false">IF(2_Utilité!AO18&gt;0,2_Utilité!AF18/2_Utilité!AO18,0)</f>
        <v>0</v>
      </c>
      <c r="AG18" s="0" t="n">
        <f aca="false">IF(2_Utilité!AO18&gt;0,2_Utilité!AG18/2_Utilité!AO18,0)</f>
        <v>0</v>
      </c>
      <c r="AH18" s="0" t="n">
        <f aca="false">IF(2_Utilité!AO18&gt;0,2_Utilité!AH18/2_Utilité!AO18,0)</f>
        <v>0</v>
      </c>
      <c r="AI18" s="0" t="n">
        <f aca="false">IF(2_Utilité!AO18&gt;0,2_Utilité!AI18/2_Utilité!AO18,0)</f>
        <v>0</v>
      </c>
      <c r="AJ18" s="0" t="n">
        <f aca="false">IF(2_Utilité!AO18&gt;0,2_Utilité!AJ18/2_Utilité!AO18,0)</f>
        <v>0</v>
      </c>
      <c r="AK18" s="0" t="n">
        <f aca="false">IF(2_Utilité!AO18&gt;0,2_Utilité!AK18/2_Utilité!AO18,0)</f>
        <v>0</v>
      </c>
      <c r="AL18" s="0" t="n">
        <f aca="false">IF(2_Utilité!AO18&gt;0,2_Utilité!AL18/2_Utilité!AO18,0)</f>
        <v>0</v>
      </c>
      <c r="AM18" s="48" t="n">
        <f aca="false">IF(2_Utilité!AO18&gt;0,2_Utilité!AM18/2_Utilité!AO18,0)</f>
        <v>0</v>
      </c>
      <c r="AN18" s="43" t="n">
        <f aca="false">IF(2_Utilité!AO18&gt;0,2_Utilité!AN18/2_Utilité!AO18,0)</f>
        <v>0</v>
      </c>
      <c r="AO18" s="43" t="n">
        <f aca="false">SUM(C18:AN18)</f>
        <v>0</v>
      </c>
      <c r="AP18" s="43" t="n">
        <f aca="false">COUNTIF(Matrice_OD!$C18:$AN18,"&lt;="&amp;Param!$B$2)</f>
        <v>0</v>
      </c>
    </row>
    <row r="19" customFormat="false" ht="15" hidden="false" customHeight="true" outlineLevel="0" collapsed="false">
      <c r="A19" s="0" t="s">
        <v>136</v>
      </c>
      <c r="B19" s="0" t="s">
        <v>137</v>
      </c>
      <c r="C19" s="0" t="n">
        <f aca="false">IF(2_Utilité!AO19&gt;0,2_Utilité!C19/2_Utilité!AO19,0)</f>
        <v>0</v>
      </c>
      <c r="D19" s="0" t="n">
        <f aca="false">IF(2_Utilité!AO19&gt;0,2_Utilité!D19/2_Utilité!AO19,0)</f>
        <v>0</v>
      </c>
      <c r="E19" s="0" t="n">
        <f aca="false">IF(2_Utilité!AO19&gt;0,2_Utilité!E19/2_Utilité!AO19,0)</f>
        <v>0</v>
      </c>
      <c r="F19" s="0" t="n">
        <f aca="false">IF(2_Utilité!AO19&gt;0,2_Utilité!F19/2_Utilité!AO19,0)</f>
        <v>0</v>
      </c>
      <c r="G19" s="0" t="n">
        <f aca="false">IF(2_Utilité!AO19&gt;0,2_Utilité!G19/2_Utilité!AO19,0)</f>
        <v>0</v>
      </c>
      <c r="H19" s="0" t="n">
        <f aca="false">IF(2_Utilité!AO19&gt;0,2_Utilité!H19/2_Utilité!AO19,0)</f>
        <v>0</v>
      </c>
      <c r="I19" s="0" t="n">
        <f aca="false">IF(2_Utilité!AO19&gt;0,2_Utilité!I19/2_Utilité!AO19,0)</f>
        <v>0</v>
      </c>
      <c r="J19" s="0" t="n">
        <f aca="false">IF(2_Utilité!AO19&gt;0,2_Utilité!J19/2_Utilité!AO19,0)</f>
        <v>0</v>
      </c>
      <c r="K19" s="0" t="n">
        <f aca="false">IF(2_Utilité!AO19&gt;0,2_Utilité!K19/2_Utilité!AO19,0)</f>
        <v>0</v>
      </c>
      <c r="L19" s="0" t="n">
        <f aca="false">IF(2_Utilité!AO19&gt;0,2_Utilité!L19/2_Utilité!AO19,0)</f>
        <v>0</v>
      </c>
      <c r="M19" s="0" t="n">
        <f aca="false">IF(2_Utilité!AO19&gt;0,2_Utilité!M19/2_Utilité!AO19,0)</f>
        <v>0</v>
      </c>
      <c r="N19" s="0" t="n">
        <f aca="false">IF(2_Utilité!AO19&gt;0,2_Utilité!N19/2_Utilité!AO19,0)</f>
        <v>0</v>
      </c>
      <c r="O19" s="0" t="n">
        <f aca="false">IF(2_Utilité!AO19&gt;0,2_Utilité!O19/2_Utilité!AO19,0)</f>
        <v>0</v>
      </c>
      <c r="P19" s="0" t="n">
        <f aca="false">IF(2_Utilité!AO19&gt;0,2_Utilité!P19/2_Utilité!AO19,0)</f>
        <v>0</v>
      </c>
      <c r="Q19" s="0" t="n">
        <f aca="false">IF(2_Utilité!AO19&gt;0,2_Utilité!Q19/2_Utilité!AO19,0)</f>
        <v>0</v>
      </c>
      <c r="R19" s="0" t="n">
        <f aca="false">IF(2_Utilité!AO19&gt;0,2_Utilité!R19/2_Utilité!AO19,0)</f>
        <v>0</v>
      </c>
      <c r="S19" s="0" t="n">
        <f aca="false">IF(2_Utilité!AO19&gt;0,2_Utilité!S19/2_Utilité!AO19,0)</f>
        <v>0</v>
      </c>
      <c r="T19" s="0" t="n">
        <f aca="false">IF(2_Utilité!AO19&gt;0,2_Utilité!T19/2_Utilité!AO19,0)</f>
        <v>0</v>
      </c>
      <c r="U19" s="0" t="n">
        <f aca="false">IF(2_Utilité!AO19&gt;0,2_Utilité!U19/2_Utilité!AO19,0)</f>
        <v>0</v>
      </c>
      <c r="V19" s="0" t="n">
        <f aca="false">IF(2_Utilité!AO19&gt;0,2_Utilité!V19/2_Utilité!AO19,0)</f>
        <v>0</v>
      </c>
      <c r="W19" s="0" t="n">
        <f aca="false">IF(2_Utilité!AO19&gt;0,2_Utilité!W19/2_Utilité!AO19,0)</f>
        <v>0</v>
      </c>
      <c r="X19" s="0" t="n">
        <f aca="false">IF(2_Utilité!AO19&gt;0,2_Utilité!X19/2_Utilité!AO19,0)</f>
        <v>0</v>
      </c>
      <c r="Y19" s="0" t="n">
        <f aca="false">IF(2_Utilité!AO19&gt;0,2_Utilité!Y19/2_Utilité!AO19,0)</f>
        <v>0</v>
      </c>
      <c r="Z19" s="0" t="n">
        <f aca="false">IF(2_Utilité!AO19&gt;0,2_Utilité!Z19/2_Utilité!AO19,0)</f>
        <v>0</v>
      </c>
      <c r="AA19" s="0" t="n">
        <f aca="false">IF(2_Utilité!AO19&gt;0,2_Utilité!AA19/2_Utilité!AO19,0)</f>
        <v>0</v>
      </c>
      <c r="AB19" s="0" t="n">
        <f aca="false">IF(2_Utilité!AO19&gt;0,2_Utilité!AB19/2_Utilité!AO19,0)</f>
        <v>0</v>
      </c>
      <c r="AC19" s="0" t="n">
        <f aca="false">IF(2_Utilité!AO19&gt;0,2_Utilité!AC19/2_Utilité!AO19,0)</f>
        <v>0</v>
      </c>
      <c r="AD19" s="0" t="n">
        <f aca="false">IF(2_Utilité!AO19&gt;0,2_Utilité!AD19/2_Utilité!AO19,0)</f>
        <v>0</v>
      </c>
      <c r="AE19" s="0" t="n">
        <f aca="false">IF(2_Utilité!AO19&gt;0,2_Utilité!AE19/2_Utilité!AO19,0)</f>
        <v>0</v>
      </c>
      <c r="AF19" s="0" t="n">
        <f aca="false">IF(2_Utilité!AO19&gt;0,2_Utilité!AF19/2_Utilité!AO19,0)</f>
        <v>0</v>
      </c>
      <c r="AG19" s="0" t="n">
        <f aca="false">IF(2_Utilité!AO19&gt;0,2_Utilité!AG19/2_Utilité!AO19,0)</f>
        <v>0</v>
      </c>
      <c r="AH19" s="0" t="n">
        <f aca="false">IF(2_Utilité!AO19&gt;0,2_Utilité!AH19/2_Utilité!AO19,0)</f>
        <v>0</v>
      </c>
      <c r="AI19" s="0" t="n">
        <f aca="false">IF(2_Utilité!AO19&gt;0,2_Utilité!AI19/2_Utilité!AO19,0)</f>
        <v>0</v>
      </c>
      <c r="AJ19" s="0" t="n">
        <f aca="false">IF(2_Utilité!AO19&gt;0,2_Utilité!AJ19/2_Utilité!AO19,0)</f>
        <v>0</v>
      </c>
      <c r="AK19" s="0" t="n">
        <f aca="false">IF(2_Utilité!AO19&gt;0,2_Utilité!AK19/2_Utilité!AO19,0)</f>
        <v>0</v>
      </c>
      <c r="AL19" s="0" t="n">
        <f aca="false">IF(2_Utilité!AO19&gt;0,2_Utilité!AL19/2_Utilité!AO19,0)</f>
        <v>0</v>
      </c>
      <c r="AM19" s="49" t="n">
        <f aca="false">IF(2_Utilité!AO19&gt;0,2_Utilité!AM19/2_Utilité!AO19,0)</f>
        <v>0</v>
      </c>
      <c r="AN19" s="43" t="n">
        <f aca="false">IF(2_Utilité!AO19&gt;0,2_Utilité!AN19/2_Utilité!AO19,0)</f>
        <v>0</v>
      </c>
      <c r="AO19" s="43" t="n">
        <f aca="false">SUM(C19:AN19)</f>
        <v>0</v>
      </c>
      <c r="AP19" s="43" t="n">
        <f aca="false">COUNTIF(Matrice_OD!$C19:$AN19,"&lt;="&amp;Param!$B$2)</f>
        <v>0</v>
      </c>
    </row>
    <row r="20" customFormat="false" ht="15" hidden="false" customHeight="true" outlineLevel="0" collapsed="false">
      <c r="A20" s="0" t="s">
        <v>138</v>
      </c>
      <c r="B20" s="0" t="s">
        <v>139</v>
      </c>
      <c r="C20" s="0" t="n">
        <f aca="false">IF(2_Utilité!AO20&gt;0,2_Utilité!C20/2_Utilité!AO20,0)</f>
        <v>0.0030942817357471</v>
      </c>
      <c r="D20" s="0" t="n">
        <f aca="false">IF(2_Utilité!AO20&gt;0,2_Utilité!D20/2_Utilité!AO20,0)</f>
        <v>0.0121923439160894</v>
      </c>
      <c r="E20" s="0" t="n">
        <f aca="false">IF(2_Utilité!AO20&gt;0,2_Utilité!E20/2_Utilité!AO20,0)</f>
        <v>0.13699068822873</v>
      </c>
      <c r="F20" s="0" t="n">
        <f aca="false">IF(2_Utilité!AO20&gt;0,2_Utilité!F20/2_Utilité!AO20,0)</f>
        <v>0.0249618861317841</v>
      </c>
      <c r="G20" s="0" t="n">
        <f aca="false">IF(2_Utilité!AO20&gt;0,2_Utilité!G20/2_Utilité!AO20,0)</f>
        <v>0.0702878178124422</v>
      </c>
      <c r="H20" s="0" t="n">
        <f aca="false">IF(2_Utilité!AO20&gt;0,2_Utilité!H20/2_Utilité!AO20,0)</f>
        <v>0.0175671874671739</v>
      </c>
      <c r="I20" s="0" t="n">
        <f aca="false">IF(2_Utilité!AO20&gt;0,2_Utilité!I20/2_Utilité!AO20,0)</f>
        <v>0.0402220166997976</v>
      </c>
      <c r="J20" s="0" t="n">
        <f aca="false">IF(2_Utilité!AO20&gt;0,2_Utilité!J20/2_Utilité!AO20,0)</f>
        <v>0.0312799785274682</v>
      </c>
      <c r="K20" s="0" t="n">
        <f aca="false">IF(2_Utilité!AO20&gt;0,2_Utilité!K20/2_Utilité!AO20,0)</f>
        <v>0.0189937248610097</v>
      </c>
      <c r="L20" s="0" t="n">
        <f aca="false">IF(2_Utilité!AO20&gt;0,2_Utilité!L20/2_Utilité!AO20,0)</f>
        <v>0.0201268757167417</v>
      </c>
      <c r="M20" s="0" t="n">
        <f aca="false">IF(2_Utilité!AO20&gt;0,2_Utilité!M20/2_Utilité!AO20,0)</f>
        <v>0.112494161168665</v>
      </c>
      <c r="N20" s="0" t="n">
        <f aca="false">IF(2_Utilité!AO20&gt;0,2_Utilité!N20/2_Utilité!AO20,0)</f>
        <v>0.0144406438257834</v>
      </c>
      <c r="O20" s="0" t="n">
        <f aca="false">IF(2_Utilité!AO20&gt;0,2_Utilité!O20/2_Utilité!AO20,0)</f>
        <v>0.0462421916599924</v>
      </c>
      <c r="P20" s="0" t="n">
        <f aca="false">IF(2_Utilité!AO20&gt;0,2_Utilité!P20/2_Utilité!AO20,0)</f>
        <v>0.0227924761298853</v>
      </c>
      <c r="Q20" s="0" t="n">
        <f aca="false">IF(2_Utilité!AO20&gt;0,2_Utilité!Q20/2_Utilité!AO20,0)</f>
        <v>0.201983202476618</v>
      </c>
      <c r="R20" s="0" t="n">
        <f aca="false">IF(2_Utilité!AO20&gt;0,2_Utilité!R20/2_Utilité!AO20,0)</f>
        <v>0.0267195294202772</v>
      </c>
      <c r="S20" s="0" t="n">
        <f aca="false">IF(2_Utilité!AO20&gt;0,2_Utilité!S20/2_Utilité!AO20,0)</f>
        <v>0.0195735989571163</v>
      </c>
      <c r="T20" s="0" t="n">
        <f aca="false">IF(2_Utilité!AO20&gt;0,2_Utilité!T20/2_Utilité!AO20,0)</f>
        <v>0.0122991588144268</v>
      </c>
      <c r="U20" s="0" t="n">
        <f aca="false">IF(2_Utilité!AO20&gt;0,2_Utilité!U20/2_Utilité!AO20,0)</f>
        <v>0.0197218057080331</v>
      </c>
      <c r="V20" s="0" t="n">
        <f aca="false">IF(2_Utilité!AO20&gt;0,2_Utilité!V20/2_Utilité!AO20,0)</f>
        <v>0.0147554820157589</v>
      </c>
      <c r="W20" s="0" t="n">
        <f aca="false">IF(2_Utilité!AO20&gt;0,2_Utilité!W20/2_Utilité!AO20,0)</f>
        <v>0.00330943014662068</v>
      </c>
      <c r="X20" s="0" t="n">
        <f aca="false">IF(2_Utilité!AO20&gt;0,2_Utilité!X20/2_Utilité!AO20,0)</f>
        <v>0.00503582102164925</v>
      </c>
      <c r="Y20" s="0" t="n">
        <f aca="false">IF(2_Utilité!AO20&gt;0,2_Utilité!Y20/2_Utilité!AO20,0)</f>
        <v>0.00335189598709557</v>
      </c>
      <c r="Z20" s="0" t="n">
        <f aca="false">IF(2_Utilité!AO20&gt;0,2_Utilité!Z20/2_Utilité!AO20,0)</f>
        <v>0.00818889276889181</v>
      </c>
      <c r="AA20" s="0" t="n">
        <f aca="false">IF(2_Utilité!AO20&gt;0,2_Utilité!AA20/2_Utilité!AO20,0)</f>
        <v>0.0170673577150773</v>
      </c>
      <c r="AB20" s="0" t="n">
        <f aca="false">IF(2_Utilité!AO20&gt;0,2_Utilité!AB20/2_Utilité!AO20,0)</f>
        <v>0.00845039245110692</v>
      </c>
      <c r="AC20" s="0" t="n">
        <f aca="false">IF(2_Utilité!AO20&gt;0,2_Utilité!AC20/2_Utilité!AO20,0)</f>
        <v>0</v>
      </c>
      <c r="AD20" s="0" t="n">
        <f aca="false">IF(2_Utilité!AO20&gt;0,2_Utilité!AD20/2_Utilité!AO20,0)</f>
        <v>0</v>
      </c>
      <c r="AE20" s="0" t="n">
        <f aca="false">IF(2_Utilité!AO20&gt;0,2_Utilité!AE20/2_Utilité!AO20,0)</f>
        <v>0</v>
      </c>
      <c r="AF20" s="0" t="n">
        <f aca="false">IF(2_Utilité!AO20&gt;0,2_Utilité!AF20/2_Utilité!AO20,0)</f>
        <v>0</v>
      </c>
      <c r="AG20" s="0" t="n">
        <f aca="false">IF(2_Utilité!AO20&gt;0,2_Utilité!AG20/2_Utilité!AO20,0)</f>
        <v>0</v>
      </c>
      <c r="AH20" s="0" t="n">
        <f aca="false">IF(2_Utilité!AO20&gt;0,2_Utilité!AH20/2_Utilité!AO20,0)</f>
        <v>0.0685240350119665</v>
      </c>
      <c r="AI20" s="0" t="n">
        <f aca="false">IF(2_Utilité!AO20&gt;0,2_Utilité!AI20/2_Utilité!AO20,0)</f>
        <v>0.00536570178624463</v>
      </c>
      <c r="AJ20" s="0" t="n">
        <f aca="false">IF(2_Utilité!AO20&gt;0,2_Utilité!AJ20/2_Utilité!AO20,0)</f>
        <v>0.00714587136064291</v>
      </c>
      <c r="AK20" s="0" t="n">
        <f aca="false">IF(2_Utilité!AO20&gt;0,2_Utilité!AK20/2_Utilité!AO20,0)</f>
        <v>0</v>
      </c>
      <c r="AL20" s="0" t="n">
        <f aca="false">IF(2_Utilité!AO20&gt;0,2_Utilité!AL20/2_Utilité!AO20,0)</f>
        <v>0</v>
      </c>
      <c r="AM20" s="48" t="n">
        <f aca="false">IF(2_Utilité!AO20&gt;0,2_Utilité!AM20/2_Utilité!AO20,0)</f>
        <v>0.0068215504771648</v>
      </c>
      <c r="AN20" s="43" t="n">
        <f aca="false">IF(2_Utilité!AO20&gt;0,2_Utilité!AN20/2_Utilité!AO20,0)</f>
        <v>0</v>
      </c>
      <c r="AO20" s="43" t="n">
        <f aca="false">SUM(C20:AN20)</f>
        <v>1</v>
      </c>
      <c r="AP20" s="43" t="n">
        <f aca="false">COUNTIF(Matrice_OD!$C20:$AN20,"&lt;="&amp;Param!$B$2)</f>
        <v>30</v>
      </c>
    </row>
    <row r="21" customFormat="false" ht="15" hidden="false" customHeight="true" outlineLevel="0" collapsed="false">
      <c r="A21" s="0" t="s">
        <v>140</v>
      </c>
      <c r="B21" s="0" t="s">
        <v>141</v>
      </c>
      <c r="C21" s="0" t="n">
        <f aca="false">IF(2_Utilité!AO21&gt;0,2_Utilité!C21/2_Utilité!AO21,0)</f>
        <v>0.00196246713255988</v>
      </c>
      <c r="D21" s="0" t="n">
        <f aca="false">IF(2_Utilité!AO21&gt;0,2_Utilité!D21/2_Utilité!AO21,0)</f>
        <v>0.0121187724644659</v>
      </c>
      <c r="E21" s="0" t="n">
        <f aca="false">IF(2_Utilité!AO21&gt;0,2_Utilité!E21/2_Utilité!AO21,0)</f>
        <v>0.136739995375231</v>
      </c>
      <c r="F21" s="0" t="n">
        <f aca="false">IF(2_Utilité!AO21&gt;0,2_Utilité!F21/2_Utilité!AO21,0)</f>
        <v>0.0250143128821071</v>
      </c>
      <c r="G21" s="0" t="n">
        <f aca="false">IF(2_Utilité!AO21&gt;0,2_Utilité!G21/2_Utilité!AO21,0)</f>
        <v>0.0701782962551823</v>
      </c>
      <c r="H21" s="0" t="n">
        <f aca="false">IF(2_Utilité!AO21&gt;0,2_Utilité!H21/2_Utilité!AO21,0)</f>
        <v>0.0181258869804917</v>
      </c>
      <c r="I21" s="0" t="n">
        <f aca="false">IF(2_Utilité!AO21&gt;0,2_Utilité!I21/2_Utilité!AO21,0)</f>
        <v>0.0413583467601669</v>
      </c>
      <c r="J21" s="0" t="n">
        <f aca="false">IF(2_Utilité!AO21&gt;0,2_Utilité!J21/2_Utilité!AO21,0)</f>
        <v>0.0318504720401191</v>
      </c>
      <c r="K21" s="0" t="n">
        <f aca="false">IF(2_Utilité!AO21&gt;0,2_Utilité!K21/2_Utilité!AO21,0)</f>
        <v>0.0191308236479337</v>
      </c>
      <c r="L21" s="0" t="n">
        <f aca="false">IF(2_Utilité!AO21&gt;0,2_Utilité!L21/2_Utilité!AO21,0)</f>
        <v>0.0207015141960885</v>
      </c>
      <c r="M21" s="0" t="n">
        <f aca="false">IF(2_Utilité!AO21&gt;0,2_Utilité!M21/2_Utilité!AO21,0)</f>
        <v>0.117823669530601</v>
      </c>
      <c r="N21" s="0" t="n">
        <f aca="false">IF(2_Utilité!AO21&gt;0,2_Utilité!N21/2_Utilité!AO21,0)</f>
        <v>0.01473451214507</v>
      </c>
      <c r="O21" s="0" t="n">
        <f aca="false">IF(2_Utilité!AO21&gt;0,2_Utilité!O21/2_Utilité!AO21,0)</f>
        <v>0.0473189711340362</v>
      </c>
      <c r="P21" s="0" t="n">
        <f aca="false">IF(2_Utilité!AO21&gt;0,2_Utilité!P21/2_Utilité!AO21,0)</f>
        <v>0.0234490542089178</v>
      </c>
      <c r="Q21" s="0" t="n">
        <f aca="false">IF(2_Utilité!AO21&gt;0,2_Utilité!Q21/2_Utilité!AO21,0)</f>
        <v>0.208022298410082</v>
      </c>
      <c r="R21" s="0" t="n">
        <f aca="false">IF(2_Utilité!AO21&gt;0,2_Utilité!R21/2_Utilité!AO21,0)</f>
        <v>0.0274384291519625</v>
      </c>
      <c r="S21" s="0" t="n">
        <f aca="false">IF(2_Utilité!AO21&gt;0,2_Utilité!S21/2_Utilité!AO21,0)</f>
        <v>0.0199283683686814</v>
      </c>
      <c r="T21" s="0" t="n">
        <f aca="false">IF(2_Utilité!AO21&gt;0,2_Utilité!T21/2_Utilité!AO21,0)</f>
        <v>0.0123755466589178</v>
      </c>
      <c r="U21" s="0" t="n">
        <f aca="false">IF(2_Utilité!AO21&gt;0,2_Utilité!U21/2_Utilité!AO21,0)</f>
        <v>0.0197722852971368</v>
      </c>
      <c r="V21" s="0" t="n">
        <f aca="false">IF(2_Utilité!AO21&gt;0,2_Utilité!V21/2_Utilité!AO21,0)</f>
        <v>0.0108662178651393</v>
      </c>
      <c r="W21" s="0" t="n">
        <f aca="false">IF(2_Utilité!AO21&gt;0,2_Utilité!W21/2_Utilité!AO21,0)</f>
        <v>0.00249029838175822</v>
      </c>
      <c r="X21" s="0" t="n">
        <f aca="false">IF(2_Utilité!AO21&gt;0,2_Utilité!X21/2_Utilité!AO21,0)</f>
        <v>0.00384830396008227</v>
      </c>
      <c r="Y21" s="0" t="n">
        <f aca="false">IF(2_Utilité!AO21&gt;0,2_Utilité!Y21/2_Utilité!AO21,0)</f>
        <v>0.00256086043913275</v>
      </c>
      <c r="Z21" s="0" t="n">
        <f aca="false">IF(2_Utilité!AO21&gt;0,2_Utilité!Z21/2_Utilité!AO21,0)</f>
        <v>0.00623471861972524</v>
      </c>
      <c r="AA21" s="0" t="n">
        <f aca="false">IF(2_Utilité!AO21&gt;0,2_Utilité!AA21/2_Utilité!AO21,0)</f>
        <v>0.0130753782478343</v>
      </c>
      <c r="AB21" s="0" t="n">
        <f aca="false">IF(2_Utilité!AO21&gt;0,2_Utilité!AB21/2_Utilité!AO21,0)</f>
        <v>0.00657475747999069</v>
      </c>
      <c r="AC21" s="0" t="n">
        <f aca="false">IF(2_Utilité!AO21&gt;0,2_Utilité!AC21/2_Utilité!AO21,0)</f>
        <v>0</v>
      </c>
      <c r="AD21" s="0" t="n">
        <f aca="false">IF(2_Utilité!AO21&gt;0,2_Utilité!AD21/2_Utilité!AO21,0)</f>
        <v>0</v>
      </c>
      <c r="AE21" s="0" t="n">
        <f aca="false">IF(2_Utilité!AO21&gt;0,2_Utilité!AE21/2_Utilité!AO21,0)</f>
        <v>0</v>
      </c>
      <c r="AF21" s="0" t="n">
        <f aca="false">IF(2_Utilité!AO21&gt;0,2_Utilité!AF21/2_Utilité!AO21,0)</f>
        <v>0</v>
      </c>
      <c r="AG21" s="0" t="n">
        <f aca="false">IF(2_Utilité!AO21&gt;0,2_Utilité!AG21/2_Utilité!AO21,0)</f>
        <v>0</v>
      </c>
      <c r="AH21" s="0" t="n">
        <f aca="false">IF(2_Utilité!AO21&gt;0,2_Utilité!AH21/2_Utilité!AO21,0)</f>
        <v>0.0713370417830582</v>
      </c>
      <c r="AI21" s="0" t="n">
        <f aca="false">IF(2_Utilité!AO21&gt;0,2_Utilité!AI21/2_Utilité!AO21,0)</f>
        <v>0.00533657540310697</v>
      </c>
      <c r="AJ21" s="0" t="n">
        <f aca="false">IF(2_Utilité!AO21&gt;0,2_Utilité!AJ21/2_Utilité!AO21,0)</f>
        <v>0.00540563686427076</v>
      </c>
      <c r="AK21" s="0" t="n">
        <f aca="false">IF(2_Utilité!AO21&gt;0,2_Utilité!AK21/2_Utilité!AO21,0)</f>
        <v>0</v>
      </c>
      <c r="AL21" s="0" t="n">
        <f aca="false">IF(2_Utilité!AO21&gt;0,2_Utilité!AL21/2_Utilité!AO21,0)</f>
        <v>0</v>
      </c>
      <c r="AM21" s="49" t="n">
        <f aca="false">IF(2_Utilité!AO21&gt;0,2_Utilité!AM21/2_Utilité!AO21,0)</f>
        <v>0.00422618831615017</v>
      </c>
      <c r="AN21" s="43" t="n">
        <f aca="false">IF(2_Utilité!AO21&gt;0,2_Utilité!AN21/2_Utilité!AO21,0)</f>
        <v>0</v>
      </c>
      <c r="AO21" s="43" t="n">
        <f aca="false">SUM(C21:AN21)</f>
        <v>1</v>
      </c>
      <c r="AP21" s="43" t="n">
        <f aca="false">COUNTIF(Matrice_OD!$C21:$AN21,"&lt;="&amp;Param!$B$2)</f>
        <v>30</v>
      </c>
    </row>
    <row r="22" customFormat="false" ht="15" hidden="false" customHeight="true" outlineLevel="0" collapsed="false">
      <c r="A22" s="0" t="s">
        <v>142</v>
      </c>
      <c r="B22" s="0" t="s">
        <v>143</v>
      </c>
      <c r="C22" s="0" t="n">
        <f aca="false">IF(2_Utilité!AO22&gt;0,2_Utilité!C22/2_Utilité!AO22,0)</f>
        <v>0.009191687487008</v>
      </c>
      <c r="D22" s="0" t="n">
        <f aca="false">IF(2_Utilité!AO22&gt;0,2_Utilité!D22/2_Utilité!AO22,0)</f>
        <v>0.0105124444017612</v>
      </c>
      <c r="E22" s="0" t="n">
        <f aca="false">IF(2_Utilité!AO22&gt;0,2_Utilité!E22/2_Utilité!AO22,0)</f>
        <v>0.1182462313074</v>
      </c>
      <c r="F22" s="0" t="n">
        <f aca="false">IF(2_Utilité!AO22&gt;0,2_Utilité!F22/2_Utilité!AO22,0)</f>
        <v>0.0215685189761215</v>
      </c>
      <c r="G22" s="0" t="n">
        <f aca="false">IF(2_Utilité!AO22&gt;0,2_Utilité!G22/2_Utilité!AO22,0)</f>
        <v>0.0606933674688206</v>
      </c>
      <c r="H22" s="0" t="n">
        <f aca="false">IF(2_Utilité!AO22&gt;0,2_Utilité!H22/2_Utilité!AO22,0)</f>
        <v>0.015299985345252</v>
      </c>
      <c r="I22" s="0" t="n">
        <f aca="false">IF(2_Utilité!AO22&gt;0,2_Utilité!I22/2_Utilité!AO22,0)</f>
        <v>0.0350044085817535</v>
      </c>
      <c r="J22" s="0" t="n">
        <f aca="false">IF(2_Utilité!AO22&gt;0,2_Utilité!J22/2_Utilité!AO22,0)</f>
        <v>0.0271490280959687</v>
      </c>
      <c r="K22" s="0" t="n">
        <f aca="false">IF(2_Utilité!AO22&gt;0,2_Utilité!K22/2_Utilité!AO22,0)</f>
        <v>0.0164335761687577</v>
      </c>
      <c r="L22" s="0" t="n">
        <f aca="false">IF(2_Utilité!AO22&gt;0,2_Utilité!L22/2_Utilité!AO22,0)</f>
        <v>0.0175173438519654</v>
      </c>
      <c r="M22" s="0" t="n">
        <f aca="false">IF(2_Utilité!AO22&gt;0,2_Utilité!M22/2_Utilité!AO22,0)</f>
        <v>0.0983597972454976</v>
      </c>
      <c r="N22" s="0" t="n">
        <f aca="false">IF(2_Utilité!AO22&gt;0,2_Utilité!N22/2_Utilité!AO22,0)</f>
        <v>0.0125366309531996</v>
      </c>
      <c r="O22" s="0" t="n">
        <f aca="false">IF(2_Utilité!AO22&gt;0,2_Utilité!O22/2_Utilité!AO22,0)</f>
        <v>0.0401871344829647</v>
      </c>
      <c r="P22" s="0" t="n">
        <f aca="false">IF(2_Utilité!AO22&gt;0,2_Utilité!P22/2_Utilité!AO22,0)</f>
        <v>0.0198358315296603</v>
      </c>
      <c r="Q22" s="0" t="n">
        <f aca="false">IF(2_Utilité!AO22&gt;0,2_Utilité!Q22/2_Utilité!AO22,0)</f>
        <v>0.175779532179161</v>
      </c>
      <c r="R22" s="0" t="n">
        <f aca="false">IF(2_Utilité!AO22&gt;0,2_Utilité!R22/2_Utilité!AO22,0)</f>
        <v>0.0232455198598341</v>
      </c>
      <c r="S22" s="0" t="n">
        <f aca="false">IF(2_Utilité!AO22&gt;0,2_Utilité!S22/2_Utilité!AO22,0)</f>
        <v>0.0169830943686648</v>
      </c>
      <c r="T22" s="0" t="n">
        <f aca="false">IF(2_Utilité!AO22&gt;0,2_Utilité!T22/2_Utilité!AO22,0)</f>
        <v>0.0295838241181875</v>
      </c>
      <c r="U22" s="0" t="n">
        <f aca="false">IF(2_Utilité!AO22&gt;0,2_Utilité!U22/2_Utilité!AO22,0)</f>
        <v>0.0260544093805136</v>
      </c>
      <c r="V22" s="0" t="n">
        <f aca="false">IF(2_Utilité!AO22&gt;0,2_Utilité!V22/2_Utilité!AO22,0)</f>
        <v>0.0406365839407984</v>
      </c>
      <c r="W22" s="0" t="n">
        <f aca="false">IF(2_Utilité!AO22&gt;0,2_Utilité!W22/2_Utilité!AO22,0)</f>
        <v>0.00682112638538705</v>
      </c>
      <c r="X22" s="0" t="n">
        <f aca="false">IF(2_Utilité!AO22&gt;0,2_Utilité!X22/2_Utilité!AO22,0)</f>
        <v>0.00923024257815786</v>
      </c>
      <c r="Y22" s="0" t="n">
        <f aca="false">IF(2_Utilité!AO22&gt;0,2_Utilité!Y22/2_Utilité!AO22,0)</f>
        <v>0.00614488356543197</v>
      </c>
      <c r="Z22" s="0" t="n">
        <f aca="false">IF(2_Utilité!AO22&gt;0,2_Utilité!Z22/2_Utilité!AO22,0)</f>
        <v>0.0150526375738448</v>
      </c>
      <c r="AA22" s="0" t="n">
        <f aca="false">IF(2_Utilité!AO22&gt;0,2_Utilité!AA22/2_Utilité!AO22,0)</f>
        <v>0.0271527817727681</v>
      </c>
      <c r="AB22" s="0" t="n">
        <f aca="false">IF(2_Utilité!AO22&gt;0,2_Utilité!AB22/2_Utilité!AO22,0)</f>
        <v>0.0127829623458065</v>
      </c>
      <c r="AC22" s="0" t="n">
        <f aca="false">IF(2_Utilité!AO22&gt;0,2_Utilité!AC22/2_Utilité!AO22,0)</f>
        <v>0</v>
      </c>
      <c r="AD22" s="0" t="n">
        <f aca="false">IF(2_Utilité!AO22&gt;0,2_Utilité!AD22/2_Utilité!AO22,0)</f>
        <v>0</v>
      </c>
      <c r="AE22" s="0" t="n">
        <f aca="false">IF(2_Utilité!AO22&gt;0,2_Utilité!AE22/2_Utilité!AO22,0)</f>
        <v>0</v>
      </c>
      <c r="AF22" s="0" t="n">
        <f aca="false">IF(2_Utilité!AO22&gt;0,2_Utilité!AF22/2_Utilité!AO22,0)</f>
        <v>0</v>
      </c>
      <c r="AG22" s="0" t="n">
        <f aca="false">IF(2_Utilité!AO22&gt;0,2_Utilité!AG22/2_Utilité!AO22,0)</f>
        <v>0</v>
      </c>
      <c r="AH22" s="0" t="n">
        <f aca="false">IF(2_Utilité!AO22&gt;0,2_Utilité!AH22/2_Utilité!AO22,0)</f>
        <v>0.059827906470656</v>
      </c>
      <c r="AI22" s="0" t="n">
        <f aca="false">IF(2_Utilité!AO22&gt;0,2_Utilité!AI22/2_Utilité!AO22,0)</f>
        <v>0.013199705725016</v>
      </c>
      <c r="AJ22" s="0" t="n">
        <f aca="false">IF(2_Utilité!AO22&gt;0,2_Utilité!AJ22/2_Utilité!AO22,0)</f>
        <v>0.0132011150112639</v>
      </c>
      <c r="AK22" s="0" t="n">
        <f aca="false">IF(2_Utilité!AO22&gt;0,2_Utilité!AK22/2_Utilité!AO22,0)</f>
        <v>0</v>
      </c>
      <c r="AL22" s="0" t="n">
        <f aca="false">IF(2_Utilité!AO22&gt;0,2_Utilité!AL22/2_Utilité!AO22,0)</f>
        <v>0</v>
      </c>
      <c r="AM22" s="48" t="n">
        <f aca="false">IF(2_Utilité!AO22&gt;0,2_Utilité!AM22/2_Utilité!AO22,0)</f>
        <v>0.0217676888283771</v>
      </c>
      <c r="AN22" s="43" t="n">
        <f aca="false">IF(2_Utilité!AO22&gt;0,2_Utilité!AN22/2_Utilité!AO22,0)</f>
        <v>0</v>
      </c>
      <c r="AO22" s="43" t="n">
        <f aca="false">SUM(C22:AN22)</f>
        <v>1</v>
      </c>
      <c r="AP22" s="43" t="n">
        <f aca="false">COUNTIF(Matrice_OD!$C22:$AN22,"&lt;="&amp;Param!$B$2)</f>
        <v>30</v>
      </c>
    </row>
    <row r="23" customFormat="false" ht="15" hidden="false" customHeight="true" outlineLevel="0" collapsed="false">
      <c r="A23" s="0" t="s">
        <v>144</v>
      </c>
      <c r="B23" s="0" t="s">
        <v>145</v>
      </c>
      <c r="C23" s="0" t="n">
        <f aca="false">IF(2_Utilité!AO23&gt;0,2_Utilité!C23/2_Utilité!AO23,0)</f>
        <v>0.00450766957739486</v>
      </c>
      <c r="D23" s="0" t="n">
        <f aca="false">IF(2_Utilité!AO23&gt;0,2_Utilité!D23/2_Utilité!AO23,0)</f>
        <v>0.0112079093477271</v>
      </c>
      <c r="E23" s="0" t="n">
        <f aca="false">IF(2_Utilité!AO23&gt;0,2_Utilité!E23/2_Utilité!AO23,0)</f>
        <v>0.126354474369426</v>
      </c>
      <c r="F23" s="0" t="n">
        <f aca="false">IF(2_Utilité!AO23&gt;0,2_Utilité!F23/2_Utilité!AO23,0)</f>
        <v>0.0230960817975305</v>
      </c>
      <c r="G23" s="0" t="n">
        <f aca="false">IF(2_Utilité!AO23&gt;0,2_Utilité!G23/2_Utilité!AO23,0)</f>
        <v>0.0648154885087429</v>
      </c>
      <c r="H23" s="0" t="n">
        <f aca="false">IF(2_Utilité!AO23&gt;0,2_Utilité!H23/2_Utilité!AO23,0)</f>
        <v>0.0166301374398628</v>
      </c>
      <c r="I23" s="0" t="n">
        <f aca="false">IF(2_Utilité!AO23&gt;0,2_Utilité!I23/2_Utilité!AO23,0)</f>
        <v>0.0379882291899818</v>
      </c>
      <c r="J23" s="0" t="n">
        <f aca="false">IF(2_Utilité!AO23&gt;0,2_Utilité!J23/2_Utilité!AO23,0)</f>
        <v>0.0293002854469899</v>
      </c>
      <c r="K23" s="0" t="n">
        <f aca="false">IF(2_Utilité!AO23&gt;0,2_Utilité!K23/2_Utilité!AO23,0)</f>
        <v>0.0176455721694384</v>
      </c>
      <c r="L23" s="0" t="n">
        <f aca="false">IF(2_Utilité!AO23&gt;0,2_Utilité!L23/2_Utilité!AO23,0)</f>
        <v>0.0190135150097134</v>
      </c>
      <c r="M23" s="0" t="n">
        <f aca="false">IF(2_Utilité!AO23&gt;0,2_Utilité!M23/2_Utilité!AO23,0)</f>
        <v>0.107774699055863</v>
      </c>
      <c r="N23" s="0" t="n">
        <f aca="false">IF(2_Utilité!AO23&gt;0,2_Utilité!N23/2_Utilité!AO23,0)</f>
        <v>0.0135549998463578</v>
      </c>
      <c r="O23" s="0" t="n">
        <f aca="false">IF(2_Utilité!AO23&gt;0,2_Utilité!O23/2_Utilité!AO23,0)</f>
        <v>0.0435092519849849</v>
      </c>
      <c r="P23" s="0" t="n">
        <f aca="false">IF(2_Utilité!AO23&gt;0,2_Utilité!P23/2_Utilité!AO23,0)</f>
        <v>0.0215266632076564</v>
      </c>
      <c r="Q23" s="0" t="n">
        <f aca="false">IF(2_Utilité!AO23&gt;0,2_Utilité!Q23/2_Utilité!AO23,0)</f>
        <v>0.19100954873188</v>
      </c>
      <c r="R23" s="0" t="n">
        <f aca="false">IF(2_Utilité!AO23&gt;0,2_Utilité!R23/2_Utilité!AO23,0)</f>
        <v>0.0252092679785405</v>
      </c>
      <c r="S23" s="0" t="n">
        <f aca="false">IF(2_Utilité!AO23&gt;0,2_Utilité!S23/2_Utilité!AO23,0)</f>
        <v>0.0183411832562802</v>
      </c>
      <c r="T23" s="0" t="n">
        <f aca="false">IF(2_Utilité!AO23&gt;0,2_Utilité!T23/2_Utilité!AO23,0)</f>
        <v>0.023830286239134</v>
      </c>
      <c r="U23" s="0" t="n">
        <f aca="false">IF(2_Utilité!AO23&gt;0,2_Utilité!U23/2_Utilité!AO23,0)</f>
        <v>0.0275557887371327</v>
      </c>
      <c r="V23" s="0" t="n">
        <f aca="false">IF(2_Utilité!AO23&gt;0,2_Utilité!V23/2_Utilité!AO23,0)</f>
        <v>0.0198440781926271</v>
      </c>
      <c r="W23" s="0" t="n">
        <f aca="false">IF(2_Utilité!AO23&gt;0,2_Utilité!W23/2_Utilité!AO23,0)</f>
        <v>0.00446212122166078</v>
      </c>
      <c r="X23" s="0" t="n">
        <f aca="false">IF(2_Utilité!AO23&gt;0,2_Utilité!X23/2_Utilité!AO23,0)</f>
        <v>0.00680358693362514</v>
      </c>
      <c r="Y23" s="0" t="n">
        <f aca="false">IF(2_Utilité!AO23&gt;0,2_Utilité!Y23/2_Utilité!AO23,0)</f>
        <v>0.00452840588392804</v>
      </c>
      <c r="Z23" s="0" t="n">
        <f aca="false">IF(2_Utilité!AO23&gt;0,2_Utilité!Z23/2_Utilité!AO23,0)</f>
        <v>0.0110584389281105</v>
      </c>
      <c r="AA23" s="0" t="n">
        <f aca="false">IF(2_Utilité!AO23&gt;0,2_Utilité!AA23/2_Utilité!AO23,0)</f>
        <v>0.0230658125211148</v>
      </c>
      <c r="AB23" s="0" t="n">
        <f aca="false">IF(2_Utilité!AO23&gt;0,2_Utilité!AB23/2_Utilité!AO23,0)</f>
        <v>0.0114409623252978</v>
      </c>
      <c r="AC23" s="0" t="n">
        <f aca="false">IF(2_Utilité!AO23&gt;0,2_Utilité!AC23/2_Utilité!AO23,0)</f>
        <v>0</v>
      </c>
      <c r="AD23" s="0" t="n">
        <f aca="false">IF(2_Utilité!AO23&gt;0,2_Utilité!AD23/2_Utilité!AO23,0)</f>
        <v>0</v>
      </c>
      <c r="AE23" s="0" t="n">
        <f aca="false">IF(2_Utilité!AO23&gt;0,2_Utilité!AE23/2_Utilité!AO23,0)</f>
        <v>0</v>
      </c>
      <c r="AF23" s="0" t="n">
        <f aca="false">IF(2_Utilité!AO23&gt;0,2_Utilité!AF23/2_Utilité!AO23,0)</f>
        <v>0</v>
      </c>
      <c r="AG23" s="0" t="n">
        <f aca="false">IF(2_Utilité!AO23&gt;0,2_Utilité!AG23/2_Utilité!AO23,0)</f>
        <v>0</v>
      </c>
      <c r="AH23" s="0" t="n">
        <f aca="false">IF(2_Utilité!AO23&gt;0,2_Utilité!AH23/2_Utilité!AO23,0)</f>
        <v>0.0653602665809891</v>
      </c>
      <c r="AI23" s="0" t="n">
        <f aca="false">IF(2_Utilité!AO23&gt;0,2_Utilité!AI23/2_Utilité!AO23,0)</f>
        <v>0.0104520616248455</v>
      </c>
      <c r="AJ23" s="0" t="n">
        <f aca="false">IF(2_Utilité!AO23&gt;0,2_Utilité!AJ23/2_Utilité!AO23,0)</f>
        <v>0.0096422228975313</v>
      </c>
      <c r="AK23" s="0" t="n">
        <f aca="false">IF(2_Utilité!AO23&gt;0,2_Utilité!AK23/2_Utilité!AO23,0)</f>
        <v>0</v>
      </c>
      <c r="AL23" s="0" t="n">
        <f aca="false">IF(2_Utilité!AO23&gt;0,2_Utilité!AL23/2_Utilité!AO23,0)</f>
        <v>0</v>
      </c>
      <c r="AM23" s="49" t="n">
        <f aca="false">IF(2_Utilité!AO23&gt;0,2_Utilité!AM23/2_Utilité!AO23,0)</f>
        <v>0.0104709909956326</v>
      </c>
      <c r="AN23" s="43" t="n">
        <f aca="false">IF(2_Utilité!AO23&gt;0,2_Utilité!AN23/2_Utilité!AO23,0)</f>
        <v>0</v>
      </c>
      <c r="AO23" s="43" t="n">
        <f aca="false">SUM(C23:AN23)</f>
        <v>1</v>
      </c>
      <c r="AP23" s="43" t="n">
        <f aca="false">COUNTIF(Matrice_OD!$C23:$AN23,"&lt;="&amp;Param!$B$2)</f>
        <v>30</v>
      </c>
    </row>
    <row r="24" customFormat="false" ht="15" hidden="false" customHeight="true" outlineLevel="0" collapsed="false">
      <c r="A24" s="0" t="s">
        <v>146</v>
      </c>
      <c r="B24" s="0" t="s">
        <v>147</v>
      </c>
      <c r="C24" s="0" t="n">
        <f aca="false">IF(2_Utilité!AO24&gt;0,2_Utilité!C24/2_Utilité!AO24,0)</f>
        <v>0.0128083012768607</v>
      </c>
      <c r="D24" s="0" t="n">
        <f aca="false">IF(2_Utilité!AO24&gt;0,2_Utilité!D24/2_Utilité!AO24,0)</f>
        <v>0.00707781700084379</v>
      </c>
      <c r="E24" s="0" t="n">
        <f aca="false">IF(2_Utilité!AO24&gt;0,2_Utilité!E24/2_Utilité!AO24,0)</f>
        <v>0.0672057767143902</v>
      </c>
      <c r="F24" s="0" t="n">
        <f aca="false">IF(2_Utilité!AO24&gt;0,2_Utilité!F24/2_Utilité!AO24,0)</f>
        <v>0.0119752995875256</v>
      </c>
      <c r="G24" s="0" t="n">
        <f aca="false">IF(2_Utilité!AO24&gt;0,2_Utilité!G24/2_Utilité!AO24,0)</f>
        <v>0.03234364786934</v>
      </c>
      <c r="H24" s="0" t="n">
        <f aca="false">IF(2_Utilité!AO24&gt;0,2_Utilité!H24/2_Utilité!AO24,0)</f>
        <v>0</v>
      </c>
      <c r="I24" s="0" t="n">
        <f aca="false">IF(2_Utilité!AO24&gt;0,2_Utilité!I24/2_Utilité!AO24,0)</f>
        <v>0</v>
      </c>
      <c r="J24" s="0" t="n">
        <f aca="false">IF(2_Utilité!AO24&gt;0,2_Utilité!J24/2_Utilité!AO24,0)</f>
        <v>0</v>
      </c>
      <c r="K24" s="0" t="n">
        <f aca="false">IF(2_Utilité!AO24&gt;0,2_Utilité!K24/2_Utilité!AO24,0)</f>
        <v>0</v>
      </c>
      <c r="L24" s="0" t="n">
        <f aca="false">IF(2_Utilité!AO24&gt;0,2_Utilité!L24/2_Utilité!AO24,0)</f>
        <v>0</v>
      </c>
      <c r="M24" s="0" t="n">
        <f aca="false">IF(2_Utilité!AO24&gt;0,2_Utilité!M24/2_Utilité!AO24,0)</f>
        <v>0</v>
      </c>
      <c r="N24" s="0" t="n">
        <f aca="false">IF(2_Utilité!AO24&gt;0,2_Utilité!N24/2_Utilité!AO24,0)</f>
        <v>0</v>
      </c>
      <c r="O24" s="0" t="n">
        <f aca="false">IF(2_Utilité!AO24&gt;0,2_Utilité!O24/2_Utilité!AO24,0)</f>
        <v>0</v>
      </c>
      <c r="P24" s="0" t="n">
        <f aca="false">IF(2_Utilité!AO24&gt;0,2_Utilité!P24/2_Utilité!AO24,0)</f>
        <v>0</v>
      </c>
      <c r="Q24" s="0" t="n">
        <f aca="false">IF(2_Utilité!AO24&gt;0,2_Utilité!Q24/2_Utilité!AO24,0)</f>
        <v>0</v>
      </c>
      <c r="R24" s="0" t="n">
        <f aca="false">IF(2_Utilité!AO24&gt;0,2_Utilité!R24/2_Utilité!AO24,0)</f>
        <v>0</v>
      </c>
      <c r="S24" s="0" t="n">
        <f aca="false">IF(2_Utilité!AO24&gt;0,2_Utilité!S24/2_Utilité!AO24,0)</f>
        <v>0</v>
      </c>
      <c r="T24" s="0" t="n">
        <f aca="false">IF(2_Utilité!AO24&gt;0,2_Utilité!T24/2_Utilité!AO24,0)</f>
        <v>0</v>
      </c>
      <c r="U24" s="0" t="n">
        <f aca="false">IF(2_Utilité!AO24&gt;0,2_Utilité!U24/2_Utilité!AO24,0)</f>
        <v>0</v>
      </c>
      <c r="V24" s="0" t="n">
        <f aca="false">IF(2_Utilité!AO24&gt;0,2_Utilité!V24/2_Utilité!AO24,0)</f>
        <v>0</v>
      </c>
      <c r="W24" s="0" t="n">
        <f aca="false">IF(2_Utilité!AO24&gt;0,2_Utilité!W24/2_Utilité!AO24,0)</f>
        <v>0</v>
      </c>
      <c r="X24" s="0" t="n">
        <f aca="false">IF(2_Utilité!AO24&gt;0,2_Utilité!X24/2_Utilité!AO24,0)</f>
        <v>0</v>
      </c>
      <c r="Y24" s="0" t="n">
        <f aca="false">IF(2_Utilité!AO24&gt;0,2_Utilité!Y24/2_Utilité!AO24,0)</f>
        <v>0</v>
      </c>
      <c r="Z24" s="0" t="n">
        <f aca="false">IF(2_Utilité!AO24&gt;0,2_Utilité!Z24/2_Utilité!AO24,0)</f>
        <v>0</v>
      </c>
      <c r="AA24" s="0" t="n">
        <f aca="false">IF(2_Utilité!AO24&gt;0,2_Utilité!AA24/2_Utilité!AO24,0)</f>
        <v>0</v>
      </c>
      <c r="AB24" s="0" t="n">
        <f aca="false">IF(2_Utilité!AO24&gt;0,2_Utilité!AB24/2_Utilité!AO24,0)</f>
        <v>0</v>
      </c>
      <c r="AC24" s="0" t="n">
        <f aca="false">IF(2_Utilité!AO24&gt;0,2_Utilité!AC24/2_Utilité!AO24,0)</f>
        <v>0</v>
      </c>
      <c r="AD24" s="0" t="n">
        <f aca="false">IF(2_Utilité!AO24&gt;0,2_Utilité!AD24/2_Utilité!AO24,0)</f>
        <v>0</v>
      </c>
      <c r="AE24" s="0" t="n">
        <f aca="false">IF(2_Utilité!AO24&gt;0,2_Utilité!AE24/2_Utilité!AO24,0)</f>
        <v>0</v>
      </c>
      <c r="AF24" s="0" t="n">
        <f aca="false">IF(2_Utilité!AO24&gt;0,2_Utilité!AF24/2_Utilité!AO24,0)</f>
        <v>0</v>
      </c>
      <c r="AG24" s="0" t="n">
        <f aca="false">IF(2_Utilité!AO24&gt;0,2_Utilité!AG24/2_Utilité!AO24,0)</f>
        <v>0.770058384671624</v>
      </c>
      <c r="AH24" s="0" t="n">
        <f aca="false">IF(2_Utilité!AO24&gt;0,2_Utilité!AH24/2_Utilité!AO24,0)</f>
        <v>0</v>
      </c>
      <c r="AI24" s="0" t="n">
        <f aca="false">IF(2_Utilité!AO24&gt;0,2_Utilité!AI24/2_Utilité!AO24,0)</f>
        <v>0</v>
      </c>
      <c r="AJ24" s="0" t="n">
        <f aca="false">IF(2_Utilité!AO24&gt;0,2_Utilité!AJ24/2_Utilité!AO24,0)</f>
        <v>0</v>
      </c>
      <c r="AK24" s="0" t="n">
        <f aca="false">IF(2_Utilité!AO24&gt;0,2_Utilité!AK24/2_Utilité!AO24,0)</f>
        <v>0</v>
      </c>
      <c r="AL24" s="0" t="n">
        <f aca="false">IF(2_Utilité!AO24&gt;0,2_Utilité!AL24/2_Utilité!AO24,0)</f>
        <v>0</v>
      </c>
      <c r="AM24" s="48" t="n">
        <f aca="false">IF(2_Utilité!AO24&gt;0,2_Utilité!AM24/2_Utilité!AO24,0)</f>
        <v>0.0273431677668385</v>
      </c>
      <c r="AN24" s="43" t="n">
        <f aca="false">IF(2_Utilité!AO24&gt;0,2_Utilité!AN24/2_Utilité!AO24,0)</f>
        <v>0.0711876051125779</v>
      </c>
      <c r="AO24" s="43" t="n">
        <f aca="false">SUM(C24:AN24)</f>
        <v>1</v>
      </c>
      <c r="AP24" s="43" t="n">
        <f aca="false">COUNTIF(Matrice_OD!$C24:$AN24,"&lt;="&amp;Param!$B$2)</f>
        <v>8</v>
      </c>
    </row>
    <row r="25" customFormat="false" ht="15" hidden="false" customHeight="true" outlineLevel="0" collapsed="false">
      <c r="A25" s="0" t="s">
        <v>148</v>
      </c>
      <c r="B25" s="0" t="s">
        <v>149</v>
      </c>
      <c r="C25" s="0" t="n">
        <f aca="false">IF(2_Utilité!AO25&gt;0,2_Utilité!C25/2_Utilité!AO25,0)</f>
        <v>0</v>
      </c>
      <c r="D25" s="0" t="n">
        <f aca="false">IF(2_Utilité!AO25&gt;0,2_Utilité!D25/2_Utilité!AO25,0)</f>
        <v>0</v>
      </c>
      <c r="E25" s="0" t="n">
        <f aca="false">IF(2_Utilité!AO25&gt;0,2_Utilité!E25/2_Utilité!AO25,0)</f>
        <v>0</v>
      </c>
      <c r="F25" s="0" t="n">
        <f aca="false">IF(2_Utilité!AO25&gt;0,2_Utilité!F25/2_Utilité!AO25,0)</f>
        <v>0</v>
      </c>
      <c r="G25" s="0" t="n">
        <f aca="false">IF(2_Utilité!AO25&gt;0,2_Utilité!G25/2_Utilité!AO25,0)</f>
        <v>0</v>
      </c>
      <c r="H25" s="0" t="n">
        <f aca="false">IF(2_Utilité!AO25&gt;0,2_Utilité!H25/2_Utilité!AO25,0)</f>
        <v>0</v>
      </c>
      <c r="I25" s="0" t="n">
        <f aca="false">IF(2_Utilité!AO25&gt;0,2_Utilité!I25/2_Utilité!AO25,0)</f>
        <v>0</v>
      </c>
      <c r="J25" s="0" t="n">
        <f aca="false">IF(2_Utilité!AO25&gt;0,2_Utilité!J25/2_Utilité!AO25,0)</f>
        <v>0</v>
      </c>
      <c r="K25" s="0" t="n">
        <f aca="false">IF(2_Utilité!AO25&gt;0,2_Utilité!K25/2_Utilité!AO25,0)</f>
        <v>0</v>
      </c>
      <c r="L25" s="0" t="n">
        <f aca="false">IF(2_Utilité!AO25&gt;0,2_Utilité!L25/2_Utilité!AO25,0)</f>
        <v>0</v>
      </c>
      <c r="M25" s="0" t="n">
        <f aca="false">IF(2_Utilité!AO25&gt;0,2_Utilité!M25/2_Utilité!AO25,0)</f>
        <v>0</v>
      </c>
      <c r="N25" s="0" t="n">
        <f aca="false">IF(2_Utilité!AO25&gt;0,2_Utilité!N25/2_Utilité!AO25,0)</f>
        <v>0</v>
      </c>
      <c r="O25" s="0" t="n">
        <f aca="false">IF(2_Utilité!AO25&gt;0,2_Utilité!O25/2_Utilité!AO25,0)</f>
        <v>0</v>
      </c>
      <c r="P25" s="0" t="n">
        <f aca="false">IF(2_Utilité!AO25&gt;0,2_Utilité!P25/2_Utilité!AO25,0)</f>
        <v>0</v>
      </c>
      <c r="Q25" s="0" t="n">
        <f aca="false">IF(2_Utilité!AO25&gt;0,2_Utilité!Q25/2_Utilité!AO25,0)</f>
        <v>0</v>
      </c>
      <c r="R25" s="0" t="n">
        <f aca="false">IF(2_Utilité!AO25&gt;0,2_Utilité!R25/2_Utilité!AO25,0)</f>
        <v>0</v>
      </c>
      <c r="S25" s="0" t="n">
        <f aca="false">IF(2_Utilité!AO25&gt;0,2_Utilité!S25/2_Utilité!AO25,0)</f>
        <v>0</v>
      </c>
      <c r="T25" s="0" t="n">
        <f aca="false">IF(2_Utilité!AO25&gt;0,2_Utilité!T25/2_Utilité!AO25,0)</f>
        <v>0</v>
      </c>
      <c r="U25" s="0" t="n">
        <f aca="false">IF(2_Utilité!AO25&gt;0,2_Utilité!U25/2_Utilité!AO25,0)</f>
        <v>0</v>
      </c>
      <c r="V25" s="0" t="n">
        <f aca="false">IF(2_Utilité!AO25&gt;0,2_Utilité!V25/2_Utilité!AO25,0)</f>
        <v>0</v>
      </c>
      <c r="W25" s="0" t="n">
        <f aca="false">IF(2_Utilité!AO25&gt;0,2_Utilité!W25/2_Utilité!AO25,0)</f>
        <v>0</v>
      </c>
      <c r="X25" s="0" t="n">
        <f aca="false">IF(2_Utilité!AO25&gt;0,2_Utilité!X25/2_Utilité!AO25,0)</f>
        <v>0</v>
      </c>
      <c r="Y25" s="0" t="n">
        <f aca="false">IF(2_Utilité!AO25&gt;0,2_Utilité!Y25/2_Utilité!AO25,0)</f>
        <v>0</v>
      </c>
      <c r="Z25" s="0" t="n">
        <f aca="false">IF(2_Utilité!AO25&gt;0,2_Utilité!Z25/2_Utilité!AO25,0)</f>
        <v>0</v>
      </c>
      <c r="AA25" s="0" t="n">
        <f aca="false">IF(2_Utilité!AO25&gt;0,2_Utilité!AA25/2_Utilité!AO25,0)</f>
        <v>0</v>
      </c>
      <c r="AB25" s="0" t="n">
        <f aca="false">IF(2_Utilité!AO25&gt;0,2_Utilité!AB25/2_Utilité!AO25,0)</f>
        <v>0</v>
      </c>
      <c r="AC25" s="0" t="n">
        <f aca="false">IF(2_Utilité!AO25&gt;0,2_Utilité!AC25/2_Utilité!AO25,0)</f>
        <v>0</v>
      </c>
      <c r="AD25" s="0" t="n">
        <f aca="false">IF(2_Utilité!AO25&gt;0,2_Utilité!AD25/2_Utilité!AO25,0)</f>
        <v>0</v>
      </c>
      <c r="AE25" s="0" t="n">
        <f aca="false">IF(2_Utilité!AO25&gt;0,2_Utilité!AE25/2_Utilité!AO25,0)</f>
        <v>0</v>
      </c>
      <c r="AF25" s="0" t="n">
        <f aca="false">IF(2_Utilité!AO25&gt;0,2_Utilité!AF25/2_Utilité!AO25,0)</f>
        <v>0</v>
      </c>
      <c r="AG25" s="0" t="n">
        <f aca="false">IF(2_Utilité!AO25&gt;0,2_Utilité!AG25/2_Utilité!AO25,0)</f>
        <v>0.0102657679481926</v>
      </c>
      <c r="AH25" s="0" t="n">
        <f aca="false">IF(2_Utilité!AO25&gt;0,2_Utilité!AH25/2_Utilité!AO25,0)</f>
        <v>0</v>
      </c>
      <c r="AI25" s="0" t="n">
        <f aca="false">IF(2_Utilité!AO25&gt;0,2_Utilité!AI25/2_Utilité!AO25,0)</f>
        <v>0</v>
      </c>
      <c r="AJ25" s="0" t="n">
        <f aca="false">IF(2_Utilité!AO25&gt;0,2_Utilité!AJ25/2_Utilité!AO25,0)</f>
        <v>0</v>
      </c>
      <c r="AK25" s="0" t="n">
        <f aca="false">IF(2_Utilité!AO25&gt;0,2_Utilité!AK25/2_Utilité!AO25,0)</f>
        <v>0</v>
      </c>
      <c r="AL25" s="0" t="n">
        <f aca="false">IF(2_Utilité!AO25&gt;0,2_Utilité!AL25/2_Utilité!AO25,0)</f>
        <v>0</v>
      </c>
      <c r="AM25" s="49" t="n">
        <f aca="false">IF(2_Utilité!AO25&gt;0,2_Utilité!AM25/2_Utilité!AO25,0)</f>
        <v>0</v>
      </c>
      <c r="AN25" s="43" t="n">
        <f aca="false">IF(2_Utilité!AO25&gt;0,2_Utilité!AN25/2_Utilité!AO25,0)</f>
        <v>0.989734232051807</v>
      </c>
      <c r="AO25" s="43" t="n">
        <f aca="false">SUM(C25:AN25)</f>
        <v>1</v>
      </c>
      <c r="AP25" s="43" t="n">
        <f aca="false">COUNTIF(Matrice_OD!$C25:$AN25,"&lt;="&amp;Param!$B$2)</f>
        <v>2</v>
      </c>
    </row>
    <row r="26" customFormat="false" ht="15" hidden="false" customHeight="true" outlineLevel="0" collapsed="false">
      <c r="A26" s="0" t="s">
        <v>150</v>
      </c>
      <c r="B26" s="0" t="s">
        <v>151</v>
      </c>
      <c r="C26" s="0" t="n">
        <f aca="false">IF(2_Utilité!AO26&gt;0,2_Utilité!C26/2_Utilité!AO26,0)</f>
        <v>0</v>
      </c>
      <c r="D26" s="0" t="n">
        <f aca="false">IF(2_Utilité!AO26&gt;0,2_Utilité!D26/2_Utilité!AO26,0)</f>
        <v>0</v>
      </c>
      <c r="E26" s="0" t="n">
        <f aca="false">IF(2_Utilité!AO26&gt;0,2_Utilité!E26/2_Utilité!AO26,0)</f>
        <v>0</v>
      </c>
      <c r="F26" s="0" t="n">
        <f aca="false">IF(2_Utilité!AO26&gt;0,2_Utilité!F26/2_Utilité!AO26,0)</f>
        <v>0</v>
      </c>
      <c r="G26" s="0" t="n">
        <f aca="false">IF(2_Utilité!AO26&gt;0,2_Utilité!G26/2_Utilité!AO26,0)</f>
        <v>0</v>
      </c>
      <c r="H26" s="0" t="n">
        <f aca="false">IF(2_Utilité!AO26&gt;0,2_Utilité!H26/2_Utilité!AO26,0)</f>
        <v>0</v>
      </c>
      <c r="I26" s="0" t="n">
        <f aca="false">IF(2_Utilité!AO26&gt;0,2_Utilité!I26/2_Utilité!AO26,0)</f>
        <v>0</v>
      </c>
      <c r="J26" s="0" t="n">
        <f aca="false">IF(2_Utilité!AO26&gt;0,2_Utilité!J26/2_Utilité!AO26,0)</f>
        <v>0</v>
      </c>
      <c r="K26" s="0" t="n">
        <f aca="false">IF(2_Utilité!AO26&gt;0,2_Utilité!K26/2_Utilité!AO26,0)</f>
        <v>0</v>
      </c>
      <c r="L26" s="0" t="n">
        <f aca="false">IF(2_Utilité!AO26&gt;0,2_Utilité!L26/2_Utilité!AO26,0)</f>
        <v>0</v>
      </c>
      <c r="M26" s="0" t="n">
        <f aca="false">IF(2_Utilité!AO26&gt;0,2_Utilité!M26/2_Utilité!AO26,0)</f>
        <v>0</v>
      </c>
      <c r="N26" s="0" t="n">
        <f aca="false">IF(2_Utilité!AO26&gt;0,2_Utilité!N26/2_Utilité!AO26,0)</f>
        <v>0</v>
      </c>
      <c r="O26" s="0" t="n">
        <f aca="false">IF(2_Utilité!AO26&gt;0,2_Utilité!O26/2_Utilité!AO26,0)</f>
        <v>0</v>
      </c>
      <c r="P26" s="0" t="n">
        <f aca="false">IF(2_Utilité!AO26&gt;0,2_Utilité!P26/2_Utilité!AO26,0)</f>
        <v>0</v>
      </c>
      <c r="Q26" s="0" t="n">
        <f aca="false">IF(2_Utilité!AO26&gt;0,2_Utilité!Q26/2_Utilité!AO26,0)</f>
        <v>0</v>
      </c>
      <c r="R26" s="0" t="n">
        <f aca="false">IF(2_Utilité!AO26&gt;0,2_Utilité!R26/2_Utilité!AO26,0)</f>
        <v>0</v>
      </c>
      <c r="S26" s="0" t="n">
        <f aca="false">IF(2_Utilité!AO26&gt;0,2_Utilité!S26/2_Utilité!AO26,0)</f>
        <v>0</v>
      </c>
      <c r="T26" s="0" t="n">
        <f aca="false">IF(2_Utilité!AO26&gt;0,2_Utilité!T26/2_Utilité!AO26,0)</f>
        <v>0</v>
      </c>
      <c r="U26" s="0" t="n">
        <f aca="false">IF(2_Utilité!AO26&gt;0,2_Utilité!U26/2_Utilité!AO26,0)</f>
        <v>0</v>
      </c>
      <c r="V26" s="0" t="n">
        <f aca="false">IF(2_Utilité!AO26&gt;0,2_Utilité!V26/2_Utilité!AO26,0)</f>
        <v>0</v>
      </c>
      <c r="W26" s="0" t="n">
        <f aca="false">IF(2_Utilité!AO26&gt;0,2_Utilité!W26/2_Utilité!AO26,0)</f>
        <v>0</v>
      </c>
      <c r="X26" s="0" t="n">
        <f aca="false">IF(2_Utilité!AO26&gt;0,2_Utilité!X26/2_Utilité!AO26,0)</f>
        <v>0</v>
      </c>
      <c r="Y26" s="0" t="n">
        <f aca="false">IF(2_Utilité!AO26&gt;0,2_Utilité!Y26/2_Utilité!AO26,0)</f>
        <v>0</v>
      </c>
      <c r="Z26" s="0" t="n">
        <f aca="false">IF(2_Utilité!AO26&gt;0,2_Utilité!Z26/2_Utilité!AO26,0)</f>
        <v>0</v>
      </c>
      <c r="AA26" s="0" t="n">
        <f aca="false">IF(2_Utilité!AO26&gt;0,2_Utilité!AA26/2_Utilité!AO26,0)</f>
        <v>0</v>
      </c>
      <c r="AB26" s="0" t="n">
        <f aca="false">IF(2_Utilité!AO26&gt;0,2_Utilité!AB26/2_Utilité!AO26,0)</f>
        <v>0</v>
      </c>
      <c r="AC26" s="0" t="n">
        <f aca="false">IF(2_Utilité!AO26&gt;0,2_Utilité!AC26/2_Utilité!AO26,0)</f>
        <v>0</v>
      </c>
      <c r="AD26" s="0" t="n">
        <f aca="false">IF(2_Utilité!AO26&gt;0,2_Utilité!AD26/2_Utilité!AO26,0)</f>
        <v>0</v>
      </c>
      <c r="AE26" s="0" t="n">
        <f aca="false">IF(2_Utilité!AO26&gt;0,2_Utilité!AE26/2_Utilité!AO26,0)</f>
        <v>0</v>
      </c>
      <c r="AF26" s="0" t="n">
        <f aca="false">IF(2_Utilité!AO26&gt;0,2_Utilité!AF26/2_Utilité!AO26,0)</f>
        <v>0</v>
      </c>
      <c r="AG26" s="0" t="n">
        <f aca="false">IF(2_Utilité!AO26&gt;0,2_Utilité!AG26/2_Utilité!AO26,0)</f>
        <v>1</v>
      </c>
      <c r="AH26" s="0" t="n">
        <f aca="false">IF(2_Utilité!AO26&gt;0,2_Utilité!AH26/2_Utilité!AO26,0)</f>
        <v>0</v>
      </c>
      <c r="AI26" s="0" t="n">
        <f aca="false">IF(2_Utilité!AO26&gt;0,2_Utilité!AI26/2_Utilité!AO26,0)</f>
        <v>0</v>
      </c>
      <c r="AJ26" s="0" t="n">
        <f aca="false">IF(2_Utilité!AO26&gt;0,2_Utilité!AJ26/2_Utilité!AO26,0)</f>
        <v>0</v>
      </c>
      <c r="AK26" s="0" t="n">
        <f aca="false">IF(2_Utilité!AO26&gt;0,2_Utilité!AK26/2_Utilité!AO26,0)</f>
        <v>0</v>
      </c>
      <c r="AL26" s="0" t="n">
        <f aca="false">IF(2_Utilité!AO26&gt;0,2_Utilité!AL26/2_Utilité!AO26,0)</f>
        <v>0</v>
      </c>
      <c r="AM26" s="48" t="n">
        <f aca="false">IF(2_Utilité!AO26&gt;0,2_Utilité!AM26/2_Utilité!AO26,0)</f>
        <v>0</v>
      </c>
      <c r="AN26" s="43" t="n">
        <f aca="false">IF(2_Utilité!AO26&gt;0,2_Utilité!AN26/2_Utilité!AO26,0)</f>
        <v>0</v>
      </c>
      <c r="AO26" s="43" t="n">
        <f aca="false">SUM(C26:AN26)</f>
        <v>1</v>
      </c>
      <c r="AP26" s="43" t="n">
        <f aca="false">COUNTIF(Matrice_OD!$C26:$AN26,"&lt;="&amp;Param!$B$2)</f>
        <v>1</v>
      </c>
    </row>
    <row r="27" customFormat="false" ht="15" hidden="false" customHeight="true" outlineLevel="0" collapsed="false">
      <c r="A27" s="0" t="s">
        <v>152</v>
      </c>
      <c r="B27" s="0" t="s">
        <v>153</v>
      </c>
      <c r="C27" s="0" t="n">
        <f aca="false">IF(2_Utilité!AO27&gt;0,2_Utilité!C27/2_Utilité!AO27,0)</f>
        <v>0</v>
      </c>
      <c r="D27" s="0" t="n">
        <f aca="false">IF(2_Utilité!AO27&gt;0,2_Utilité!D27/2_Utilité!AO27,0)</f>
        <v>0</v>
      </c>
      <c r="E27" s="0" t="n">
        <f aca="false">IF(2_Utilité!AO27&gt;0,2_Utilité!E27/2_Utilité!AO27,0)</f>
        <v>0</v>
      </c>
      <c r="F27" s="0" t="n">
        <f aca="false">IF(2_Utilité!AO27&gt;0,2_Utilité!F27/2_Utilité!AO27,0)</f>
        <v>0</v>
      </c>
      <c r="G27" s="0" t="n">
        <f aca="false">IF(2_Utilité!AO27&gt;0,2_Utilité!G27/2_Utilité!AO27,0)</f>
        <v>0</v>
      </c>
      <c r="H27" s="0" t="n">
        <f aca="false">IF(2_Utilité!AO27&gt;0,2_Utilité!H27/2_Utilité!AO27,0)</f>
        <v>0</v>
      </c>
      <c r="I27" s="0" t="n">
        <f aca="false">IF(2_Utilité!AO27&gt;0,2_Utilité!I27/2_Utilité!AO27,0)</f>
        <v>0</v>
      </c>
      <c r="J27" s="0" t="n">
        <f aca="false">IF(2_Utilité!AO27&gt;0,2_Utilité!J27/2_Utilité!AO27,0)</f>
        <v>0</v>
      </c>
      <c r="K27" s="0" t="n">
        <f aca="false">IF(2_Utilité!AO27&gt;0,2_Utilité!K27/2_Utilité!AO27,0)</f>
        <v>0</v>
      </c>
      <c r="L27" s="0" t="n">
        <f aca="false">IF(2_Utilité!AO27&gt;0,2_Utilité!L27/2_Utilité!AO27,0)</f>
        <v>0</v>
      </c>
      <c r="M27" s="0" t="n">
        <f aca="false">IF(2_Utilité!AO27&gt;0,2_Utilité!M27/2_Utilité!AO27,0)</f>
        <v>0</v>
      </c>
      <c r="N27" s="0" t="n">
        <f aca="false">IF(2_Utilité!AO27&gt;0,2_Utilité!N27/2_Utilité!AO27,0)</f>
        <v>0</v>
      </c>
      <c r="O27" s="0" t="n">
        <f aca="false">IF(2_Utilité!AO27&gt;0,2_Utilité!O27/2_Utilité!AO27,0)</f>
        <v>0</v>
      </c>
      <c r="P27" s="0" t="n">
        <f aca="false">IF(2_Utilité!AO27&gt;0,2_Utilité!P27/2_Utilité!AO27,0)</f>
        <v>0</v>
      </c>
      <c r="Q27" s="0" t="n">
        <f aca="false">IF(2_Utilité!AO27&gt;0,2_Utilité!Q27/2_Utilité!AO27,0)</f>
        <v>0</v>
      </c>
      <c r="R27" s="0" t="n">
        <f aca="false">IF(2_Utilité!AO27&gt;0,2_Utilité!R27/2_Utilité!AO27,0)</f>
        <v>0</v>
      </c>
      <c r="S27" s="0" t="n">
        <f aca="false">IF(2_Utilité!AO27&gt;0,2_Utilité!S27/2_Utilité!AO27,0)</f>
        <v>0</v>
      </c>
      <c r="T27" s="0" t="n">
        <f aca="false">IF(2_Utilité!AO27&gt;0,2_Utilité!T27/2_Utilité!AO27,0)</f>
        <v>0</v>
      </c>
      <c r="U27" s="0" t="n">
        <f aca="false">IF(2_Utilité!AO27&gt;0,2_Utilité!U27/2_Utilité!AO27,0)</f>
        <v>0</v>
      </c>
      <c r="V27" s="0" t="n">
        <f aca="false">IF(2_Utilité!AO27&gt;0,2_Utilité!V27/2_Utilité!AO27,0)</f>
        <v>0</v>
      </c>
      <c r="W27" s="0" t="n">
        <f aca="false">IF(2_Utilité!AO27&gt;0,2_Utilité!W27/2_Utilité!AO27,0)</f>
        <v>0</v>
      </c>
      <c r="X27" s="0" t="n">
        <f aca="false">IF(2_Utilité!AO27&gt;0,2_Utilité!X27/2_Utilité!AO27,0)</f>
        <v>0</v>
      </c>
      <c r="Y27" s="0" t="n">
        <f aca="false">IF(2_Utilité!AO27&gt;0,2_Utilité!Y27/2_Utilité!AO27,0)</f>
        <v>0</v>
      </c>
      <c r="Z27" s="0" t="n">
        <f aca="false">IF(2_Utilité!AO27&gt;0,2_Utilité!Z27/2_Utilité!AO27,0)</f>
        <v>0</v>
      </c>
      <c r="AA27" s="0" t="n">
        <f aca="false">IF(2_Utilité!AO27&gt;0,2_Utilité!AA27/2_Utilité!AO27,0)</f>
        <v>0</v>
      </c>
      <c r="AB27" s="0" t="n">
        <f aca="false">IF(2_Utilité!AO27&gt;0,2_Utilité!AB27/2_Utilité!AO27,0)</f>
        <v>0</v>
      </c>
      <c r="AC27" s="0" t="n">
        <f aca="false">IF(2_Utilité!AO27&gt;0,2_Utilité!AC27/2_Utilité!AO27,0)</f>
        <v>0</v>
      </c>
      <c r="AD27" s="0" t="n">
        <f aca="false">IF(2_Utilité!AO27&gt;0,2_Utilité!AD27/2_Utilité!AO27,0)</f>
        <v>0</v>
      </c>
      <c r="AE27" s="0" t="n">
        <f aca="false">IF(2_Utilité!AO27&gt;0,2_Utilité!AE27/2_Utilité!AO27,0)</f>
        <v>0</v>
      </c>
      <c r="AF27" s="0" t="n">
        <f aca="false">IF(2_Utilité!AO27&gt;0,2_Utilité!AF27/2_Utilité!AO27,0)</f>
        <v>0</v>
      </c>
      <c r="AG27" s="0" t="n">
        <f aca="false">IF(2_Utilité!AO27&gt;0,2_Utilité!AG27/2_Utilité!AO27,0)</f>
        <v>1</v>
      </c>
      <c r="AH27" s="0" t="n">
        <f aca="false">IF(2_Utilité!AO27&gt;0,2_Utilité!AH27/2_Utilité!AO27,0)</f>
        <v>0</v>
      </c>
      <c r="AI27" s="0" t="n">
        <f aca="false">IF(2_Utilité!AO27&gt;0,2_Utilité!AI27/2_Utilité!AO27,0)</f>
        <v>0</v>
      </c>
      <c r="AJ27" s="0" t="n">
        <f aca="false">IF(2_Utilité!AO27&gt;0,2_Utilité!AJ27/2_Utilité!AO27,0)</f>
        <v>0</v>
      </c>
      <c r="AK27" s="0" t="n">
        <f aca="false">IF(2_Utilité!AO27&gt;0,2_Utilité!AK27/2_Utilité!AO27,0)</f>
        <v>0</v>
      </c>
      <c r="AL27" s="0" t="n">
        <f aca="false">IF(2_Utilité!AO27&gt;0,2_Utilité!AL27/2_Utilité!AO27,0)</f>
        <v>0</v>
      </c>
      <c r="AM27" s="49" t="n">
        <f aca="false">IF(2_Utilité!AO27&gt;0,2_Utilité!AM27/2_Utilité!AO27,0)</f>
        <v>0</v>
      </c>
      <c r="AN27" s="43" t="n">
        <f aca="false">IF(2_Utilité!AO27&gt;0,2_Utilité!AN27/2_Utilité!AO27,0)</f>
        <v>0</v>
      </c>
      <c r="AO27" s="43" t="n">
        <f aca="false">SUM(C27:AN27)</f>
        <v>1</v>
      </c>
      <c r="AP27" s="43" t="n">
        <f aca="false">COUNTIF(Matrice_OD!$C27:$AN27,"&lt;="&amp;Param!$B$2)</f>
        <v>1</v>
      </c>
    </row>
    <row r="28" customFormat="false" ht="15" hidden="false" customHeight="true" outlineLevel="0" collapsed="false">
      <c r="A28" s="0" t="s">
        <v>154</v>
      </c>
      <c r="B28" s="0" t="s">
        <v>155</v>
      </c>
      <c r="C28" s="0" t="n">
        <f aca="false">IF(2_Utilité!AO28&gt;0,2_Utilité!C28/2_Utilité!AO28,0)</f>
        <v>0</v>
      </c>
      <c r="D28" s="0" t="n">
        <f aca="false">IF(2_Utilité!AO28&gt;0,2_Utilité!D28/2_Utilité!AO28,0)</f>
        <v>0</v>
      </c>
      <c r="E28" s="0" t="n">
        <f aca="false">IF(2_Utilité!AO28&gt;0,2_Utilité!E28/2_Utilité!AO28,0)</f>
        <v>0</v>
      </c>
      <c r="F28" s="0" t="n">
        <f aca="false">IF(2_Utilité!AO28&gt;0,2_Utilité!F28/2_Utilité!AO28,0)</f>
        <v>0</v>
      </c>
      <c r="G28" s="0" t="n">
        <f aca="false">IF(2_Utilité!AO28&gt;0,2_Utilité!G28/2_Utilité!AO28,0)</f>
        <v>0</v>
      </c>
      <c r="H28" s="0" t="n">
        <f aca="false">IF(2_Utilité!AO28&gt;0,2_Utilité!H28/2_Utilité!AO28,0)</f>
        <v>0</v>
      </c>
      <c r="I28" s="0" t="n">
        <f aca="false">IF(2_Utilité!AO28&gt;0,2_Utilité!I28/2_Utilité!AO28,0)</f>
        <v>0</v>
      </c>
      <c r="J28" s="0" t="n">
        <f aca="false">IF(2_Utilité!AO28&gt;0,2_Utilité!J28/2_Utilité!AO28,0)</f>
        <v>0</v>
      </c>
      <c r="K28" s="0" t="n">
        <f aca="false">IF(2_Utilité!AO28&gt;0,2_Utilité!K28/2_Utilité!AO28,0)</f>
        <v>0</v>
      </c>
      <c r="L28" s="0" t="n">
        <f aca="false">IF(2_Utilité!AO28&gt;0,2_Utilité!L28/2_Utilité!AO28,0)</f>
        <v>0</v>
      </c>
      <c r="M28" s="0" t="n">
        <f aca="false">IF(2_Utilité!AO28&gt;0,2_Utilité!M28/2_Utilité!AO28,0)</f>
        <v>0</v>
      </c>
      <c r="N28" s="0" t="n">
        <f aca="false">IF(2_Utilité!AO28&gt;0,2_Utilité!N28/2_Utilité!AO28,0)</f>
        <v>0</v>
      </c>
      <c r="O28" s="0" t="n">
        <f aca="false">IF(2_Utilité!AO28&gt;0,2_Utilité!O28/2_Utilité!AO28,0)</f>
        <v>0</v>
      </c>
      <c r="P28" s="0" t="n">
        <f aca="false">IF(2_Utilité!AO28&gt;0,2_Utilité!P28/2_Utilité!AO28,0)</f>
        <v>0</v>
      </c>
      <c r="Q28" s="0" t="n">
        <f aca="false">IF(2_Utilité!AO28&gt;0,2_Utilité!Q28/2_Utilité!AO28,0)</f>
        <v>0</v>
      </c>
      <c r="R28" s="0" t="n">
        <f aca="false">IF(2_Utilité!AO28&gt;0,2_Utilité!R28/2_Utilité!AO28,0)</f>
        <v>0</v>
      </c>
      <c r="S28" s="0" t="n">
        <f aca="false">IF(2_Utilité!AO28&gt;0,2_Utilité!S28/2_Utilité!AO28,0)</f>
        <v>0</v>
      </c>
      <c r="T28" s="0" t="n">
        <f aca="false">IF(2_Utilité!AO28&gt;0,2_Utilité!T28/2_Utilité!AO28,0)</f>
        <v>0</v>
      </c>
      <c r="U28" s="0" t="n">
        <f aca="false">IF(2_Utilité!AO28&gt;0,2_Utilité!U28/2_Utilité!AO28,0)</f>
        <v>0</v>
      </c>
      <c r="V28" s="0" t="n">
        <f aca="false">IF(2_Utilité!AO28&gt;0,2_Utilité!V28/2_Utilité!AO28,0)</f>
        <v>0</v>
      </c>
      <c r="W28" s="0" t="n">
        <f aca="false">IF(2_Utilité!AO28&gt;0,2_Utilité!W28/2_Utilité!AO28,0)</f>
        <v>0</v>
      </c>
      <c r="X28" s="0" t="n">
        <f aca="false">IF(2_Utilité!AO28&gt;0,2_Utilité!X28/2_Utilité!AO28,0)</f>
        <v>0</v>
      </c>
      <c r="Y28" s="0" t="n">
        <f aca="false">IF(2_Utilité!AO28&gt;0,2_Utilité!Y28/2_Utilité!AO28,0)</f>
        <v>0</v>
      </c>
      <c r="Z28" s="0" t="n">
        <f aca="false">IF(2_Utilité!AO28&gt;0,2_Utilité!Z28/2_Utilité!AO28,0)</f>
        <v>0</v>
      </c>
      <c r="AA28" s="0" t="n">
        <f aca="false">IF(2_Utilité!AO28&gt;0,2_Utilité!AA28/2_Utilité!AO28,0)</f>
        <v>0</v>
      </c>
      <c r="AB28" s="0" t="n">
        <f aca="false">IF(2_Utilité!AO28&gt;0,2_Utilité!AB28/2_Utilité!AO28,0)</f>
        <v>0</v>
      </c>
      <c r="AC28" s="0" t="n">
        <f aca="false">IF(2_Utilité!AO28&gt;0,2_Utilité!AC28/2_Utilité!AO28,0)</f>
        <v>0</v>
      </c>
      <c r="AD28" s="0" t="n">
        <f aca="false">IF(2_Utilité!AO28&gt;0,2_Utilité!AD28/2_Utilité!AO28,0)</f>
        <v>0</v>
      </c>
      <c r="AE28" s="0" t="n">
        <f aca="false">IF(2_Utilité!AO28&gt;0,2_Utilité!AE28/2_Utilité!AO28,0)</f>
        <v>0</v>
      </c>
      <c r="AF28" s="0" t="n">
        <f aca="false">IF(2_Utilité!AO28&gt;0,2_Utilité!AF28/2_Utilité!AO28,0)</f>
        <v>0</v>
      </c>
      <c r="AG28" s="0" t="n">
        <f aca="false">IF(2_Utilité!AO28&gt;0,2_Utilité!AG28/2_Utilité!AO28,0)</f>
        <v>0</v>
      </c>
      <c r="AH28" s="0" t="n">
        <f aca="false">IF(2_Utilité!AO28&gt;0,2_Utilité!AH28/2_Utilité!AO28,0)</f>
        <v>0</v>
      </c>
      <c r="AI28" s="0" t="n">
        <f aca="false">IF(2_Utilité!AO28&gt;0,2_Utilité!AI28/2_Utilité!AO28,0)</f>
        <v>0</v>
      </c>
      <c r="AJ28" s="0" t="n">
        <f aca="false">IF(2_Utilité!AO28&gt;0,2_Utilité!AJ28/2_Utilité!AO28,0)</f>
        <v>0</v>
      </c>
      <c r="AK28" s="0" t="n">
        <f aca="false">IF(2_Utilité!AO28&gt;0,2_Utilité!AK28/2_Utilité!AO28,0)</f>
        <v>0</v>
      </c>
      <c r="AL28" s="0" t="n">
        <f aca="false">IF(2_Utilité!AO28&gt;0,2_Utilité!AL28/2_Utilité!AO28,0)</f>
        <v>0</v>
      </c>
      <c r="AM28" s="48" t="n">
        <f aca="false">IF(2_Utilité!AO28&gt;0,2_Utilité!AM28/2_Utilité!AO28,0)</f>
        <v>0</v>
      </c>
      <c r="AN28" s="43" t="n">
        <f aca="false">IF(2_Utilité!AO28&gt;0,2_Utilité!AN28/2_Utilité!AO28,0)</f>
        <v>0</v>
      </c>
      <c r="AO28" s="43" t="n">
        <f aca="false">SUM(C28:AN28)</f>
        <v>0</v>
      </c>
      <c r="AP28" s="43" t="n">
        <f aca="false">COUNTIF(Matrice_OD!$C28:$AN28,"&lt;="&amp;Param!$B$2)</f>
        <v>0</v>
      </c>
    </row>
    <row r="29" customFormat="false" ht="15" hidden="false" customHeight="true" outlineLevel="0" collapsed="false">
      <c r="A29" s="0" t="s">
        <v>156</v>
      </c>
      <c r="B29" s="0" t="s">
        <v>157</v>
      </c>
      <c r="C29" s="0" t="n">
        <f aca="false">IF(2_Utilité!AO29&gt;0,2_Utilité!C29/2_Utilité!AO29,0)</f>
        <v>0</v>
      </c>
      <c r="D29" s="0" t="n">
        <f aca="false">IF(2_Utilité!AO29&gt;0,2_Utilité!D29/2_Utilité!AO29,0)</f>
        <v>0</v>
      </c>
      <c r="E29" s="0" t="n">
        <f aca="false">IF(2_Utilité!AO29&gt;0,2_Utilité!E29/2_Utilité!AO29,0)</f>
        <v>0</v>
      </c>
      <c r="F29" s="0" t="n">
        <f aca="false">IF(2_Utilité!AO29&gt;0,2_Utilité!F29/2_Utilité!AO29,0)</f>
        <v>0</v>
      </c>
      <c r="G29" s="0" t="n">
        <f aca="false">IF(2_Utilité!AO29&gt;0,2_Utilité!G29/2_Utilité!AO29,0)</f>
        <v>0</v>
      </c>
      <c r="H29" s="0" t="n">
        <f aca="false">IF(2_Utilité!AO29&gt;0,2_Utilité!H29/2_Utilité!AO29,0)</f>
        <v>0</v>
      </c>
      <c r="I29" s="0" t="n">
        <f aca="false">IF(2_Utilité!AO29&gt;0,2_Utilité!I29/2_Utilité!AO29,0)</f>
        <v>0</v>
      </c>
      <c r="J29" s="0" t="n">
        <f aca="false">IF(2_Utilité!AO29&gt;0,2_Utilité!J29/2_Utilité!AO29,0)</f>
        <v>0</v>
      </c>
      <c r="K29" s="0" t="n">
        <f aca="false">IF(2_Utilité!AO29&gt;0,2_Utilité!K29/2_Utilité!AO29,0)</f>
        <v>0</v>
      </c>
      <c r="L29" s="0" t="n">
        <f aca="false">IF(2_Utilité!AO29&gt;0,2_Utilité!L29/2_Utilité!AO29,0)</f>
        <v>0</v>
      </c>
      <c r="M29" s="0" t="n">
        <f aca="false">IF(2_Utilité!AO29&gt;0,2_Utilité!M29/2_Utilité!AO29,0)</f>
        <v>0</v>
      </c>
      <c r="N29" s="0" t="n">
        <f aca="false">IF(2_Utilité!AO29&gt;0,2_Utilité!N29/2_Utilité!AO29,0)</f>
        <v>0</v>
      </c>
      <c r="O29" s="0" t="n">
        <f aca="false">IF(2_Utilité!AO29&gt;0,2_Utilité!O29/2_Utilité!AO29,0)</f>
        <v>0</v>
      </c>
      <c r="P29" s="0" t="n">
        <f aca="false">IF(2_Utilité!AO29&gt;0,2_Utilité!P29/2_Utilité!AO29,0)</f>
        <v>0</v>
      </c>
      <c r="Q29" s="0" t="n">
        <f aca="false">IF(2_Utilité!AO29&gt;0,2_Utilité!Q29/2_Utilité!AO29,0)</f>
        <v>0</v>
      </c>
      <c r="R29" s="0" t="n">
        <f aca="false">IF(2_Utilité!AO29&gt;0,2_Utilité!R29/2_Utilité!AO29,0)</f>
        <v>0</v>
      </c>
      <c r="S29" s="0" t="n">
        <f aca="false">IF(2_Utilité!AO29&gt;0,2_Utilité!S29/2_Utilité!AO29,0)</f>
        <v>0</v>
      </c>
      <c r="T29" s="0" t="n">
        <f aca="false">IF(2_Utilité!AO29&gt;0,2_Utilité!T29/2_Utilité!AO29,0)</f>
        <v>0</v>
      </c>
      <c r="U29" s="0" t="n">
        <f aca="false">IF(2_Utilité!AO29&gt;0,2_Utilité!U29/2_Utilité!AO29,0)</f>
        <v>0</v>
      </c>
      <c r="V29" s="0" t="n">
        <f aca="false">IF(2_Utilité!AO29&gt;0,2_Utilité!V29/2_Utilité!AO29,0)</f>
        <v>0</v>
      </c>
      <c r="W29" s="0" t="n">
        <f aca="false">IF(2_Utilité!AO29&gt;0,2_Utilité!W29/2_Utilité!AO29,0)</f>
        <v>0</v>
      </c>
      <c r="X29" s="0" t="n">
        <f aca="false">IF(2_Utilité!AO29&gt;0,2_Utilité!X29/2_Utilité!AO29,0)</f>
        <v>0</v>
      </c>
      <c r="Y29" s="0" t="n">
        <f aca="false">IF(2_Utilité!AO29&gt;0,2_Utilité!Y29/2_Utilité!AO29,0)</f>
        <v>0</v>
      </c>
      <c r="Z29" s="0" t="n">
        <f aca="false">IF(2_Utilité!AO29&gt;0,2_Utilité!Z29/2_Utilité!AO29,0)</f>
        <v>0</v>
      </c>
      <c r="AA29" s="0" t="n">
        <f aca="false">IF(2_Utilité!AO29&gt;0,2_Utilité!AA29/2_Utilité!AO29,0)</f>
        <v>0</v>
      </c>
      <c r="AB29" s="0" t="n">
        <f aca="false">IF(2_Utilité!AO29&gt;0,2_Utilité!AB29/2_Utilité!AO29,0)</f>
        <v>0</v>
      </c>
      <c r="AC29" s="0" t="n">
        <f aca="false">IF(2_Utilité!AO29&gt;0,2_Utilité!AC29/2_Utilité!AO29,0)</f>
        <v>0</v>
      </c>
      <c r="AD29" s="0" t="n">
        <f aca="false">IF(2_Utilité!AO29&gt;0,2_Utilité!AD29/2_Utilité!AO29,0)</f>
        <v>0</v>
      </c>
      <c r="AE29" s="0" t="n">
        <f aca="false">IF(2_Utilité!AO29&gt;0,2_Utilité!AE29/2_Utilité!AO29,0)</f>
        <v>0</v>
      </c>
      <c r="AF29" s="0" t="n">
        <f aca="false">IF(2_Utilité!AO29&gt;0,2_Utilité!AF29/2_Utilité!AO29,0)</f>
        <v>0</v>
      </c>
      <c r="AG29" s="0" t="n">
        <f aca="false">IF(2_Utilité!AO29&gt;0,2_Utilité!AG29/2_Utilité!AO29,0)</f>
        <v>0</v>
      </c>
      <c r="AH29" s="0" t="n">
        <f aca="false">IF(2_Utilité!AO29&gt;0,2_Utilité!AH29/2_Utilité!AO29,0)</f>
        <v>0</v>
      </c>
      <c r="AI29" s="0" t="n">
        <f aca="false">IF(2_Utilité!AO29&gt;0,2_Utilité!AI29/2_Utilité!AO29,0)</f>
        <v>0</v>
      </c>
      <c r="AJ29" s="0" t="n">
        <f aca="false">IF(2_Utilité!AO29&gt;0,2_Utilité!AJ29/2_Utilité!AO29,0)</f>
        <v>0</v>
      </c>
      <c r="AK29" s="0" t="n">
        <f aca="false">IF(2_Utilité!AO29&gt;0,2_Utilité!AK29/2_Utilité!AO29,0)</f>
        <v>0</v>
      </c>
      <c r="AL29" s="0" t="n">
        <f aca="false">IF(2_Utilité!AO29&gt;0,2_Utilité!AL29/2_Utilité!AO29,0)</f>
        <v>0</v>
      </c>
      <c r="AM29" s="49" t="n">
        <f aca="false">IF(2_Utilité!AO29&gt;0,2_Utilité!AM29/2_Utilité!AO29,0)</f>
        <v>0</v>
      </c>
      <c r="AN29" s="43" t="n">
        <f aca="false">IF(2_Utilité!AO29&gt;0,2_Utilité!AN29/2_Utilité!AO29,0)</f>
        <v>1</v>
      </c>
      <c r="AO29" s="43" t="n">
        <f aca="false">SUM(C29:AN29)</f>
        <v>1</v>
      </c>
      <c r="AP29" s="43" t="n">
        <f aca="false">COUNTIF(Matrice_OD!$C29:$AN29,"&lt;="&amp;Param!$B$2)</f>
        <v>1</v>
      </c>
    </row>
    <row r="30" customFormat="false" ht="15" hidden="false" customHeight="true" outlineLevel="0" collapsed="false">
      <c r="A30" s="0" t="s">
        <v>158</v>
      </c>
      <c r="B30" s="0" t="s">
        <v>159</v>
      </c>
      <c r="C30" s="0" t="n">
        <f aca="false">IF(2_Utilité!AO30&gt;0,2_Utilité!C30/2_Utilité!AO30,0)</f>
        <v>0</v>
      </c>
      <c r="D30" s="0" t="n">
        <f aca="false">IF(2_Utilité!AO30&gt;0,2_Utilité!D30/2_Utilité!AO30,0)</f>
        <v>0</v>
      </c>
      <c r="E30" s="0" t="n">
        <f aca="false">IF(2_Utilité!AO30&gt;0,2_Utilité!E30/2_Utilité!AO30,0)</f>
        <v>0</v>
      </c>
      <c r="F30" s="0" t="n">
        <f aca="false">IF(2_Utilité!AO30&gt;0,2_Utilité!F30/2_Utilité!AO30,0)</f>
        <v>0</v>
      </c>
      <c r="G30" s="0" t="n">
        <f aca="false">IF(2_Utilité!AO30&gt;0,2_Utilité!G30/2_Utilité!AO30,0)</f>
        <v>0</v>
      </c>
      <c r="H30" s="0" t="n">
        <f aca="false">IF(2_Utilité!AO30&gt;0,2_Utilité!H30/2_Utilité!AO30,0)</f>
        <v>0</v>
      </c>
      <c r="I30" s="0" t="n">
        <f aca="false">IF(2_Utilité!AO30&gt;0,2_Utilité!I30/2_Utilité!AO30,0)</f>
        <v>0</v>
      </c>
      <c r="J30" s="0" t="n">
        <f aca="false">IF(2_Utilité!AO30&gt;0,2_Utilité!J30/2_Utilité!AO30,0)</f>
        <v>0</v>
      </c>
      <c r="K30" s="0" t="n">
        <f aca="false">IF(2_Utilité!AO30&gt;0,2_Utilité!K30/2_Utilité!AO30,0)</f>
        <v>0</v>
      </c>
      <c r="L30" s="0" t="n">
        <f aca="false">IF(2_Utilité!AO30&gt;0,2_Utilité!L30/2_Utilité!AO30,0)</f>
        <v>0</v>
      </c>
      <c r="M30" s="0" t="n">
        <f aca="false">IF(2_Utilité!AO30&gt;0,2_Utilité!M30/2_Utilité!AO30,0)</f>
        <v>0</v>
      </c>
      <c r="N30" s="0" t="n">
        <f aca="false">IF(2_Utilité!AO30&gt;0,2_Utilité!N30/2_Utilité!AO30,0)</f>
        <v>0</v>
      </c>
      <c r="O30" s="0" t="n">
        <f aca="false">IF(2_Utilité!AO30&gt;0,2_Utilité!O30/2_Utilité!AO30,0)</f>
        <v>0</v>
      </c>
      <c r="P30" s="0" t="n">
        <f aca="false">IF(2_Utilité!AO30&gt;0,2_Utilité!P30/2_Utilité!AO30,0)</f>
        <v>0</v>
      </c>
      <c r="Q30" s="0" t="n">
        <f aca="false">IF(2_Utilité!AO30&gt;0,2_Utilité!Q30/2_Utilité!AO30,0)</f>
        <v>0</v>
      </c>
      <c r="R30" s="0" t="n">
        <f aca="false">IF(2_Utilité!AO30&gt;0,2_Utilité!R30/2_Utilité!AO30,0)</f>
        <v>0</v>
      </c>
      <c r="S30" s="0" t="n">
        <f aca="false">IF(2_Utilité!AO30&gt;0,2_Utilité!S30/2_Utilité!AO30,0)</f>
        <v>0</v>
      </c>
      <c r="T30" s="0" t="n">
        <f aca="false">IF(2_Utilité!AO30&gt;0,2_Utilité!T30/2_Utilité!AO30,0)</f>
        <v>0</v>
      </c>
      <c r="U30" s="0" t="n">
        <f aca="false">IF(2_Utilité!AO30&gt;0,2_Utilité!U30/2_Utilité!AO30,0)</f>
        <v>0</v>
      </c>
      <c r="V30" s="0" t="n">
        <f aca="false">IF(2_Utilité!AO30&gt;0,2_Utilité!V30/2_Utilité!AO30,0)</f>
        <v>0</v>
      </c>
      <c r="W30" s="0" t="n">
        <f aca="false">IF(2_Utilité!AO30&gt;0,2_Utilité!W30/2_Utilité!AO30,0)</f>
        <v>0</v>
      </c>
      <c r="X30" s="0" t="n">
        <f aca="false">IF(2_Utilité!AO30&gt;0,2_Utilité!X30/2_Utilité!AO30,0)</f>
        <v>0</v>
      </c>
      <c r="Y30" s="0" t="n">
        <f aca="false">IF(2_Utilité!AO30&gt;0,2_Utilité!Y30/2_Utilité!AO30,0)</f>
        <v>0</v>
      </c>
      <c r="Z30" s="0" t="n">
        <f aca="false">IF(2_Utilité!AO30&gt;0,2_Utilité!Z30/2_Utilité!AO30,0)</f>
        <v>0</v>
      </c>
      <c r="AA30" s="0" t="n">
        <f aca="false">IF(2_Utilité!AO30&gt;0,2_Utilité!AA30/2_Utilité!AO30,0)</f>
        <v>0</v>
      </c>
      <c r="AB30" s="0" t="n">
        <f aca="false">IF(2_Utilité!AO30&gt;0,2_Utilité!AB30/2_Utilité!AO30,0)</f>
        <v>0</v>
      </c>
      <c r="AC30" s="0" t="n">
        <f aca="false">IF(2_Utilité!AO30&gt;0,2_Utilité!AC30/2_Utilité!AO30,0)</f>
        <v>0</v>
      </c>
      <c r="AD30" s="0" t="n">
        <f aca="false">IF(2_Utilité!AO30&gt;0,2_Utilité!AD30/2_Utilité!AO30,0)</f>
        <v>0</v>
      </c>
      <c r="AE30" s="0" t="n">
        <f aca="false">IF(2_Utilité!AO30&gt;0,2_Utilité!AE30/2_Utilité!AO30,0)</f>
        <v>0</v>
      </c>
      <c r="AF30" s="0" t="n">
        <f aca="false">IF(2_Utilité!AO30&gt;0,2_Utilité!AF30/2_Utilité!AO30,0)</f>
        <v>0</v>
      </c>
      <c r="AG30" s="0" t="n">
        <f aca="false">IF(2_Utilité!AO30&gt;0,2_Utilité!AG30/2_Utilité!AO30,0)</f>
        <v>1</v>
      </c>
      <c r="AH30" s="0" t="n">
        <f aca="false">IF(2_Utilité!AO30&gt;0,2_Utilité!AH30/2_Utilité!AO30,0)</f>
        <v>0</v>
      </c>
      <c r="AI30" s="0" t="n">
        <f aca="false">IF(2_Utilité!AO30&gt;0,2_Utilité!AI30/2_Utilité!AO30,0)</f>
        <v>0</v>
      </c>
      <c r="AJ30" s="0" t="n">
        <f aca="false">IF(2_Utilité!AO30&gt;0,2_Utilité!AJ30/2_Utilité!AO30,0)</f>
        <v>0</v>
      </c>
      <c r="AK30" s="0" t="n">
        <f aca="false">IF(2_Utilité!AO30&gt;0,2_Utilité!AK30/2_Utilité!AO30,0)</f>
        <v>0</v>
      </c>
      <c r="AL30" s="0" t="n">
        <f aca="false">IF(2_Utilité!AO30&gt;0,2_Utilité!AL30/2_Utilité!AO30,0)</f>
        <v>0</v>
      </c>
      <c r="AM30" s="48" t="n">
        <f aca="false">IF(2_Utilité!AO30&gt;0,2_Utilité!AM30/2_Utilité!AO30,0)</f>
        <v>0</v>
      </c>
      <c r="AN30" s="43" t="n">
        <f aca="false">IF(2_Utilité!AO30&gt;0,2_Utilité!AN30/2_Utilité!AO30,0)</f>
        <v>0</v>
      </c>
      <c r="AO30" s="43" t="n">
        <f aca="false">SUM(C30:AN30)</f>
        <v>1</v>
      </c>
      <c r="AP30" s="43" t="n">
        <f aca="false">COUNTIF(Matrice_OD!$C30:$AN30,"&lt;="&amp;Param!$B$2)</f>
        <v>1</v>
      </c>
    </row>
    <row r="31" customFormat="false" ht="15" hidden="false" customHeight="true" outlineLevel="0" collapsed="false">
      <c r="A31" s="0" t="s">
        <v>160</v>
      </c>
      <c r="B31" s="0" t="s">
        <v>161</v>
      </c>
      <c r="C31" s="0" t="n">
        <f aca="false">IF(2_Utilité!AO31&gt;0,2_Utilité!C31/2_Utilité!AO31,0)</f>
        <v>0</v>
      </c>
      <c r="D31" s="0" t="n">
        <f aca="false">IF(2_Utilité!AO31&gt;0,2_Utilité!D31/2_Utilité!AO31,0)</f>
        <v>0</v>
      </c>
      <c r="E31" s="0" t="n">
        <f aca="false">IF(2_Utilité!AO31&gt;0,2_Utilité!E31/2_Utilité!AO31,0)</f>
        <v>0</v>
      </c>
      <c r="F31" s="0" t="n">
        <f aca="false">IF(2_Utilité!AO31&gt;0,2_Utilité!F31/2_Utilité!AO31,0)</f>
        <v>0</v>
      </c>
      <c r="G31" s="0" t="n">
        <f aca="false">IF(2_Utilité!AO31&gt;0,2_Utilité!G31/2_Utilité!AO31,0)</f>
        <v>0</v>
      </c>
      <c r="H31" s="0" t="n">
        <f aca="false">IF(2_Utilité!AO31&gt;0,2_Utilité!H31/2_Utilité!AO31,0)</f>
        <v>0</v>
      </c>
      <c r="I31" s="0" t="n">
        <f aca="false">IF(2_Utilité!AO31&gt;0,2_Utilité!I31/2_Utilité!AO31,0)</f>
        <v>0</v>
      </c>
      <c r="J31" s="0" t="n">
        <f aca="false">IF(2_Utilité!AO31&gt;0,2_Utilité!J31/2_Utilité!AO31,0)</f>
        <v>0</v>
      </c>
      <c r="K31" s="0" t="n">
        <f aca="false">IF(2_Utilité!AO31&gt;0,2_Utilité!K31/2_Utilité!AO31,0)</f>
        <v>0</v>
      </c>
      <c r="L31" s="0" t="n">
        <f aca="false">IF(2_Utilité!AO31&gt;0,2_Utilité!L31/2_Utilité!AO31,0)</f>
        <v>0</v>
      </c>
      <c r="M31" s="0" t="n">
        <f aca="false">IF(2_Utilité!AO31&gt;0,2_Utilité!M31/2_Utilité!AO31,0)</f>
        <v>0</v>
      </c>
      <c r="N31" s="0" t="n">
        <f aca="false">IF(2_Utilité!AO31&gt;0,2_Utilité!N31/2_Utilité!AO31,0)</f>
        <v>0</v>
      </c>
      <c r="O31" s="0" t="n">
        <f aca="false">IF(2_Utilité!AO31&gt;0,2_Utilité!O31/2_Utilité!AO31,0)</f>
        <v>0</v>
      </c>
      <c r="P31" s="0" t="n">
        <f aca="false">IF(2_Utilité!AO31&gt;0,2_Utilité!P31/2_Utilité!AO31,0)</f>
        <v>0</v>
      </c>
      <c r="Q31" s="0" t="n">
        <f aca="false">IF(2_Utilité!AO31&gt;0,2_Utilité!Q31/2_Utilité!AO31,0)</f>
        <v>0</v>
      </c>
      <c r="R31" s="0" t="n">
        <f aca="false">IF(2_Utilité!AO31&gt;0,2_Utilité!R31/2_Utilité!AO31,0)</f>
        <v>0</v>
      </c>
      <c r="S31" s="0" t="n">
        <f aca="false">IF(2_Utilité!AO31&gt;0,2_Utilité!S31/2_Utilité!AO31,0)</f>
        <v>0</v>
      </c>
      <c r="T31" s="0" t="n">
        <f aca="false">IF(2_Utilité!AO31&gt;0,2_Utilité!T31/2_Utilité!AO31,0)</f>
        <v>0</v>
      </c>
      <c r="U31" s="0" t="n">
        <f aca="false">IF(2_Utilité!AO31&gt;0,2_Utilité!U31/2_Utilité!AO31,0)</f>
        <v>0</v>
      </c>
      <c r="V31" s="0" t="n">
        <f aca="false">IF(2_Utilité!AO31&gt;0,2_Utilité!V31/2_Utilité!AO31,0)</f>
        <v>0</v>
      </c>
      <c r="W31" s="0" t="n">
        <f aca="false">IF(2_Utilité!AO31&gt;0,2_Utilité!W31/2_Utilité!AO31,0)</f>
        <v>0</v>
      </c>
      <c r="X31" s="0" t="n">
        <f aca="false">IF(2_Utilité!AO31&gt;0,2_Utilité!X31/2_Utilité!AO31,0)</f>
        <v>0</v>
      </c>
      <c r="Y31" s="0" t="n">
        <f aca="false">IF(2_Utilité!AO31&gt;0,2_Utilité!Y31/2_Utilité!AO31,0)</f>
        <v>0</v>
      </c>
      <c r="Z31" s="0" t="n">
        <f aca="false">IF(2_Utilité!AO31&gt;0,2_Utilité!Z31/2_Utilité!AO31,0)</f>
        <v>0</v>
      </c>
      <c r="AA31" s="0" t="n">
        <f aca="false">IF(2_Utilité!AO31&gt;0,2_Utilité!AA31/2_Utilité!AO31,0)</f>
        <v>0</v>
      </c>
      <c r="AB31" s="0" t="n">
        <f aca="false">IF(2_Utilité!AO31&gt;0,2_Utilité!AB31/2_Utilité!AO31,0)</f>
        <v>0</v>
      </c>
      <c r="AC31" s="0" t="n">
        <f aca="false">IF(2_Utilité!AO31&gt;0,2_Utilité!AC31/2_Utilité!AO31,0)</f>
        <v>0</v>
      </c>
      <c r="AD31" s="0" t="n">
        <f aca="false">IF(2_Utilité!AO31&gt;0,2_Utilité!AD31/2_Utilité!AO31,0)</f>
        <v>0</v>
      </c>
      <c r="AE31" s="0" t="n">
        <f aca="false">IF(2_Utilité!AO31&gt;0,2_Utilité!AE31/2_Utilité!AO31,0)</f>
        <v>0</v>
      </c>
      <c r="AF31" s="0" t="n">
        <f aca="false">IF(2_Utilité!AO31&gt;0,2_Utilité!AF31/2_Utilité!AO31,0)</f>
        <v>0</v>
      </c>
      <c r="AG31" s="0" t="n">
        <f aca="false">IF(2_Utilité!AO31&gt;0,2_Utilité!AG31/2_Utilité!AO31,0)</f>
        <v>0.858630117814014</v>
      </c>
      <c r="AH31" s="0" t="n">
        <f aca="false">IF(2_Utilité!AO31&gt;0,2_Utilité!AH31/2_Utilité!AO31,0)</f>
        <v>0</v>
      </c>
      <c r="AI31" s="0" t="n">
        <f aca="false">IF(2_Utilité!AO31&gt;0,2_Utilité!AI31/2_Utilité!AO31,0)</f>
        <v>0</v>
      </c>
      <c r="AJ31" s="0" t="n">
        <f aca="false">IF(2_Utilité!AO31&gt;0,2_Utilité!AJ31/2_Utilité!AO31,0)</f>
        <v>0</v>
      </c>
      <c r="AK31" s="0" t="n">
        <f aca="false">IF(2_Utilité!AO31&gt;0,2_Utilité!AK31/2_Utilité!AO31,0)</f>
        <v>0</v>
      </c>
      <c r="AL31" s="0" t="n">
        <f aca="false">IF(2_Utilité!AO31&gt;0,2_Utilité!AL31/2_Utilité!AO31,0)</f>
        <v>0</v>
      </c>
      <c r="AM31" s="49" t="n">
        <f aca="false">IF(2_Utilité!AO31&gt;0,2_Utilité!AM31/2_Utilité!AO31,0)</f>
        <v>0</v>
      </c>
      <c r="AN31" s="43" t="n">
        <f aca="false">IF(2_Utilité!AO31&gt;0,2_Utilité!AN31/2_Utilité!AO31,0)</f>
        <v>0.141369882185986</v>
      </c>
      <c r="AO31" s="43" t="n">
        <f aca="false">SUM(C31:AN31)</f>
        <v>1</v>
      </c>
      <c r="AP31" s="43" t="n">
        <f aca="false">COUNTIF(Matrice_OD!$C31:$AN31,"&lt;="&amp;Param!$B$2)</f>
        <v>2</v>
      </c>
    </row>
    <row r="32" customFormat="false" ht="15" hidden="false" customHeight="true" outlineLevel="0" collapsed="false">
      <c r="A32" s="0" t="s">
        <v>162</v>
      </c>
      <c r="B32" s="0" t="s">
        <v>163</v>
      </c>
      <c r="C32" s="0" t="n">
        <f aca="false">IF(2_Utilité!AO32&gt;0,2_Utilité!C32/2_Utilité!AO32,0)</f>
        <v>0</v>
      </c>
      <c r="D32" s="0" t="n">
        <f aca="false">IF(2_Utilité!AO32&gt;0,2_Utilité!D32/2_Utilité!AO32,0)</f>
        <v>0</v>
      </c>
      <c r="E32" s="0" t="n">
        <f aca="false">IF(2_Utilité!AO32&gt;0,2_Utilité!E32/2_Utilité!AO32,0)</f>
        <v>0</v>
      </c>
      <c r="F32" s="0" t="n">
        <f aca="false">IF(2_Utilité!AO32&gt;0,2_Utilité!F32/2_Utilité!AO32,0)</f>
        <v>0</v>
      </c>
      <c r="G32" s="0" t="n">
        <f aca="false">IF(2_Utilité!AO32&gt;0,2_Utilité!G32/2_Utilité!AO32,0)</f>
        <v>0</v>
      </c>
      <c r="H32" s="0" t="n">
        <f aca="false">IF(2_Utilité!AO32&gt;0,2_Utilité!H32/2_Utilité!AO32,0)</f>
        <v>0</v>
      </c>
      <c r="I32" s="0" t="n">
        <f aca="false">IF(2_Utilité!AO32&gt;0,2_Utilité!I32/2_Utilité!AO32,0)</f>
        <v>0</v>
      </c>
      <c r="J32" s="0" t="n">
        <f aca="false">IF(2_Utilité!AO32&gt;0,2_Utilité!J32/2_Utilité!AO32,0)</f>
        <v>0</v>
      </c>
      <c r="K32" s="0" t="n">
        <f aca="false">IF(2_Utilité!AO32&gt;0,2_Utilité!K32/2_Utilité!AO32,0)</f>
        <v>0</v>
      </c>
      <c r="L32" s="0" t="n">
        <f aca="false">IF(2_Utilité!AO32&gt;0,2_Utilité!L32/2_Utilité!AO32,0)</f>
        <v>0</v>
      </c>
      <c r="M32" s="0" t="n">
        <f aca="false">IF(2_Utilité!AO32&gt;0,2_Utilité!M32/2_Utilité!AO32,0)</f>
        <v>0</v>
      </c>
      <c r="N32" s="0" t="n">
        <f aca="false">IF(2_Utilité!AO32&gt;0,2_Utilité!N32/2_Utilité!AO32,0)</f>
        <v>0</v>
      </c>
      <c r="O32" s="0" t="n">
        <f aca="false">IF(2_Utilité!AO32&gt;0,2_Utilité!O32/2_Utilité!AO32,0)</f>
        <v>0</v>
      </c>
      <c r="P32" s="0" t="n">
        <f aca="false">IF(2_Utilité!AO32&gt;0,2_Utilité!P32/2_Utilité!AO32,0)</f>
        <v>0</v>
      </c>
      <c r="Q32" s="0" t="n">
        <f aca="false">IF(2_Utilité!AO32&gt;0,2_Utilité!Q32/2_Utilité!AO32,0)</f>
        <v>0</v>
      </c>
      <c r="R32" s="0" t="n">
        <f aca="false">IF(2_Utilité!AO32&gt;0,2_Utilité!R32/2_Utilité!AO32,0)</f>
        <v>0</v>
      </c>
      <c r="S32" s="0" t="n">
        <f aca="false">IF(2_Utilité!AO32&gt;0,2_Utilité!S32/2_Utilité!AO32,0)</f>
        <v>0</v>
      </c>
      <c r="T32" s="0" t="n">
        <f aca="false">IF(2_Utilité!AO32&gt;0,2_Utilité!T32/2_Utilité!AO32,0)</f>
        <v>0</v>
      </c>
      <c r="U32" s="0" t="n">
        <f aca="false">IF(2_Utilité!AO32&gt;0,2_Utilité!U32/2_Utilité!AO32,0)</f>
        <v>0</v>
      </c>
      <c r="V32" s="0" t="n">
        <f aca="false">IF(2_Utilité!AO32&gt;0,2_Utilité!V32/2_Utilité!AO32,0)</f>
        <v>0</v>
      </c>
      <c r="W32" s="0" t="n">
        <f aca="false">IF(2_Utilité!AO32&gt;0,2_Utilité!W32/2_Utilité!AO32,0)</f>
        <v>0</v>
      </c>
      <c r="X32" s="0" t="n">
        <f aca="false">IF(2_Utilité!AO32&gt;0,2_Utilité!X32/2_Utilité!AO32,0)</f>
        <v>0</v>
      </c>
      <c r="Y32" s="0" t="n">
        <f aca="false">IF(2_Utilité!AO32&gt;0,2_Utilité!Y32/2_Utilité!AO32,0)</f>
        <v>0</v>
      </c>
      <c r="Z32" s="0" t="n">
        <f aca="false">IF(2_Utilité!AO32&gt;0,2_Utilité!Z32/2_Utilité!AO32,0)</f>
        <v>0</v>
      </c>
      <c r="AA32" s="0" t="n">
        <f aca="false">IF(2_Utilité!AO32&gt;0,2_Utilité!AA32/2_Utilité!AO32,0)</f>
        <v>0</v>
      </c>
      <c r="AB32" s="0" t="n">
        <f aca="false">IF(2_Utilité!AO32&gt;0,2_Utilité!AB32/2_Utilité!AO32,0)</f>
        <v>0</v>
      </c>
      <c r="AC32" s="0" t="n">
        <f aca="false">IF(2_Utilité!AO32&gt;0,2_Utilité!AC32/2_Utilité!AO32,0)</f>
        <v>0</v>
      </c>
      <c r="AD32" s="0" t="n">
        <f aca="false">IF(2_Utilité!AO32&gt;0,2_Utilité!AD32/2_Utilité!AO32,0)</f>
        <v>0</v>
      </c>
      <c r="AE32" s="0" t="n">
        <f aca="false">IF(2_Utilité!AO32&gt;0,2_Utilité!AE32/2_Utilité!AO32,0)</f>
        <v>0</v>
      </c>
      <c r="AF32" s="0" t="n">
        <f aca="false">IF(2_Utilité!AO32&gt;0,2_Utilité!AF32/2_Utilité!AO32,0)</f>
        <v>0</v>
      </c>
      <c r="AG32" s="0" t="n">
        <f aca="false">IF(2_Utilité!AO32&gt;0,2_Utilité!AG32/2_Utilité!AO32,0)</f>
        <v>0</v>
      </c>
      <c r="AH32" s="0" t="n">
        <f aca="false">IF(2_Utilité!AO32&gt;0,2_Utilité!AH32/2_Utilité!AO32,0)</f>
        <v>0</v>
      </c>
      <c r="AI32" s="0" t="n">
        <f aca="false">IF(2_Utilité!AO32&gt;0,2_Utilité!AI32/2_Utilité!AO32,0)</f>
        <v>0</v>
      </c>
      <c r="AJ32" s="0" t="n">
        <f aca="false">IF(2_Utilité!AO32&gt;0,2_Utilité!AJ32/2_Utilité!AO32,0)</f>
        <v>0</v>
      </c>
      <c r="AK32" s="0" t="n">
        <f aca="false">IF(2_Utilité!AO32&gt;0,2_Utilité!AK32/2_Utilité!AO32,0)</f>
        <v>0</v>
      </c>
      <c r="AL32" s="0" t="n">
        <f aca="false">IF(2_Utilité!AO32&gt;0,2_Utilité!AL32/2_Utilité!AO32,0)</f>
        <v>0</v>
      </c>
      <c r="AM32" s="48" t="n">
        <f aca="false">IF(2_Utilité!AO32&gt;0,2_Utilité!AM32/2_Utilité!AO32,0)</f>
        <v>0</v>
      </c>
      <c r="AN32" s="43" t="n">
        <f aca="false">IF(2_Utilité!AO32&gt;0,2_Utilité!AN32/2_Utilité!AO32,0)</f>
        <v>0</v>
      </c>
      <c r="AO32" s="43" t="n">
        <f aca="false">SUM(C32:AN32)</f>
        <v>0</v>
      </c>
      <c r="AP32" s="43" t="n">
        <f aca="false">COUNTIF(Matrice_OD!$C32:$AN32,"&lt;="&amp;Param!$B$2)</f>
        <v>0</v>
      </c>
    </row>
    <row r="33" customFormat="false" ht="15" hidden="false" customHeight="true" outlineLevel="0" collapsed="false">
      <c r="A33" s="0" t="s">
        <v>164</v>
      </c>
      <c r="B33" s="0" t="s">
        <v>165</v>
      </c>
      <c r="C33" s="0" t="n">
        <f aca="false">IF(2_Utilité!AO33&gt;0,2_Utilité!C33/2_Utilité!AO33,0)</f>
        <v>0.124813620972809</v>
      </c>
      <c r="D33" s="0" t="n">
        <f aca="false">IF(2_Utilité!AO33&gt;0,2_Utilité!D33/2_Utilité!AO33,0)</f>
        <v>0.0112215771923008</v>
      </c>
      <c r="E33" s="0" t="n">
        <f aca="false">IF(2_Utilité!AO33&gt;0,2_Utilité!E33/2_Utilité!AO33,0)</f>
        <v>0.108339605648822</v>
      </c>
      <c r="F33" s="0" t="n">
        <f aca="false">IF(2_Utilité!AO33&gt;0,2_Utilité!F33/2_Utilité!AO33,0)</f>
        <v>0.0193275392373283</v>
      </c>
      <c r="G33" s="0" t="n">
        <f aca="false">IF(2_Utilité!AO33&gt;0,2_Utilité!G33/2_Utilité!AO33,0)</f>
        <v>0.0524969641216134</v>
      </c>
      <c r="H33" s="0" t="n">
        <f aca="false">IF(2_Utilité!AO33&gt;0,2_Utilité!H33/2_Utilité!AO33,0)</f>
        <v>0.0112822802472507</v>
      </c>
      <c r="I33" s="0" t="n">
        <f aca="false">IF(2_Utilité!AO33&gt;0,2_Utilité!I33/2_Utilité!AO33,0)</f>
        <v>0.025726966920609</v>
      </c>
      <c r="J33" s="0" t="n">
        <f aca="false">IF(2_Utilité!AO33&gt;0,2_Utilité!J33/2_Utilité!AO33,0)</f>
        <v>0.0200022020372605</v>
      </c>
      <c r="K33" s="0" t="n">
        <f aca="false">IF(2_Utilité!AO33&gt;0,2_Utilité!K33/2_Utilité!AO33,0)</f>
        <v>0.0122838329306878</v>
      </c>
      <c r="L33" s="0" t="n">
        <f aca="false">IF(2_Utilité!AO33&gt;0,2_Utilité!L33/2_Utilité!AO33,0)</f>
        <v>0.0121932223557831</v>
      </c>
      <c r="M33" s="0" t="n">
        <f aca="false">IF(2_Utilité!AO33&gt;0,2_Utilité!M33/2_Utilité!AO33,0)</f>
        <v>0.0648500968503947</v>
      </c>
      <c r="N33" s="0" t="n">
        <f aca="false">IF(2_Utilité!AO33&gt;0,2_Utilité!N33/2_Utilité!AO33,0)</f>
        <v>0.00868013910737245</v>
      </c>
      <c r="O33" s="0" t="n">
        <f aca="false">IF(2_Utilité!AO33&gt;0,2_Utilité!O33/2_Utilité!AO33,0)</f>
        <v>0.0274394188219483</v>
      </c>
      <c r="P33" s="0" t="n">
        <f aca="false">IF(2_Utilité!AO33&gt;0,2_Utilité!P33/2_Utilité!AO33,0)</f>
        <v>0.0132165268071838</v>
      </c>
      <c r="Q33" s="0" t="n">
        <f aca="false">IF(2_Utilité!AO33&gt;0,2_Utilité!Q33/2_Utilité!AO33,0)</f>
        <v>0.113079659911708</v>
      </c>
      <c r="R33" s="0" t="n">
        <f aca="false">IF(2_Utilité!AO33&gt;0,2_Utilité!R33/2_Utilité!AO33,0)</f>
        <v>0.0148949638151118</v>
      </c>
      <c r="S33" s="0" t="n">
        <f aca="false">IF(2_Utilité!AO33&gt;0,2_Utilité!S33/2_Utilité!AO33,0)</f>
        <v>0.0108713568833342</v>
      </c>
      <c r="T33" s="0" t="n">
        <f aca="false">IF(2_Utilité!AO33&gt;0,2_Utilité!T33/2_Utilité!AO33,0)</f>
        <v>0.015239670868751</v>
      </c>
      <c r="U33" s="0" t="n">
        <f aca="false">IF(2_Utilité!AO33&gt;0,2_Utilité!U33/2_Utilité!AO33,0)</f>
        <v>0</v>
      </c>
      <c r="V33" s="0" t="n">
        <f aca="false">IF(2_Utilité!AO33&gt;0,2_Utilité!V33/2_Utilité!AO33,0)</f>
        <v>0</v>
      </c>
      <c r="W33" s="0" t="n">
        <f aca="false">IF(2_Utilité!AO33&gt;0,2_Utilité!W33/2_Utilité!AO33,0)</f>
        <v>0</v>
      </c>
      <c r="X33" s="0" t="n">
        <f aca="false">IF(2_Utilité!AO33&gt;0,2_Utilité!X33/2_Utilité!AO33,0)</f>
        <v>0</v>
      </c>
      <c r="Y33" s="0" t="n">
        <f aca="false">IF(2_Utilité!AO33&gt;0,2_Utilité!Y33/2_Utilité!AO33,0)</f>
        <v>0</v>
      </c>
      <c r="Z33" s="0" t="n">
        <f aca="false">IF(2_Utilité!AO33&gt;0,2_Utilité!Z33/2_Utilité!AO33,0)</f>
        <v>0</v>
      </c>
      <c r="AA33" s="0" t="n">
        <f aca="false">IF(2_Utilité!AO33&gt;0,2_Utilité!AA33/2_Utilité!AO33,0)</f>
        <v>0</v>
      </c>
      <c r="AB33" s="0" t="n">
        <f aca="false">IF(2_Utilité!AO33&gt;0,2_Utilité!AB33/2_Utilité!AO33,0)</f>
        <v>0</v>
      </c>
      <c r="AC33" s="0" t="n">
        <f aca="false">IF(2_Utilité!AO33&gt;0,2_Utilité!AC33/2_Utilité!AO33,0)</f>
        <v>0</v>
      </c>
      <c r="AD33" s="0" t="n">
        <f aca="false">IF(2_Utilité!AO33&gt;0,2_Utilité!AD33/2_Utilité!AO33,0)</f>
        <v>0</v>
      </c>
      <c r="AE33" s="0" t="n">
        <f aca="false">IF(2_Utilité!AO33&gt;0,2_Utilité!AE33/2_Utilité!AO33,0)</f>
        <v>0</v>
      </c>
      <c r="AF33" s="0" t="n">
        <f aca="false">IF(2_Utilité!AO33&gt;0,2_Utilité!AF33/2_Utilité!AO33,0)</f>
        <v>0</v>
      </c>
      <c r="AG33" s="0" t="n">
        <f aca="false">IF(2_Utilité!AO33&gt;0,2_Utilité!AG33/2_Utilité!AO33,0)</f>
        <v>0.0107272840658205</v>
      </c>
      <c r="AH33" s="0" t="n">
        <f aca="false">IF(2_Utilité!AO33&gt;0,2_Utilité!AH33/2_Utilité!AO33,0)</f>
        <v>0.0333221020799024</v>
      </c>
      <c r="AI33" s="0" t="n">
        <f aca="false">IF(2_Utilité!AO33&gt;0,2_Utilité!AI33/2_Utilité!AO33,0)</f>
        <v>0.00782269039578079</v>
      </c>
      <c r="AJ33" s="0" t="n">
        <f aca="false">IF(2_Utilité!AO33&gt;0,2_Utilité!AJ33/2_Utilité!AO33,0)</f>
        <v>0</v>
      </c>
      <c r="AK33" s="0" t="n">
        <f aca="false">IF(2_Utilité!AO33&gt;0,2_Utilité!AK33/2_Utilité!AO33,0)</f>
        <v>0</v>
      </c>
      <c r="AL33" s="0" t="n">
        <f aca="false">IF(2_Utilité!AO33&gt;0,2_Utilité!AL33/2_Utilité!AO33,0)</f>
        <v>0</v>
      </c>
      <c r="AM33" s="49" t="n">
        <f aca="false">IF(2_Utilité!AO33&gt;0,2_Utilité!AM33/2_Utilité!AO33,0)</f>
        <v>0.282168278728228</v>
      </c>
      <c r="AN33" s="43" t="n">
        <f aca="false">IF(2_Utilité!AO33&gt;0,2_Utilité!AN33/2_Utilité!AO33,0)</f>
        <v>0</v>
      </c>
      <c r="AO33" s="43" t="n">
        <f aca="false">SUM(C33:AN33)</f>
        <v>1</v>
      </c>
      <c r="AP33" s="43" t="n">
        <f aca="false">COUNTIF(Matrice_OD!$C33:$AN33,"&lt;="&amp;Param!$B$2)</f>
        <v>22</v>
      </c>
    </row>
    <row r="34" customFormat="false" ht="15" hidden="false" customHeight="true" outlineLevel="0" collapsed="false">
      <c r="A34" s="0" t="s">
        <v>166</v>
      </c>
      <c r="B34" s="0" t="s">
        <v>167</v>
      </c>
      <c r="C34" s="0" t="n">
        <f aca="false">IF(2_Utilité!AO34&gt;0,2_Utilité!C34/2_Utilité!AO34,0)</f>
        <v>0.0506685332038925</v>
      </c>
      <c r="D34" s="0" t="n">
        <f aca="false">IF(2_Utilité!AO34&gt;0,2_Utilité!D34/2_Utilité!AO34,0)</f>
        <v>0.0154076900969617</v>
      </c>
      <c r="E34" s="0" t="n">
        <f aca="false">IF(2_Utilité!AO34&gt;0,2_Utilité!E34/2_Utilité!AO34,0)</f>
        <v>0.151175444488856</v>
      </c>
      <c r="F34" s="0" t="n">
        <f aca="false">IF(2_Utilité!AO34&gt;0,2_Utilité!F34/2_Utilité!AO34,0)</f>
        <v>0.0270000698915549</v>
      </c>
      <c r="G34" s="0" t="n">
        <f aca="false">IF(2_Utilité!AO34&gt;0,2_Utilité!G34/2_Utilité!AO34,0)</f>
        <v>0.0737401882879384</v>
      </c>
      <c r="H34" s="0" t="n">
        <f aca="false">IF(2_Utilité!AO34&gt;0,2_Utilité!H34/2_Utilité!AO34,0)</f>
        <v>0.0159546736063833</v>
      </c>
      <c r="I34" s="0" t="n">
        <f aca="false">IF(2_Utilité!AO34&gt;0,2_Utilité!I34/2_Utilité!AO34,0)</f>
        <v>0.036430390494039</v>
      </c>
      <c r="J34" s="0" t="n">
        <f aca="false">IF(2_Utilité!AO34&gt;0,2_Utilité!J34/2_Utilité!AO34,0)</f>
        <v>0.028414900158995</v>
      </c>
      <c r="K34" s="0" t="n">
        <f aca="false">IF(2_Utilité!AO34&gt;0,2_Utilité!K34/2_Utilité!AO34,0)</f>
        <v>0.0174846141595087</v>
      </c>
      <c r="L34" s="0" t="n">
        <f aca="false">IF(2_Utilité!AO34&gt;0,2_Utilité!L34/2_Utilité!AO34,0)</f>
        <v>0.0173700133308977</v>
      </c>
      <c r="M34" s="0" t="n">
        <f aca="false">IF(2_Utilité!AO34&gt;0,2_Utilité!M34/2_Utilité!AO34,0)</f>
        <v>0.0924117302878326</v>
      </c>
      <c r="N34" s="0" t="n">
        <f aca="false">IF(2_Utilité!AO34&gt;0,2_Utilité!N34/2_Utilité!AO34,0)</f>
        <v>0.0124064168159229</v>
      </c>
      <c r="O34" s="0" t="n">
        <f aca="false">IF(2_Utilité!AO34&gt;0,2_Utilité!O34/2_Utilité!AO34,0)</f>
        <v>0.039247243450959</v>
      </c>
      <c r="P34" s="0" t="n">
        <f aca="false">IF(2_Utilité!AO34&gt;0,2_Utilité!P34/2_Utilité!AO34,0)</f>
        <v>0.018921520660857</v>
      </c>
      <c r="Q34" s="0" t="n">
        <f aca="false">IF(2_Utilité!AO34&gt;0,2_Utilité!Q34/2_Utilité!AO34,0)</f>
        <v>0.162309874473359</v>
      </c>
      <c r="R34" s="0" t="n">
        <f aca="false">IF(2_Utilité!AO34&gt;0,2_Utilité!R34/2_Utilité!AO34,0)</f>
        <v>0.0214262075807099</v>
      </c>
      <c r="S34" s="0" t="n">
        <f aca="false">IF(2_Utilité!AO34&gt;0,2_Utilité!S34/2_Utilité!AO34,0)</f>
        <v>0.0156852995994299</v>
      </c>
      <c r="T34" s="0" t="n">
        <f aca="false">IF(2_Utilité!AO34&gt;0,2_Utilité!T34/2_Utilité!AO34,0)</f>
        <v>0.00488631313730454</v>
      </c>
      <c r="U34" s="0" t="n">
        <f aca="false">IF(2_Utilité!AO34&gt;0,2_Utilité!U34/2_Utilité!AO34,0)</f>
        <v>0</v>
      </c>
      <c r="V34" s="0" t="n">
        <f aca="false">IF(2_Utilité!AO34&gt;0,2_Utilité!V34/2_Utilité!AO34,0)</f>
        <v>0</v>
      </c>
      <c r="W34" s="0" t="n">
        <f aca="false">IF(2_Utilité!AO34&gt;0,2_Utilité!W34/2_Utilité!AO34,0)</f>
        <v>0</v>
      </c>
      <c r="X34" s="0" t="n">
        <f aca="false">IF(2_Utilité!AO34&gt;0,2_Utilité!X34/2_Utilité!AO34,0)</f>
        <v>0</v>
      </c>
      <c r="Y34" s="0" t="n">
        <f aca="false">IF(2_Utilité!AO34&gt;0,2_Utilité!Y34/2_Utilité!AO34,0)</f>
        <v>0</v>
      </c>
      <c r="Z34" s="0" t="n">
        <f aca="false">IF(2_Utilité!AO34&gt;0,2_Utilité!Z34/2_Utilité!AO34,0)</f>
        <v>0</v>
      </c>
      <c r="AA34" s="0" t="n">
        <f aca="false">IF(2_Utilité!AO34&gt;0,2_Utilité!AA34/2_Utilité!AO34,0)</f>
        <v>0</v>
      </c>
      <c r="AB34" s="0" t="n">
        <f aca="false">IF(2_Utilité!AO34&gt;0,2_Utilité!AB34/2_Utilité!AO34,0)</f>
        <v>0</v>
      </c>
      <c r="AC34" s="0" t="n">
        <f aca="false">IF(2_Utilité!AO34&gt;0,2_Utilité!AC34/2_Utilité!AO34,0)</f>
        <v>0</v>
      </c>
      <c r="AD34" s="0" t="n">
        <f aca="false">IF(2_Utilité!AO34&gt;0,2_Utilité!AD34/2_Utilité!AO34,0)</f>
        <v>0</v>
      </c>
      <c r="AE34" s="0" t="n">
        <f aca="false">IF(2_Utilité!AO34&gt;0,2_Utilité!AE34/2_Utilité!AO34,0)</f>
        <v>0</v>
      </c>
      <c r="AF34" s="0" t="n">
        <f aca="false">IF(2_Utilité!AO34&gt;0,2_Utilité!AF34/2_Utilité!AO34,0)</f>
        <v>0</v>
      </c>
      <c r="AG34" s="0" t="n">
        <f aca="false">IF(2_Utilité!AO34&gt;0,2_Utilité!AG34/2_Utilité!AO34,0)</f>
        <v>0.0348836887012279</v>
      </c>
      <c r="AH34" s="0" t="n">
        <f aca="false">IF(2_Utilité!AO34&gt;0,2_Utilité!AH34/2_Utilité!AO34,0)</f>
        <v>0.0484620412447365</v>
      </c>
      <c r="AI34" s="0" t="n">
        <f aca="false">IF(2_Utilité!AO34&gt;0,2_Utilité!AI34/2_Utilité!AO34,0)</f>
        <v>0.00253471398363878</v>
      </c>
      <c r="AJ34" s="0" t="n">
        <f aca="false">IF(2_Utilité!AO34&gt;0,2_Utilité!AJ34/2_Utilité!AO34,0)</f>
        <v>0</v>
      </c>
      <c r="AK34" s="0" t="n">
        <f aca="false">IF(2_Utilité!AO34&gt;0,2_Utilité!AK34/2_Utilité!AO34,0)</f>
        <v>0</v>
      </c>
      <c r="AL34" s="0" t="n">
        <f aca="false">IF(2_Utilité!AO34&gt;0,2_Utilité!AL34/2_Utilité!AO34,0)</f>
        <v>0</v>
      </c>
      <c r="AM34" s="48" t="n">
        <f aca="false">IF(2_Utilité!AO34&gt;0,2_Utilité!AM34/2_Utilité!AO34,0)</f>
        <v>0.113178432344995</v>
      </c>
      <c r="AN34" s="43" t="n">
        <f aca="false">IF(2_Utilité!AO34&gt;0,2_Utilité!AN34/2_Utilité!AO34,0)</f>
        <v>0</v>
      </c>
      <c r="AO34" s="43" t="n">
        <f aca="false">SUM(C34:AN34)</f>
        <v>1</v>
      </c>
      <c r="AP34" s="43" t="n">
        <f aca="false">COUNTIF(Matrice_OD!$C34:$AN34,"&lt;="&amp;Param!$B$2)</f>
        <v>22</v>
      </c>
    </row>
    <row r="35" customFormat="false" ht="15" hidden="false" customHeight="true" outlineLevel="0" collapsed="false">
      <c r="A35" s="0" t="s">
        <v>168</v>
      </c>
      <c r="B35" s="0" t="s">
        <v>169</v>
      </c>
      <c r="C35" s="0" t="n">
        <f aca="false">IF(2_Utilité!AO35&gt;0,2_Utilité!C35/2_Utilité!AO35,0)</f>
        <v>0.101110250209941</v>
      </c>
      <c r="D35" s="0" t="n">
        <f aca="false">IF(2_Utilité!AO35&gt;0,2_Utilité!D35/2_Utilité!AO35,0)</f>
        <v>0.0120576461805512</v>
      </c>
      <c r="E35" s="0" t="n">
        <f aca="false">IF(2_Utilité!AO35&gt;0,2_Utilité!E35/2_Utilité!AO35,0)</f>
        <v>0.118377232146007</v>
      </c>
      <c r="F35" s="0" t="n">
        <f aca="false">IF(2_Utilité!AO35&gt;0,2_Utilité!F35/2_Utilité!AO35,0)</f>
        <v>0.0211431789002097</v>
      </c>
      <c r="G35" s="0" t="n">
        <f aca="false">IF(2_Utilité!AO35&gt;0,2_Utilité!G35/2_Utilité!AO35,0)</f>
        <v>0.0577562019160315</v>
      </c>
      <c r="H35" s="0" t="n">
        <f aca="false">IF(2_Utilité!AO35&gt;0,2_Utilité!H35/2_Utilité!AO35,0)</f>
        <v>0.0125095998789458</v>
      </c>
      <c r="I35" s="0" t="n">
        <f aca="false">IF(2_Utilité!AO35&gt;0,2_Utilité!I35/2_Utilité!AO35,0)</f>
        <v>0.0285654973893548</v>
      </c>
      <c r="J35" s="0" t="n">
        <f aca="false">IF(2_Utilité!AO35&gt;0,2_Utilité!J35/2_Utilité!AO35,0)</f>
        <v>0.0222832061816882</v>
      </c>
      <c r="K35" s="0" t="n">
        <f aca="false">IF(2_Utilité!AO35&gt;0,2_Utilité!K35/2_Utilité!AO35,0)</f>
        <v>0.0137014127787088</v>
      </c>
      <c r="L35" s="0" t="n">
        <f aca="false">IF(2_Utilité!AO35&gt;0,2_Utilité!L35/2_Utilité!AO35,0)</f>
        <v>0.0136231758545511</v>
      </c>
      <c r="M35" s="0" t="n">
        <f aca="false">IF(2_Utilité!AO35&gt;0,2_Utilité!M35/2_Utilité!AO35,0)</f>
        <v>0.0724787171867052</v>
      </c>
      <c r="N35" s="0" t="n">
        <f aca="false">IF(2_Utilité!AO35&gt;0,2_Utilité!N35/2_Utilité!AO35,0)</f>
        <v>0.00972350464226704</v>
      </c>
      <c r="O35" s="0" t="n">
        <f aca="false">IF(2_Utilité!AO35&gt;0,2_Utilité!O35/2_Utilité!AO35,0)</f>
        <v>0.0307861072262519</v>
      </c>
      <c r="P35" s="0" t="n">
        <f aca="false">IF(2_Utilité!AO35&gt;0,2_Utilité!P35/2_Utilité!AO35,0)</f>
        <v>0.0148428469822321</v>
      </c>
      <c r="Q35" s="0" t="n">
        <f aca="false">IF(2_Utilité!AO35&gt;0,2_Utilité!Q35/2_Utilité!AO35,0)</f>
        <v>0.127340010476727</v>
      </c>
      <c r="R35" s="0" t="n">
        <f aca="false">IF(2_Utilité!AO35&gt;0,2_Utilité!R35/2_Utilité!AO35,0)</f>
        <v>0.0167967734563558</v>
      </c>
      <c r="S35" s="0" t="n">
        <f aca="false">IF(2_Utilité!AO35&gt;0,2_Utilité!S35/2_Utilité!AO35,0)</f>
        <v>0.0123078904492275</v>
      </c>
      <c r="T35" s="0" t="n">
        <f aca="false">IF(2_Utilité!AO35&gt;0,2_Utilité!T35/2_Utilité!AO35,0)</f>
        <v>0.0167132967150086</v>
      </c>
      <c r="U35" s="0" t="n">
        <f aca="false">IF(2_Utilité!AO35&gt;0,2_Utilité!U35/2_Utilité!AO35,0)</f>
        <v>0</v>
      </c>
      <c r="V35" s="0" t="n">
        <f aca="false">IF(2_Utilité!AO35&gt;0,2_Utilité!V35/2_Utilité!AO35,0)</f>
        <v>0</v>
      </c>
      <c r="W35" s="0" t="n">
        <f aca="false">IF(2_Utilité!AO35&gt;0,2_Utilité!W35/2_Utilité!AO35,0)</f>
        <v>0</v>
      </c>
      <c r="X35" s="0" t="n">
        <f aca="false">IF(2_Utilité!AO35&gt;0,2_Utilité!X35/2_Utilité!AO35,0)</f>
        <v>0</v>
      </c>
      <c r="Y35" s="0" t="n">
        <f aca="false">IF(2_Utilité!AO35&gt;0,2_Utilité!Y35/2_Utilité!AO35,0)</f>
        <v>0</v>
      </c>
      <c r="Z35" s="0" t="n">
        <f aca="false">IF(2_Utilité!AO35&gt;0,2_Utilité!Z35/2_Utilité!AO35,0)</f>
        <v>0</v>
      </c>
      <c r="AA35" s="0" t="n">
        <f aca="false">IF(2_Utilité!AO35&gt;0,2_Utilité!AA35/2_Utilité!AO35,0)</f>
        <v>0</v>
      </c>
      <c r="AB35" s="0" t="n">
        <f aca="false">IF(2_Utilité!AO35&gt;0,2_Utilité!AB35/2_Utilité!AO35,0)</f>
        <v>0</v>
      </c>
      <c r="AC35" s="0" t="n">
        <f aca="false">IF(2_Utilité!AO35&gt;0,2_Utilité!AC35/2_Utilité!AO35,0)</f>
        <v>0</v>
      </c>
      <c r="AD35" s="0" t="n">
        <f aca="false">IF(2_Utilité!AO35&gt;0,2_Utilité!AD35/2_Utilité!AO35,0)</f>
        <v>0</v>
      </c>
      <c r="AE35" s="0" t="n">
        <f aca="false">IF(2_Utilité!AO35&gt;0,2_Utilité!AE35/2_Utilité!AO35,0)</f>
        <v>0</v>
      </c>
      <c r="AF35" s="0" t="n">
        <f aca="false">IF(2_Utilité!AO35&gt;0,2_Utilité!AF35/2_Utilité!AO35,0)</f>
        <v>0</v>
      </c>
      <c r="AG35" s="0" t="n">
        <f aca="false">IF(2_Utilité!AO35&gt;0,2_Utilité!AG35/2_Utilité!AO35,0)</f>
        <v>0.018063061224292</v>
      </c>
      <c r="AH35" s="0" t="n">
        <f aca="false">IF(2_Utilité!AO35&gt;0,2_Utilité!AH35/2_Utilité!AO35,0)</f>
        <v>0.0380067063022374</v>
      </c>
      <c r="AI35" s="0" t="n">
        <f aca="false">IF(2_Utilité!AO35&gt;0,2_Utilité!AI35/2_Utilité!AO35,0)</f>
        <v>0.00846374709874347</v>
      </c>
      <c r="AJ35" s="0" t="n">
        <f aca="false">IF(2_Utilité!AO35&gt;0,2_Utilité!AJ35/2_Utilité!AO35,0)</f>
        <v>0</v>
      </c>
      <c r="AK35" s="0" t="n">
        <f aca="false">IF(2_Utilité!AO35&gt;0,2_Utilité!AK35/2_Utilité!AO35,0)</f>
        <v>0</v>
      </c>
      <c r="AL35" s="0" t="n">
        <f aca="false">IF(2_Utilité!AO35&gt;0,2_Utilité!AL35/2_Utilité!AO35,0)</f>
        <v>0</v>
      </c>
      <c r="AM35" s="49" t="n">
        <f aca="false">IF(2_Utilité!AO35&gt;0,2_Utilité!AM35/2_Utilité!AO35,0)</f>
        <v>0.233349936803962</v>
      </c>
      <c r="AN35" s="43" t="n">
        <f aca="false">IF(2_Utilité!AO35&gt;0,2_Utilité!AN35/2_Utilité!AO35,0)</f>
        <v>0</v>
      </c>
      <c r="AO35" s="43" t="n">
        <f aca="false">SUM(C35:AN35)</f>
        <v>1</v>
      </c>
      <c r="AP35" s="43" t="n">
        <f aca="false">COUNTIF(Matrice_OD!$C35:$AN35,"&lt;="&amp;Param!$B$2)</f>
        <v>22</v>
      </c>
    </row>
    <row r="36" customFormat="false" ht="15" hidden="false" customHeight="true" outlineLevel="0" collapsed="false">
      <c r="A36" s="0" t="s">
        <v>170</v>
      </c>
      <c r="B36" s="0" t="s">
        <v>171</v>
      </c>
      <c r="C36" s="0" t="n">
        <f aca="false">IF(2_Utilité!AO36&gt;0,2_Utilité!C36/2_Utilité!AO36,0)</f>
        <v>0.0932222692508266</v>
      </c>
      <c r="D36" s="0" t="n">
        <f aca="false">IF(2_Utilité!AO36&gt;0,2_Utilité!D36/2_Utilité!AO36,0)</f>
        <v>0.0121998898640567</v>
      </c>
      <c r="E36" s="0" t="n">
        <f aca="false">IF(2_Utilité!AO36&gt;0,2_Utilité!E36/2_Utilité!AO36,0)</f>
        <v>0.120434164373072</v>
      </c>
      <c r="F36" s="0" t="n">
        <f aca="false">IF(2_Utilité!AO36&gt;0,2_Utilité!F36/2_Utilité!AO36,0)</f>
        <v>0.0215189066717137</v>
      </c>
      <c r="G36" s="0" t="n">
        <f aca="false">IF(2_Utilité!AO36&gt;0,2_Utilité!G36/2_Utilité!AO36,0)</f>
        <v>0.058892487919281</v>
      </c>
      <c r="H36" s="0" t="n">
        <f aca="false">IF(2_Utilité!AO36&gt;0,2_Utilité!H36/2_Utilité!AO36,0)</f>
        <v>0.0127746138407844</v>
      </c>
      <c r="I36" s="0" t="n">
        <f aca="false">IF(2_Utilité!AO36&gt;0,2_Utilité!I36/2_Utilité!AO36,0)</f>
        <v>0.0291839802532732</v>
      </c>
      <c r="J36" s="0" t="n">
        <f aca="false">IF(2_Utilité!AO36&gt;0,2_Utilité!J36/2_Utilité!AO36,0)</f>
        <v>0.0227904787362536</v>
      </c>
      <c r="K36" s="0" t="n">
        <f aca="false">IF(2_Utilité!AO36&gt;0,2_Utilité!K36/2_Utilité!AO36,0)</f>
        <v>0.014034150582199</v>
      </c>
      <c r="L36" s="0" t="n">
        <f aca="false">IF(2_Utilité!AO36&gt;0,2_Utilité!L36/2_Utilité!AO36,0)</f>
        <v>0.0139465289306843</v>
      </c>
      <c r="M36" s="0" t="n">
        <f aca="false">IF(2_Utilité!AO36&gt;0,2_Utilité!M36/2_Utilité!AO36,0)</f>
        <v>0.0742068582931812</v>
      </c>
      <c r="N36" s="0" t="n">
        <f aca="false">IF(2_Utilité!AO36&gt;0,2_Utilité!N36/2_Utilité!AO36,0)</f>
        <v>0.00997369201594906</v>
      </c>
      <c r="O36" s="0" t="n">
        <f aca="false">IF(2_Utilité!AO36&gt;0,2_Utilité!O36/2_Utilité!AO36,0)</f>
        <v>0.0315849182283789</v>
      </c>
      <c r="P36" s="0" t="n">
        <f aca="false">IF(2_Utilité!AO36&gt;0,2_Utilité!P36/2_Utilité!AO36,0)</f>
        <v>0.0152207980589476</v>
      </c>
      <c r="Q36" s="0" t="n">
        <f aca="false">IF(2_Utilité!AO36&gt;0,2_Utilité!Q36/2_Utilité!AO36,0)</f>
        <v>0.13084228865355</v>
      </c>
      <c r="R36" s="0" t="n">
        <f aca="false">IF(2_Utilité!AO36&gt;0,2_Utilité!R36/2_Utilité!AO36,0)</f>
        <v>0.0172666516742796</v>
      </c>
      <c r="S36" s="0" t="n">
        <f aca="false">IF(2_Utilité!AO36&gt;0,2_Utilité!S36/2_Utilité!AO36,0)</f>
        <v>0.0126646889302518</v>
      </c>
      <c r="T36" s="0" t="n">
        <f aca="false">IF(2_Utilité!AO36&gt;0,2_Utilité!T36/2_Utilité!AO36,0)</f>
        <v>0.0170063080221074</v>
      </c>
      <c r="U36" s="0" t="n">
        <f aca="false">IF(2_Utilité!AO36&gt;0,2_Utilité!U36/2_Utilité!AO36,0)</f>
        <v>0</v>
      </c>
      <c r="V36" s="0" t="n">
        <f aca="false">IF(2_Utilité!AO36&gt;0,2_Utilité!V36/2_Utilité!AO36,0)</f>
        <v>0</v>
      </c>
      <c r="W36" s="0" t="n">
        <f aca="false">IF(2_Utilité!AO36&gt;0,2_Utilité!W36/2_Utilité!AO36,0)</f>
        <v>0</v>
      </c>
      <c r="X36" s="0" t="n">
        <f aca="false">IF(2_Utilité!AO36&gt;0,2_Utilité!X36/2_Utilité!AO36,0)</f>
        <v>0</v>
      </c>
      <c r="Y36" s="0" t="n">
        <f aca="false">IF(2_Utilité!AO36&gt;0,2_Utilité!Y36/2_Utilité!AO36,0)</f>
        <v>0</v>
      </c>
      <c r="Z36" s="0" t="n">
        <f aca="false">IF(2_Utilité!AO36&gt;0,2_Utilité!Z36/2_Utilité!AO36,0)</f>
        <v>0</v>
      </c>
      <c r="AA36" s="0" t="n">
        <f aca="false">IF(2_Utilité!AO36&gt;0,2_Utilité!AA36/2_Utilité!AO36,0)</f>
        <v>0</v>
      </c>
      <c r="AB36" s="0" t="n">
        <f aca="false">IF(2_Utilité!AO36&gt;0,2_Utilité!AB36/2_Utilité!AO36,0)</f>
        <v>0</v>
      </c>
      <c r="AC36" s="0" t="n">
        <f aca="false">IF(2_Utilité!AO36&gt;0,2_Utilité!AC36/2_Utilité!AO36,0)</f>
        <v>0</v>
      </c>
      <c r="AD36" s="0" t="n">
        <f aca="false">IF(2_Utilité!AO36&gt;0,2_Utilité!AD36/2_Utilité!AO36,0)</f>
        <v>0</v>
      </c>
      <c r="AE36" s="0" t="n">
        <f aca="false">IF(2_Utilité!AO36&gt;0,2_Utilité!AE36/2_Utilité!AO36,0)</f>
        <v>0</v>
      </c>
      <c r="AF36" s="0" t="n">
        <f aca="false">IF(2_Utilité!AO36&gt;0,2_Utilité!AF36/2_Utilité!AO36,0)</f>
        <v>0</v>
      </c>
      <c r="AG36" s="0" t="n">
        <f aca="false">IF(2_Utilité!AO36&gt;0,2_Utilité!AG36/2_Utilité!AO36,0)</f>
        <v>0</v>
      </c>
      <c r="AH36" s="0" t="n">
        <f aca="false">IF(2_Utilité!AO36&gt;0,2_Utilité!AH36/2_Utilité!AO36,0)</f>
        <v>0.0392161733864798</v>
      </c>
      <c r="AI36" s="0" t="n">
        <f aca="false">IF(2_Utilité!AO36&gt;0,2_Utilité!AI36/2_Utilité!AO36,0)</f>
        <v>0.00857408784545078</v>
      </c>
      <c r="AJ36" s="0" t="n">
        <f aca="false">IF(2_Utilité!AO36&gt;0,2_Utilité!AJ36/2_Utilité!AO36,0)</f>
        <v>0</v>
      </c>
      <c r="AK36" s="0" t="n">
        <f aca="false">IF(2_Utilité!AO36&gt;0,2_Utilité!AK36/2_Utilité!AO36,0)</f>
        <v>0</v>
      </c>
      <c r="AL36" s="0" t="n">
        <f aca="false">IF(2_Utilité!AO36&gt;0,2_Utilité!AL36/2_Utilité!AO36,0)</f>
        <v>0</v>
      </c>
      <c r="AM36" s="48" t="n">
        <f aca="false">IF(2_Utilité!AO36&gt;0,2_Utilité!AM36/2_Utilité!AO36,0)</f>
        <v>0.216392791925414</v>
      </c>
      <c r="AN36" s="43" t="n">
        <f aca="false">IF(2_Utilité!AO36&gt;0,2_Utilité!AN36/2_Utilité!AO36,0)</f>
        <v>0.028053272543865</v>
      </c>
      <c r="AO36" s="43" t="n">
        <f aca="false">SUM(C36:AN36)</f>
        <v>1</v>
      </c>
      <c r="AP36" s="43" t="n">
        <f aca="false">COUNTIF(Matrice_OD!$C36:$AN36,"&lt;="&amp;Param!$B$2)</f>
        <v>22</v>
      </c>
    </row>
    <row r="37" customFormat="false" ht="15" hidden="false" customHeight="true" outlineLevel="0" collapsed="false">
      <c r="A37" s="0" t="s">
        <v>172</v>
      </c>
      <c r="B37" s="0" t="s">
        <v>173</v>
      </c>
      <c r="C37" s="0" t="n">
        <f aca="false">IF(2_Utilité!AO37&gt;0,2_Utilité!C37/2_Utilité!AO37,0)</f>
        <v>0.0929519756396026</v>
      </c>
      <c r="D37" s="0" t="n">
        <f aca="false">IF(2_Utilité!AO37&gt;0,2_Utilité!D37/2_Utilité!AO37,0)</f>
        <v>0.0126724509095741</v>
      </c>
      <c r="E37" s="0" t="n">
        <f aca="false">IF(2_Utilité!AO37&gt;0,2_Utilité!E37/2_Utilité!AO37,0)</f>
        <v>0.125399097573601</v>
      </c>
      <c r="F37" s="0" t="n">
        <f aca="false">IF(2_Utilité!AO37&gt;0,2_Utilité!F37/2_Utilité!AO37,0)</f>
        <v>0.0223930897437647</v>
      </c>
      <c r="G37" s="0" t="n">
        <f aca="false">IF(2_Utilité!AO37&gt;0,2_Utilité!G37/2_Utilité!AO37,0)</f>
        <v>0.0613806206766632</v>
      </c>
      <c r="H37" s="0" t="n">
        <f aca="false">IF(2_Utilité!AO37&gt;0,2_Utilité!H37/2_Utilité!AO37,0)</f>
        <v>0.013327616526658</v>
      </c>
      <c r="I37" s="0" t="n">
        <f aca="false">IF(2_Utilité!AO37&gt;0,2_Utilité!I37/2_Utilité!AO37,0)</f>
        <v>0.0304534077155011</v>
      </c>
      <c r="J37" s="0" t="n">
        <f aca="false">IF(2_Utilité!AO37&gt;0,2_Utilité!J37/2_Utilité!AO37,0)</f>
        <v>0.0237931251453512</v>
      </c>
      <c r="K37" s="0" t="n">
        <f aca="false">IF(2_Utilité!AO37&gt;0,2_Utilité!K37/2_Utilité!AO37,0)</f>
        <v>0.0146446055679231</v>
      </c>
      <c r="L37" s="0" t="n">
        <f aca="false">IF(2_Utilité!AO37&gt;0,2_Utilité!L37/2_Utilité!AO37,0)</f>
        <v>0.0145661297065822</v>
      </c>
      <c r="M37" s="0" t="n">
        <f aca="false">IF(2_Utilité!AO37&gt;0,2_Utilité!M37/2_Utilité!AO37,0)</f>
        <v>0.077507206784516</v>
      </c>
      <c r="N37" s="0" t="n">
        <f aca="false">IF(2_Utilité!AO37&gt;0,2_Utilité!N37/2_Utilité!AO37,0)</f>
        <v>0.0104138709509268</v>
      </c>
      <c r="O37" s="0" t="n">
        <f aca="false">IF(2_Utilité!AO37&gt;0,2_Utilité!O37/2_Utilité!AO37,0)</f>
        <v>0.0329819021518407</v>
      </c>
      <c r="P37" s="0" t="n">
        <f aca="false">IF(2_Utilité!AO37&gt;0,2_Utilité!P37/2_Utilité!AO37,0)</f>
        <v>0.0159087283040146</v>
      </c>
      <c r="Q37" s="0" t="n">
        <f aca="false">IF(2_Utilité!AO37&gt;0,2_Utilité!Q37/2_Utilité!AO37,0)</f>
        <v>0.136718919457531</v>
      </c>
      <c r="R37" s="0" t="n">
        <f aca="false">IF(2_Utilité!AO37&gt;0,2_Utilité!R37/2_Utilité!AO37,0)</f>
        <v>0.0180457375922135</v>
      </c>
      <c r="S37" s="0" t="n">
        <f aca="false">IF(2_Utilité!AO37&gt;0,2_Utilité!S37/2_Utilité!AO37,0)</f>
        <v>0.0132417785618039</v>
      </c>
      <c r="T37" s="0" t="n">
        <f aca="false">IF(2_Utilité!AO37&gt;0,2_Utilité!T37/2_Utilité!AO37,0)</f>
        <v>0.0177147386041572</v>
      </c>
      <c r="U37" s="0" t="n">
        <f aca="false">IF(2_Utilité!AO37&gt;0,2_Utilité!U37/2_Utilité!AO37,0)</f>
        <v>0</v>
      </c>
      <c r="V37" s="0" t="n">
        <f aca="false">IF(2_Utilité!AO37&gt;0,2_Utilité!V37/2_Utilité!AO37,0)</f>
        <v>0</v>
      </c>
      <c r="W37" s="0" t="n">
        <f aca="false">IF(2_Utilité!AO37&gt;0,2_Utilité!W37/2_Utilité!AO37,0)</f>
        <v>0</v>
      </c>
      <c r="X37" s="0" t="n">
        <f aca="false">IF(2_Utilité!AO37&gt;0,2_Utilité!X37/2_Utilité!AO37,0)</f>
        <v>0</v>
      </c>
      <c r="Y37" s="0" t="n">
        <f aca="false">IF(2_Utilité!AO37&gt;0,2_Utilité!Y37/2_Utilité!AO37,0)</f>
        <v>0</v>
      </c>
      <c r="Z37" s="0" t="n">
        <f aca="false">IF(2_Utilité!AO37&gt;0,2_Utilité!Z37/2_Utilité!AO37,0)</f>
        <v>0</v>
      </c>
      <c r="AA37" s="0" t="n">
        <f aca="false">IF(2_Utilité!AO37&gt;0,2_Utilité!AA37/2_Utilité!AO37,0)</f>
        <v>0</v>
      </c>
      <c r="AB37" s="0" t="n">
        <f aca="false">IF(2_Utilité!AO37&gt;0,2_Utilité!AB37/2_Utilité!AO37,0)</f>
        <v>0</v>
      </c>
      <c r="AC37" s="0" t="n">
        <f aca="false">IF(2_Utilité!AO37&gt;0,2_Utilité!AC37/2_Utilité!AO37,0)</f>
        <v>0</v>
      </c>
      <c r="AD37" s="0" t="n">
        <f aca="false">IF(2_Utilité!AO37&gt;0,2_Utilité!AD37/2_Utilité!AO37,0)</f>
        <v>0</v>
      </c>
      <c r="AE37" s="0" t="n">
        <f aca="false">IF(2_Utilité!AO37&gt;0,2_Utilité!AE37/2_Utilité!AO37,0)</f>
        <v>0</v>
      </c>
      <c r="AF37" s="0" t="n">
        <f aca="false">IF(2_Utilité!AO37&gt;0,2_Utilité!AF37/2_Utilité!AO37,0)</f>
        <v>0</v>
      </c>
      <c r="AG37" s="0" t="n">
        <f aca="false">IF(2_Utilité!AO37&gt;0,2_Utilité!AG37/2_Utilité!AO37,0)</f>
        <v>0</v>
      </c>
      <c r="AH37" s="0" t="n">
        <f aca="false">IF(2_Utilité!AO37&gt;0,2_Utilité!AH37/2_Utilité!AO37,0)</f>
        <v>0.0410518899607313</v>
      </c>
      <c r="AI37" s="0" t="n">
        <f aca="false">IF(2_Utilité!AO37&gt;0,2_Utilité!AI37/2_Utilité!AO37,0)</f>
        <v>0.00891400013295502</v>
      </c>
      <c r="AJ37" s="0" t="n">
        <f aca="false">IF(2_Utilité!AO37&gt;0,2_Utilité!AJ37/2_Utilité!AO37,0)</f>
        <v>0</v>
      </c>
      <c r="AK37" s="0" t="n">
        <f aca="false">IF(2_Utilité!AO37&gt;0,2_Utilité!AK37/2_Utilité!AO37,0)</f>
        <v>0</v>
      </c>
      <c r="AL37" s="0" t="n">
        <f aca="false">IF(2_Utilité!AO37&gt;0,2_Utilité!AL37/2_Utilité!AO37,0)</f>
        <v>0</v>
      </c>
      <c r="AM37" s="49" t="n">
        <f aca="false">IF(2_Utilité!AO37&gt;0,2_Utilité!AM37/2_Utilité!AO37,0)</f>
        <v>0.215919108294089</v>
      </c>
      <c r="AN37" s="43" t="n">
        <f aca="false">IF(2_Utilité!AO37&gt;0,2_Utilité!AN37/2_Utilité!AO37,0)</f>
        <v>0</v>
      </c>
      <c r="AO37" s="43" t="n">
        <f aca="false">SUM(C37:AN37)</f>
        <v>1</v>
      </c>
      <c r="AP37" s="43" t="n">
        <f aca="false">COUNTIF(Matrice_OD!$C37:$AN37,"&lt;="&amp;Param!$B$2)</f>
        <v>21</v>
      </c>
    </row>
    <row r="38" customFormat="false" ht="15" hidden="false" customHeight="true" outlineLevel="0" collapsed="false">
      <c r="A38" s="0" t="s">
        <v>174</v>
      </c>
      <c r="B38" s="0" t="s">
        <v>175</v>
      </c>
      <c r="C38" s="0" t="n">
        <f aca="false">IF(2_Utilité!AO38&gt;0,2_Utilité!C38/2_Utilité!AO38,0)</f>
        <v>0.0239859186513642</v>
      </c>
      <c r="D38" s="0" t="n">
        <f aca="false">IF(2_Utilité!AO38&gt;0,2_Utilité!D38/2_Utilité!AO38,0)</f>
        <v>0</v>
      </c>
      <c r="E38" s="0" t="n">
        <f aca="false">IF(2_Utilité!AO38&gt;0,2_Utilité!E38/2_Utilité!AO38,0)</f>
        <v>0</v>
      </c>
      <c r="F38" s="0" t="n">
        <f aca="false">IF(2_Utilité!AO38&gt;0,2_Utilité!F38/2_Utilité!AO38,0)</f>
        <v>0</v>
      </c>
      <c r="G38" s="0" t="n">
        <f aca="false">IF(2_Utilité!AO38&gt;0,2_Utilité!G38/2_Utilité!AO38,0)</f>
        <v>0</v>
      </c>
      <c r="H38" s="0" t="n">
        <f aca="false">IF(2_Utilité!AO38&gt;0,2_Utilité!H38/2_Utilité!AO38,0)</f>
        <v>0</v>
      </c>
      <c r="I38" s="0" t="n">
        <f aca="false">IF(2_Utilité!AO38&gt;0,2_Utilité!I38/2_Utilité!AO38,0)</f>
        <v>0</v>
      </c>
      <c r="J38" s="0" t="n">
        <f aca="false">IF(2_Utilité!AO38&gt;0,2_Utilité!J38/2_Utilité!AO38,0)</f>
        <v>0</v>
      </c>
      <c r="K38" s="0" t="n">
        <f aca="false">IF(2_Utilité!AO38&gt;0,2_Utilité!K38/2_Utilité!AO38,0)</f>
        <v>0</v>
      </c>
      <c r="L38" s="0" t="n">
        <f aca="false">IF(2_Utilité!AO38&gt;0,2_Utilité!L38/2_Utilité!AO38,0)</f>
        <v>0</v>
      </c>
      <c r="M38" s="0" t="n">
        <f aca="false">IF(2_Utilité!AO38&gt;0,2_Utilité!M38/2_Utilité!AO38,0)</f>
        <v>0</v>
      </c>
      <c r="N38" s="0" t="n">
        <f aca="false">IF(2_Utilité!AO38&gt;0,2_Utilité!N38/2_Utilité!AO38,0)</f>
        <v>0</v>
      </c>
      <c r="O38" s="0" t="n">
        <f aca="false">IF(2_Utilité!AO38&gt;0,2_Utilité!O38/2_Utilité!AO38,0)</f>
        <v>0</v>
      </c>
      <c r="P38" s="0" t="n">
        <f aca="false">IF(2_Utilité!AO38&gt;0,2_Utilité!P38/2_Utilité!AO38,0)</f>
        <v>0</v>
      </c>
      <c r="Q38" s="0" t="n">
        <f aca="false">IF(2_Utilité!AO38&gt;0,2_Utilité!Q38/2_Utilité!AO38,0)</f>
        <v>0</v>
      </c>
      <c r="R38" s="0" t="n">
        <f aca="false">IF(2_Utilité!AO38&gt;0,2_Utilité!R38/2_Utilité!AO38,0)</f>
        <v>0</v>
      </c>
      <c r="S38" s="0" t="n">
        <f aca="false">IF(2_Utilité!AO38&gt;0,2_Utilité!S38/2_Utilité!AO38,0)</f>
        <v>0</v>
      </c>
      <c r="T38" s="0" t="n">
        <f aca="false">IF(2_Utilité!AO38&gt;0,2_Utilité!T38/2_Utilité!AO38,0)</f>
        <v>0</v>
      </c>
      <c r="U38" s="0" t="n">
        <f aca="false">IF(2_Utilité!AO38&gt;0,2_Utilité!U38/2_Utilité!AO38,0)</f>
        <v>0</v>
      </c>
      <c r="V38" s="0" t="n">
        <f aca="false">IF(2_Utilité!AO38&gt;0,2_Utilité!V38/2_Utilité!AO38,0)</f>
        <v>0</v>
      </c>
      <c r="W38" s="0" t="n">
        <f aca="false">IF(2_Utilité!AO38&gt;0,2_Utilité!W38/2_Utilité!AO38,0)</f>
        <v>0</v>
      </c>
      <c r="X38" s="0" t="n">
        <f aca="false">IF(2_Utilité!AO38&gt;0,2_Utilité!X38/2_Utilité!AO38,0)</f>
        <v>0</v>
      </c>
      <c r="Y38" s="0" t="n">
        <f aca="false">IF(2_Utilité!AO38&gt;0,2_Utilité!Y38/2_Utilité!AO38,0)</f>
        <v>0</v>
      </c>
      <c r="Z38" s="0" t="n">
        <f aca="false">IF(2_Utilité!AO38&gt;0,2_Utilité!Z38/2_Utilité!AO38,0)</f>
        <v>0</v>
      </c>
      <c r="AA38" s="0" t="n">
        <f aca="false">IF(2_Utilité!AO38&gt;0,2_Utilité!AA38/2_Utilité!AO38,0)</f>
        <v>0</v>
      </c>
      <c r="AB38" s="0" t="n">
        <f aca="false">IF(2_Utilité!AO38&gt;0,2_Utilité!AB38/2_Utilité!AO38,0)</f>
        <v>0</v>
      </c>
      <c r="AC38" s="0" t="n">
        <f aca="false">IF(2_Utilité!AO38&gt;0,2_Utilité!AC38/2_Utilité!AO38,0)</f>
        <v>0</v>
      </c>
      <c r="AD38" s="0" t="n">
        <f aca="false">IF(2_Utilité!AO38&gt;0,2_Utilité!AD38/2_Utilité!AO38,0)</f>
        <v>0</v>
      </c>
      <c r="AE38" s="0" t="n">
        <f aca="false">IF(2_Utilité!AO38&gt;0,2_Utilité!AE38/2_Utilité!AO38,0)</f>
        <v>0</v>
      </c>
      <c r="AF38" s="0" t="n">
        <f aca="false">IF(2_Utilité!AO38&gt;0,2_Utilité!AF38/2_Utilité!AO38,0)</f>
        <v>0</v>
      </c>
      <c r="AG38" s="0" t="n">
        <f aca="false">IF(2_Utilité!AO38&gt;0,2_Utilité!AG38/2_Utilité!AO38,0)</f>
        <v>0.587125335798369</v>
      </c>
      <c r="AH38" s="0" t="n">
        <f aca="false">IF(2_Utilité!AO38&gt;0,2_Utilité!AH38/2_Utilité!AO38,0)</f>
        <v>0</v>
      </c>
      <c r="AI38" s="0" t="n">
        <f aca="false">IF(2_Utilité!AO38&gt;0,2_Utilité!AI38/2_Utilité!AO38,0)</f>
        <v>0</v>
      </c>
      <c r="AJ38" s="0" t="n">
        <f aca="false">IF(2_Utilité!AO38&gt;0,2_Utilité!AJ38/2_Utilité!AO38,0)</f>
        <v>0</v>
      </c>
      <c r="AK38" s="0" t="n">
        <f aca="false">IF(2_Utilité!AO38&gt;0,2_Utilité!AK38/2_Utilité!AO38,0)</f>
        <v>0</v>
      </c>
      <c r="AL38" s="0" t="n">
        <f aca="false">IF(2_Utilité!AO38&gt;0,2_Utilité!AL38/2_Utilité!AO38,0)</f>
        <v>0</v>
      </c>
      <c r="AM38" s="48" t="n">
        <f aca="false">IF(2_Utilité!AO38&gt;0,2_Utilité!AM38/2_Utilité!AO38,0)</f>
        <v>0.0515027846135855</v>
      </c>
      <c r="AN38" s="43" t="n">
        <f aca="false">IF(2_Utilité!AO38&gt;0,2_Utilité!AN38/2_Utilité!AO38,0)</f>
        <v>0.337385960936682</v>
      </c>
      <c r="AO38" s="43" t="n">
        <f aca="false">SUM(C38:AN38)</f>
        <v>1</v>
      </c>
      <c r="AP38" s="43" t="n">
        <f aca="false">COUNTIF(Matrice_OD!$C38:$AN38,"&lt;="&amp;Param!$B$2)</f>
        <v>4</v>
      </c>
    </row>
    <row r="39" customFormat="false" ht="15" hidden="false" customHeight="true" outlineLevel="0" collapsed="false">
      <c r="A39" s="0" t="s">
        <v>176</v>
      </c>
      <c r="B39" s="0" t="s">
        <v>177</v>
      </c>
      <c r="C39" s="0" t="n">
        <f aca="false">IF(2_Utilité!AO39&gt;0,2_Utilité!C39/2_Utilité!AO39,0)</f>
        <v>0.0193460382216521</v>
      </c>
      <c r="D39" s="0" t="n">
        <f aca="false">IF(2_Utilité!AO39&gt;0,2_Utilité!D39/2_Utilité!AO39,0)</f>
        <v>0</v>
      </c>
      <c r="E39" s="0" t="n">
        <f aca="false">IF(2_Utilité!AO39&gt;0,2_Utilité!E39/2_Utilité!AO39,0)</f>
        <v>0</v>
      </c>
      <c r="F39" s="0" t="n">
        <f aca="false">IF(2_Utilité!AO39&gt;0,2_Utilité!F39/2_Utilité!AO39,0)</f>
        <v>0</v>
      </c>
      <c r="G39" s="0" t="n">
        <f aca="false">IF(2_Utilité!AO39&gt;0,2_Utilité!G39/2_Utilité!AO39,0)</f>
        <v>0</v>
      </c>
      <c r="H39" s="0" t="n">
        <f aca="false">IF(2_Utilité!AO39&gt;0,2_Utilité!H39/2_Utilité!AO39,0)</f>
        <v>0</v>
      </c>
      <c r="I39" s="0" t="n">
        <f aca="false">IF(2_Utilité!AO39&gt;0,2_Utilité!I39/2_Utilité!AO39,0)</f>
        <v>0</v>
      </c>
      <c r="J39" s="0" t="n">
        <f aca="false">IF(2_Utilité!AO39&gt;0,2_Utilité!J39/2_Utilité!AO39,0)</f>
        <v>0</v>
      </c>
      <c r="K39" s="0" t="n">
        <f aca="false">IF(2_Utilité!AO39&gt;0,2_Utilité!K39/2_Utilité!AO39,0)</f>
        <v>0</v>
      </c>
      <c r="L39" s="0" t="n">
        <f aca="false">IF(2_Utilité!AO39&gt;0,2_Utilité!L39/2_Utilité!AO39,0)</f>
        <v>0</v>
      </c>
      <c r="M39" s="0" t="n">
        <f aca="false">IF(2_Utilité!AO39&gt;0,2_Utilité!M39/2_Utilité!AO39,0)</f>
        <v>0</v>
      </c>
      <c r="N39" s="0" t="n">
        <f aca="false">IF(2_Utilité!AO39&gt;0,2_Utilité!N39/2_Utilité!AO39,0)</f>
        <v>0</v>
      </c>
      <c r="O39" s="0" t="n">
        <f aca="false">IF(2_Utilité!AO39&gt;0,2_Utilité!O39/2_Utilité!AO39,0)</f>
        <v>0</v>
      </c>
      <c r="P39" s="0" t="n">
        <f aca="false">IF(2_Utilité!AO39&gt;0,2_Utilité!P39/2_Utilité!AO39,0)</f>
        <v>0</v>
      </c>
      <c r="Q39" s="0" t="n">
        <f aca="false">IF(2_Utilité!AO39&gt;0,2_Utilité!Q39/2_Utilité!AO39,0)</f>
        <v>0</v>
      </c>
      <c r="R39" s="0" t="n">
        <f aca="false">IF(2_Utilité!AO39&gt;0,2_Utilité!R39/2_Utilité!AO39,0)</f>
        <v>0</v>
      </c>
      <c r="S39" s="0" t="n">
        <f aca="false">IF(2_Utilité!AO39&gt;0,2_Utilité!S39/2_Utilité!AO39,0)</f>
        <v>0</v>
      </c>
      <c r="T39" s="0" t="n">
        <f aca="false">IF(2_Utilité!AO39&gt;0,2_Utilité!T39/2_Utilité!AO39,0)</f>
        <v>0</v>
      </c>
      <c r="U39" s="0" t="n">
        <f aca="false">IF(2_Utilité!AO39&gt;0,2_Utilité!U39/2_Utilité!AO39,0)</f>
        <v>0</v>
      </c>
      <c r="V39" s="0" t="n">
        <f aca="false">IF(2_Utilité!AO39&gt;0,2_Utilité!V39/2_Utilité!AO39,0)</f>
        <v>0</v>
      </c>
      <c r="W39" s="0" t="n">
        <f aca="false">IF(2_Utilité!AO39&gt;0,2_Utilité!W39/2_Utilité!AO39,0)</f>
        <v>0</v>
      </c>
      <c r="X39" s="0" t="n">
        <f aca="false">IF(2_Utilité!AO39&gt;0,2_Utilité!X39/2_Utilité!AO39,0)</f>
        <v>0</v>
      </c>
      <c r="Y39" s="0" t="n">
        <f aca="false">IF(2_Utilité!AO39&gt;0,2_Utilité!Y39/2_Utilité!AO39,0)</f>
        <v>0</v>
      </c>
      <c r="Z39" s="0" t="n">
        <f aca="false">IF(2_Utilité!AO39&gt;0,2_Utilité!Z39/2_Utilité!AO39,0)</f>
        <v>0</v>
      </c>
      <c r="AA39" s="0" t="n">
        <f aca="false">IF(2_Utilité!AO39&gt;0,2_Utilité!AA39/2_Utilité!AO39,0)</f>
        <v>0</v>
      </c>
      <c r="AB39" s="0" t="n">
        <f aca="false">IF(2_Utilité!AO39&gt;0,2_Utilité!AB39/2_Utilité!AO39,0)</f>
        <v>0</v>
      </c>
      <c r="AC39" s="0" t="n">
        <f aca="false">IF(2_Utilité!AO39&gt;0,2_Utilité!AC39/2_Utilité!AO39,0)</f>
        <v>0</v>
      </c>
      <c r="AD39" s="0" t="n">
        <f aca="false">IF(2_Utilité!AO39&gt;0,2_Utilité!AD39/2_Utilité!AO39,0)</f>
        <v>0</v>
      </c>
      <c r="AE39" s="0" t="n">
        <f aca="false">IF(2_Utilité!AO39&gt;0,2_Utilité!AE39/2_Utilité!AO39,0)</f>
        <v>0</v>
      </c>
      <c r="AF39" s="0" t="n">
        <f aca="false">IF(2_Utilité!AO39&gt;0,2_Utilité!AF39/2_Utilité!AO39,0)</f>
        <v>0</v>
      </c>
      <c r="AG39" s="0" t="n">
        <f aca="false">IF(2_Utilité!AO39&gt;0,2_Utilité!AG39/2_Utilité!AO39,0)</f>
        <v>0.123004570066752</v>
      </c>
      <c r="AH39" s="0" t="n">
        <f aca="false">IF(2_Utilité!AO39&gt;0,2_Utilité!AH39/2_Utilité!AO39,0)</f>
        <v>0</v>
      </c>
      <c r="AI39" s="0" t="n">
        <f aca="false">IF(2_Utilité!AO39&gt;0,2_Utilité!AI39/2_Utilité!AO39,0)</f>
        <v>0</v>
      </c>
      <c r="AJ39" s="0" t="n">
        <f aca="false">IF(2_Utilité!AO39&gt;0,2_Utilité!AJ39/2_Utilité!AO39,0)</f>
        <v>0</v>
      </c>
      <c r="AK39" s="0" t="n">
        <f aca="false">IF(2_Utilité!AO39&gt;0,2_Utilité!AK39/2_Utilité!AO39,0)</f>
        <v>0</v>
      </c>
      <c r="AL39" s="0" t="n">
        <f aca="false">IF(2_Utilité!AO39&gt;0,2_Utilité!AL39/2_Utilité!AO39,0)</f>
        <v>0</v>
      </c>
      <c r="AM39" s="49" t="n">
        <f aca="false">IF(2_Utilité!AO39&gt;0,2_Utilité!AM39/2_Utilité!AO39,0)</f>
        <v>0.0409782477174665</v>
      </c>
      <c r="AN39" s="43" t="n">
        <f aca="false">IF(2_Utilité!AO39&gt;0,2_Utilité!AN39/2_Utilité!AO39,0)</f>
        <v>0.81667114399413</v>
      </c>
      <c r="AO39" s="43" t="n">
        <f aca="false">SUM(C39:AN39)</f>
        <v>1</v>
      </c>
      <c r="AP39" s="43" t="n">
        <f aca="false">COUNTIF(Matrice_OD!$C39:$AN39,"&lt;="&amp;Param!$B$2)</f>
        <v>4</v>
      </c>
    </row>
    <row r="40" customFormat="false" ht="15" hidden="false" customHeight="true" outlineLevel="0" collapsed="false">
      <c r="A40" s="0" t="s">
        <v>178</v>
      </c>
      <c r="B40" s="0" t="s">
        <v>179</v>
      </c>
      <c r="C40" s="0" t="n">
        <f aca="false">IF(2_Utilité!AO40&gt;0,2_Utilité!C40/2_Utilité!AO40,0)</f>
        <v>0.116567187922665</v>
      </c>
      <c r="D40" s="0" t="n">
        <f aca="false">IF(2_Utilité!AO40&gt;0,2_Utilité!D40/2_Utilité!AO40,0)</f>
        <v>0</v>
      </c>
      <c r="E40" s="0" t="n">
        <f aca="false">IF(2_Utilité!AO40&gt;0,2_Utilité!E40/2_Utilité!AO40,0)</f>
        <v>0</v>
      </c>
      <c r="F40" s="0" t="n">
        <f aca="false">IF(2_Utilité!AO40&gt;0,2_Utilité!F40/2_Utilité!AO40,0)</f>
        <v>0</v>
      </c>
      <c r="G40" s="0" t="n">
        <f aca="false">IF(2_Utilité!AO40&gt;0,2_Utilité!G40/2_Utilité!AO40,0)</f>
        <v>0</v>
      </c>
      <c r="H40" s="0" t="n">
        <f aca="false">IF(2_Utilité!AO40&gt;0,2_Utilité!H40/2_Utilité!AO40,0)</f>
        <v>0</v>
      </c>
      <c r="I40" s="0" t="n">
        <f aca="false">IF(2_Utilité!AO40&gt;0,2_Utilité!I40/2_Utilité!AO40,0)</f>
        <v>0</v>
      </c>
      <c r="J40" s="0" t="n">
        <f aca="false">IF(2_Utilité!AO40&gt;0,2_Utilité!J40/2_Utilité!AO40,0)</f>
        <v>0</v>
      </c>
      <c r="K40" s="0" t="n">
        <f aca="false">IF(2_Utilité!AO40&gt;0,2_Utilité!K40/2_Utilité!AO40,0)</f>
        <v>0</v>
      </c>
      <c r="L40" s="0" t="n">
        <f aca="false">IF(2_Utilité!AO40&gt;0,2_Utilité!L40/2_Utilité!AO40,0)</f>
        <v>0</v>
      </c>
      <c r="M40" s="0" t="n">
        <f aca="false">IF(2_Utilité!AO40&gt;0,2_Utilité!M40/2_Utilité!AO40,0)</f>
        <v>0</v>
      </c>
      <c r="N40" s="0" t="n">
        <f aca="false">IF(2_Utilité!AO40&gt;0,2_Utilité!N40/2_Utilité!AO40,0)</f>
        <v>0</v>
      </c>
      <c r="O40" s="0" t="n">
        <f aca="false">IF(2_Utilité!AO40&gt;0,2_Utilité!O40/2_Utilité!AO40,0)</f>
        <v>0</v>
      </c>
      <c r="P40" s="0" t="n">
        <f aca="false">IF(2_Utilité!AO40&gt;0,2_Utilité!P40/2_Utilité!AO40,0)</f>
        <v>0</v>
      </c>
      <c r="Q40" s="0" t="n">
        <f aca="false">IF(2_Utilité!AO40&gt;0,2_Utilité!Q40/2_Utilité!AO40,0)</f>
        <v>0</v>
      </c>
      <c r="R40" s="0" t="n">
        <f aca="false">IF(2_Utilité!AO40&gt;0,2_Utilité!R40/2_Utilité!AO40,0)</f>
        <v>0</v>
      </c>
      <c r="S40" s="0" t="n">
        <f aca="false">IF(2_Utilité!AO40&gt;0,2_Utilité!S40/2_Utilité!AO40,0)</f>
        <v>0</v>
      </c>
      <c r="T40" s="0" t="n">
        <f aca="false">IF(2_Utilité!AO40&gt;0,2_Utilité!T40/2_Utilité!AO40,0)</f>
        <v>0</v>
      </c>
      <c r="U40" s="0" t="n">
        <f aca="false">IF(2_Utilité!AO40&gt;0,2_Utilité!U40/2_Utilité!AO40,0)</f>
        <v>0</v>
      </c>
      <c r="V40" s="0" t="n">
        <f aca="false">IF(2_Utilité!AO40&gt;0,2_Utilité!V40/2_Utilité!AO40,0)</f>
        <v>0</v>
      </c>
      <c r="W40" s="0" t="n">
        <f aca="false">IF(2_Utilité!AO40&gt;0,2_Utilité!W40/2_Utilité!AO40,0)</f>
        <v>0</v>
      </c>
      <c r="X40" s="0" t="n">
        <f aca="false">IF(2_Utilité!AO40&gt;0,2_Utilité!X40/2_Utilité!AO40,0)</f>
        <v>0</v>
      </c>
      <c r="Y40" s="0" t="n">
        <f aca="false">IF(2_Utilité!AO40&gt;0,2_Utilité!Y40/2_Utilité!AO40,0)</f>
        <v>0</v>
      </c>
      <c r="Z40" s="0" t="n">
        <f aca="false">IF(2_Utilité!AO40&gt;0,2_Utilité!Z40/2_Utilité!AO40,0)</f>
        <v>0</v>
      </c>
      <c r="AA40" s="0" t="n">
        <f aca="false">IF(2_Utilité!AO40&gt;0,2_Utilité!AA40/2_Utilité!AO40,0)</f>
        <v>0</v>
      </c>
      <c r="AB40" s="0" t="n">
        <f aca="false">IF(2_Utilité!AO40&gt;0,2_Utilité!AB40/2_Utilité!AO40,0)</f>
        <v>0</v>
      </c>
      <c r="AC40" s="0" t="n">
        <f aca="false">IF(2_Utilité!AO40&gt;0,2_Utilité!AC40/2_Utilité!AO40,0)</f>
        <v>0</v>
      </c>
      <c r="AD40" s="0" t="n">
        <f aca="false">IF(2_Utilité!AO40&gt;0,2_Utilité!AD40/2_Utilité!AO40,0)</f>
        <v>0</v>
      </c>
      <c r="AE40" s="0" t="n">
        <f aca="false">IF(2_Utilité!AO40&gt;0,2_Utilité!AE40/2_Utilité!AO40,0)</f>
        <v>0</v>
      </c>
      <c r="AF40" s="0" t="n">
        <f aca="false">IF(2_Utilité!AO40&gt;0,2_Utilité!AF40/2_Utilité!AO40,0)</f>
        <v>0</v>
      </c>
      <c r="AG40" s="0" t="n">
        <f aca="false">IF(2_Utilité!AO40&gt;0,2_Utilité!AG40/2_Utilité!AO40,0)</f>
        <v>0.0684206475043363</v>
      </c>
      <c r="AH40" s="0" t="n">
        <f aca="false">IF(2_Utilité!AO40&gt;0,2_Utilité!AH40/2_Utilité!AO40,0)</f>
        <v>0</v>
      </c>
      <c r="AI40" s="0" t="n">
        <f aca="false">IF(2_Utilité!AO40&gt;0,2_Utilité!AI40/2_Utilité!AO40,0)</f>
        <v>0</v>
      </c>
      <c r="AJ40" s="0" t="n">
        <f aca="false">IF(2_Utilité!AO40&gt;0,2_Utilité!AJ40/2_Utilité!AO40,0)</f>
        <v>0</v>
      </c>
      <c r="AK40" s="0" t="n">
        <f aca="false">IF(2_Utilité!AO40&gt;0,2_Utilité!AK40/2_Utilité!AO40,0)</f>
        <v>0</v>
      </c>
      <c r="AL40" s="0" t="n">
        <f aca="false">IF(2_Utilité!AO40&gt;0,2_Utilité!AL40/2_Utilité!AO40,0)</f>
        <v>0</v>
      </c>
      <c r="AM40" s="48" t="n">
        <f aca="false">IF(2_Utilité!AO40&gt;0,2_Utilité!AM40/2_Utilité!AO40,0)</f>
        <v>0.257881935386785</v>
      </c>
      <c r="AN40" s="43" t="n">
        <f aca="false">IF(2_Utilité!AO40&gt;0,2_Utilité!AN40/2_Utilité!AO40,0)</f>
        <v>0.557130229186213</v>
      </c>
      <c r="AO40" s="43" t="n">
        <f aca="false">SUM(C40:AN40)</f>
        <v>1</v>
      </c>
      <c r="AP40" s="43" t="n">
        <f aca="false">COUNTIF(Matrice_OD!$C40:$AN40,"&lt;="&amp;Param!$B$2)</f>
        <v>4</v>
      </c>
    </row>
    <row r="41" customFormat="false" ht="15" hidden="false" customHeight="true" outlineLevel="0" collapsed="false">
      <c r="A41" s="0" t="s">
        <v>180</v>
      </c>
      <c r="B41" s="0" t="s">
        <v>181</v>
      </c>
      <c r="C41" s="0" t="n">
        <f aca="false">IF(2_Utilité!AO41&gt;0,2_Utilité!C41/2_Utilité!AO41,0)</f>
        <v>0.196834126820058</v>
      </c>
      <c r="D41" s="0" t="n">
        <f aca="false">IF(2_Utilité!AO41&gt;0,2_Utilité!D41/2_Utilité!AO41,0)</f>
        <v>0</v>
      </c>
      <c r="E41" s="0" t="n">
        <f aca="false">IF(2_Utilité!AO41&gt;0,2_Utilité!E41/2_Utilité!AO41,0)</f>
        <v>0</v>
      </c>
      <c r="F41" s="0" t="n">
        <f aca="false">IF(2_Utilité!AO41&gt;0,2_Utilité!F41/2_Utilité!AO41,0)</f>
        <v>0</v>
      </c>
      <c r="G41" s="0" t="n">
        <f aca="false">IF(2_Utilité!AO41&gt;0,2_Utilité!G41/2_Utilité!AO41,0)</f>
        <v>0</v>
      </c>
      <c r="H41" s="0" t="n">
        <f aca="false">IF(2_Utilité!AO41&gt;0,2_Utilité!H41/2_Utilité!AO41,0)</f>
        <v>0</v>
      </c>
      <c r="I41" s="0" t="n">
        <f aca="false">IF(2_Utilité!AO41&gt;0,2_Utilité!I41/2_Utilité!AO41,0)</f>
        <v>0</v>
      </c>
      <c r="J41" s="0" t="n">
        <f aca="false">IF(2_Utilité!AO41&gt;0,2_Utilité!J41/2_Utilité!AO41,0)</f>
        <v>0</v>
      </c>
      <c r="K41" s="0" t="n">
        <f aca="false">IF(2_Utilité!AO41&gt;0,2_Utilité!K41/2_Utilité!AO41,0)</f>
        <v>0</v>
      </c>
      <c r="L41" s="0" t="n">
        <f aca="false">IF(2_Utilité!AO41&gt;0,2_Utilité!L41/2_Utilité!AO41,0)</f>
        <v>0</v>
      </c>
      <c r="M41" s="0" t="n">
        <f aca="false">IF(2_Utilité!AO41&gt;0,2_Utilité!M41/2_Utilité!AO41,0)</f>
        <v>0</v>
      </c>
      <c r="N41" s="0" t="n">
        <f aca="false">IF(2_Utilité!AO41&gt;0,2_Utilité!N41/2_Utilité!AO41,0)</f>
        <v>0</v>
      </c>
      <c r="O41" s="0" t="n">
        <f aca="false">IF(2_Utilité!AO41&gt;0,2_Utilité!O41/2_Utilité!AO41,0)</f>
        <v>0</v>
      </c>
      <c r="P41" s="0" t="n">
        <f aca="false">IF(2_Utilité!AO41&gt;0,2_Utilité!P41/2_Utilité!AO41,0)</f>
        <v>0</v>
      </c>
      <c r="Q41" s="0" t="n">
        <f aca="false">IF(2_Utilité!AO41&gt;0,2_Utilité!Q41/2_Utilité!AO41,0)</f>
        <v>0</v>
      </c>
      <c r="R41" s="0" t="n">
        <f aca="false">IF(2_Utilité!AO41&gt;0,2_Utilité!R41/2_Utilité!AO41,0)</f>
        <v>0</v>
      </c>
      <c r="S41" s="0" t="n">
        <f aca="false">IF(2_Utilité!AO41&gt;0,2_Utilité!S41/2_Utilité!AO41,0)</f>
        <v>0</v>
      </c>
      <c r="T41" s="0" t="n">
        <f aca="false">IF(2_Utilité!AO41&gt;0,2_Utilité!T41/2_Utilité!AO41,0)</f>
        <v>0</v>
      </c>
      <c r="U41" s="0" t="n">
        <f aca="false">IF(2_Utilité!AO41&gt;0,2_Utilité!U41/2_Utilité!AO41,0)</f>
        <v>0</v>
      </c>
      <c r="V41" s="0" t="n">
        <f aca="false">IF(2_Utilité!AO41&gt;0,2_Utilité!V41/2_Utilité!AO41,0)</f>
        <v>0</v>
      </c>
      <c r="W41" s="0" t="n">
        <f aca="false">IF(2_Utilité!AO41&gt;0,2_Utilité!W41/2_Utilité!AO41,0)</f>
        <v>0</v>
      </c>
      <c r="X41" s="0" t="n">
        <f aca="false">IF(2_Utilité!AO41&gt;0,2_Utilité!X41/2_Utilité!AO41,0)</f>
        <v>0</v>
      </c>
      <c r="Y41" s="0" t="n">
        <f aca="false">IF(2_Utilité!AO41&gt;0,2_Utilité!Y41/2_Utilité!AO41,0)</f>
        <v>0</v>
      </c>
      <c r="Z41" s="0" t="n">
        <f aca="false">IF(2_Utilité!AO41&gt;0,2_Utilité!Z41/2_Utilité!AO41,0)</f>
        <v>0</v>
      </c>
      <c r="AA41" s="0" t="n">
        <f aca="false">IF(2_Utilité!AO41&gt;0,2_Utilité!AA41/2_Utilité!AO41,0)</f>
        <v>0</v>
      </c>
      <c r="AB41" s="0" t="n">
        <f aca="false">IF(2_Utilité!AO41&gt;0,2_Utilité!AB41/2_Utilité!AO41,0)</f>
        <v>0</v>
      </c>
      <c r="AC41" s="0" t="n">
        <f aca="false">IF(2_Utilité!AO41&gt;0,2_Utilité!AC41/2_Utilité!AO41,0)</f>
        <v>0</v>
      </c>
      <c r="AD41" s="0" t="n">
        <f aca="false">IF(2_Utilité!AO41&gt;0,2_Utilité!AD41/2_Utilité!AO41,0)</f>
        <v>0</v>
      </c>
      <c r="AE41" s="0" t="n">
        <f aca="false">IF(2_Utilité!AO41&gt;0,2_Utilité!AE41/2_Utilité!AO41,0)</f>
        <v>0</v>
      </c>
      <c r="AF41" s="0" t="n">
        <f aca="false">IF(2_Utilité!AO41&gt;0,2_Utilité!AF41/2_Utilité!AO41,0)</f>
        <v>0</v>
      </c>
      <c r="AG41" s="0" t="n">
        <f aca="false">IF(2_Utilité!AO41&gt;0,2_Utilité!AG41/2_Utilité!AO41,0)</f>
        <v>0.145300219555639</v>
      </c>
      <c r="AH41" s="0" t="n">
        <f aca="false">IF(2_Utilité!AO41&gt;0,2_Utilité!AH41/2_Utilité!AO41,0)</f>
        <v>0</v>
      </c>
      <c r="AI41" s="0" t="n">
        <f aca="false">IF(2_Utilité!AO41&gt;0,2_Utilité!AI41/2_Utilité!AO41,0)</f>
        <v>0</v>
      </c>
      <c r="AJ41" s="0" t="n">
        <f aca="false">IF(2_Utilité!AO41&gt;0,2_Utilité!AJ41/2_Utilité!AO41,0)</f>
        <v>0</v>
      </c>
      <c r="AK41" s="0" t="n">
        <f aca="false">IF(2_Utilité!AO41&gt;0,2_Utilité!AK41/2_Utilité!AO41,0)</f>
        <v>0</v>
      </c>
      <c r="AL41" s="0" t="n">
        <f aca="false">IF(2_Utilité!AO41&gt;0,2_Utilité!AL41/2_Utilité!AO41,0)</f>
        <v>0</v>
      </c>
      <c r="AM41" s="49" t="n">
        <f aca="false">IF(2_Utilité!AO41&gt;0,2_Utilité!AM41/2_Utilité!AO41,0)</f>
        <v>0.429268014950484</v>
      </c>
      <c r="AN41" s="43" t="n">
        <f aca="false">IF(2_Utilité!AO41&gt;0,2_Utilité!AN41/2_Utilité!AO41,0)</f>
        <v>0.228597638673819</v>
      </c>
      <c r="AO41" s="43" t="n">
        <f aca="false">SUM(C41:AN41)</f>
        <v>1</v>
      </c>
      <c r="AP41" s="43" t="n">
        <f aca="false">COUNTIF(Matrice_OD!$C41:$AN41,"&lt;="&amp;Param!$B$2)</f>
        <v>4</v>
      </c>
    </row>
    <row r="42" customFormat="false" ht="15" hidden="false" customHeight="true" outlineLevel="0" collapsed="false">
      <c r="A42" s="0" t="s">
        <v>182</v>
      </c>
      <c r="B42" s="0" t="s">
        <v>183</v>
      </c>
      <c r="C42" s="0" t="n">
        <f aca="false">IF(2_Utilité!AO42&gt;0,2_Utilité!C42/2_Utilité!AO42,0)</f>
        <v>0.136219359913057</v>
      </c>
      <c r="D42" s="0" t="n">
        <f aca="false">IF(2_Utilité!AO42&gt;0,2_Utilité!D42/2_Utilité!AO42,0)</f>
        <v>0</v>
      </c>
      <c r="E42" s="0" t="n">
        <f aca="false">IF(2_Utilité!AO42&gt;0,2_Utilité!E42/2_Utilité!AO42,0)</f>
        <v>0</v>
      </c>
      <c r="F42" s="0" t="n">
        <f aca="false">IF(2_Utilité!AO42&gt;0,2_Utilité!F42/2_Utilité!AO42,0)</f>
        <v>0</v>
      </c>
      <c r="G42" s="0" t="n">
        <f aca="false">IF(2_Utilité!AO42&gt;0,2_Utilité!G42/2_Utilité!AO42,0)</f>
        <v>0</v>
      </c>
      <c r="H42" s="0" t="n">
        <f aca="false">IF(2_Utilité!AO42&gt;0,2_Utilité!H42/2_Utilité!AO42,0)</f>
        <v>0</v>
      </c>
      <c r="I42" s="0" t="n">
        <f aca="false">IF(2_Utilité!AO42&gt;0,2_Utilité!I42/2_Utilité!AO42,0)</f>
        <v>0</v>
      </c>
      <c r="J42" s="0" t="n">
        <f aca="false">IF(2_Utilité!AO42&gt;0,2_Utilité!J42/2_Utilité!AO42,0)</f>
        <v>0</v>
      </c>
      <c r="K42" s="0" t="n">
        <f aca="false">IF(2_Utilité!AO42&gt;0,2_Utilité!K42/2_Utilité!AO42,0)</f>
        <v>0</v>
      </c>
      <c r="L42" s="0" t="n">
        <f aca="false">IF(2_Utilité!AO42&gt;0,2_Utilité!L42/2_Utilité!AO42,0)</f>
        <v>0</v>
      </c>
      <c r="M42" s="0" t="n">
        <f aca="false">IF(2_Utilité!AO42&gt;0,2_Utilité!M42/2_Utilité!AO42,0)</f>
        <v>0</v>
      </c>
      <c r="N42" s="0" t="n">
        <f aca="false">IF(2_Utilité!AO42&gt;0,2_Utilité!N42/2_Utilité!AO42,0)</f>
        <v>0</v>
      </c>
      <c r="O42" s="0" t="n">
        <f aca="false">IF(2_Utilité!AO42&gt;0,2_Utilité!O42/2_Utilité!AO42,0)</f>
        <v>0</v>
      </c>
      <c r="P42" s="0" t="n">
        <f aca="false">IF(2_Utilité!AO42&gt;0,2_Utilité!P42/2_Utilité!AO42,0)</f>
        <v>0</v>
      </c>
      <c r="Q42" s="0" t="n">
        <f aca="false">IF(2_Utilité!AO42&gt;0,2_Utilité!Q42/2_Utilité!AO42,0)</f>
        <v>0</v>
      </c>
      <c r="R42" s="0" t="n">
        <f aca="false">IF(2_Utilité!AO42&gt;0,2_Utilité!R42/2_Utilité!AO42,0)</f>
        <v>0</v>
      </c>
      <c r="S42" s="0" t="n">
        <f aca="false">IF(2_Utilité!AO42&gt;0,2_Utilité!S42/2_Utilité!AO42,0)</f>
        <v>0</v>
      </c>
      <c r="T42" s="0" t="n">
        <f aca="false">IF(2_Utilité!AO42&gt;0,2_Utilité!T42/2_Utilité!AO42,0)</f>
        <v>0</v>
      </c>
      <c r="U42" s="0" t="n">
        <f aca="false">IF(2_Utilité!AO42&gt;0,2_Utilité!U42/2_Utilité!AO42,0)</f>
        <v>0</v>
      </c>
      <c r="V42" s="0" t="n">
        <f aca="false">IF(2_Utilité!AO42&gt;0,2_Utilité!V42/2_Utilité!AO42,0)</f>
        <v>0</v>
      </c>
      <c r="W42" s="0" t="n">
        <f aca="false">IF(2_Utilité!AO42&gt;0,2_Utilité!W42/2_Utilité!AO42,0)</f>
        <v>0</v>
      </c>
      <c r="X42" s="0" t="n">
        <f aca="false">IF(2_Utilité!AO42&gt;0,2_Utilité!X42/2_Utilité!AO42,0)</f>
        <v>0</v>
      </c>
      <c r="Y42" s="0" t="n">
        <f aca="false">IF(2_Utilité!AO42&gt;0,2_Utilité!Y42/2_Utilité!AO42,0)</f>
        <v>0</v>
      </c>
      <c r="Z42" s="0" t="n">
        <f aca="false">IF(2_Utilité!AO42&gt;0,2_Utilité!Z42/2_Utilité!AO42,0)</f>
        <v>0</v>
      </c>
      <c r="AA42" s="0" t="n">
        <f aca="false">IF(2_Utilité!AO42&gt;0,2_Utilité!AA42/2_Utilité!AO42,0)</f>
        <v>0</v>
      </c>
      <c r="AB42" s="0" t="n">
        <f aca="false">IF(2_Utilité!AO42&gt;0,2_Utilité!AB42/2_Utilité!AO42,0)</f>
        <v>0</v>
      </c>
      <c r="AC42" s="0" t="n">
        <f aca="false">IF(2_Utilité!AO42&gt;0,2_Utilité!AC42/2_Utilité!AO42,0)</f>
        <v>0</v>
      </c>
      <c r="AD42" s="0" t="n">
        <f aca="false">IF(2_Utilité!AO42&gt;0,2_Utilité!AD42/2_Utilité!AO42,0)</f>
        <v>0</v>
      </c>
      <c r="AE42" s="0" t="n">
        <f aca="false">IF(2_Utilité!AO42&gt;0,2_Utilité!AE42/2_Utilité!AO42,0)</f>
        <v>0</v>
      </c>
      <c r="AF42" s="0" t="n">
        <f aca="false">IF(2_Utilité!AO42&gt;0,2_Utilité!AF42/2_Utilité!AO42,0)</f>
        <v>0</v>
      </c>
      <c r="AG42" s="0" t="n">
        <f aca="false">IF(2_Utilité!AO42&gt;0,2_Utilité!AG42/2_Utilité!AO42,0)</f>
        <v>0.0517339831937513</v>
      </c>
      <c r="AH42" s="0" t="n">
        <f aca="false">IF(2_Utilité!AO42&gt;0,2_Utilité!AH42/2_Utilité!AO42,0)</f>
        <v>0</v>
      </c>
      <c r="AI42" s="0" t="n">
        <f aca="false">IF(2_Utilité!AO42&gt;0,2_Utilité!AI42/2_Utilité!AO42,0)</f>
        <v>0</v>
      </c>
      <c r="AJ42" s="0" t="n">
        <f aca="false">IF(2_Utilité!AO42&gt;0,2_Utilité!AJ42/2_Utilité!AO42,0)</f>
        <v>0</v>
      </c>
      <c r="AK42" s="0" t="n">
        <f aca="false">IF(2_Utilité!AO42&gt;0,2_Utilité!AK42/2_Utilité!AO42,0)</f>
        <v>0</v>
      </c>
      <c r="AL42" s="0" t="n">
        <f aca="false">IF(2_Utilité!AO42&gt;0,2_Utilité!AL42/2_Utilité!AO42,0)</f>
        <v>0</v>
      </c>
      <c r="AM42" s="48" t="n">
        <f aca="false">IF(2_Utilité!AO42&gt;0,2_Utilité!AM42/2_Utilité!AO42,0)</f>
        <v>0.295835206068313</v>
      </c>
      <c r="AN42" s="43" t="n">
        <f aca="false">IF(2_Utilité!AO42&gt;0,2_Utilité!AN42/2_Utilité!AO42,0)</f>
        <v>0.516211450824878</v>
      </c>
      <c r="AO42" s="43" t="n">
        <f aca="false">SUM(C42:AN42)</f>
        <v>1</v>
      </c>
      <c r="AP42" s="43" t="n">
        <f aca="false">COUNTIF(Matrice_OD!$C42:$AN42,"&lt;="&amp;Param!$B$2)</f>
        <v>4</v>
      </c>
    </row>
    <row r="43" customFormat="false" ht="15" hidden="false" customHeight="true" outlineLevel="0" collapsed="false">
      <c r="A43" s="0" t="s">
        <v>184</v>
      </c>
      <c r="B43" s="0" t="s">
        <v>185</v>
      </c>
      <c r="C43" s="0" t="n">
        <f aca="false">IF(2_Utilité!AO43&gt;0,2_Utilité!C43/2_Utilité!AO43,0)</f>
        <v>0</v>
      </c>
      <c r="D43" s="0" t="n">
        <f aca="false">IF(2_Utilité!AO43&gt;0,2_Utilité!D43/2_Utilité!AO43,0)</f>
        <v>0</v>
      </c>
      <c r="E43" s="0" t="n">
        <f aca="false">IF(2_Utilité!AO43&gt;0,2_Utilité!E43/2_Utilité!AO43,0)</f>
        <v>0</v>
      </c>
      <c r="F43" s="0" t="n">
        <f aca="false">IF(2_Utilité!AO43&gt;0,2_Utilité!F43/2_Utilité!AO43,0)</f>
        <v>0</v>
      </c>
      <c r="G43" s="0" t="n">
        <f aca="false">IF(2_Utilité!AO43&gt;0,2_Utilité!G43/2_Utilité!AO43,0)</f>
        <v>0</v>
      </c>
      <c r="H43" s="0" t="n">
        <f aca="false">IF(2_Utilité!AO43&gt;0,2_Utilité!H43/2_Utilité!AO43,0)</f>
        <v>0</v>
      </c>
      <c r="I43" s="0" t="n">
        <f aca="false">IF(2_Utilité!AO43&gt;0,2_Utilité!I43/2_Utilité!AO43,0)</f>
        <v>0</v>
      </c>
      <c r="J43" s="0" t="n">
        <f aca="false">IF(2_Utilité!AO43&gt;0,2_Utilité!J43/2_Utilité!AO43,0)</f>
        <v>0</v>
      </c>
      <c r="K43" s="0" t="n">
        <f aca="false">IF(2_Utilité!AO43&gt;0,2_Utilité!K43/2_Utilité!AO43,0)</f>
        <v>0</v>
      </c>
      <c r="L43" s="0" t="n">
        <f aca="false">IF(2_Utilité!AO43&gt;0,2_Utilité!L43/2_Utilité!AO43,0)</f>
        <v>0</v>
      </c>
      <c r="M43" s="0" t="n">
        <f aca="false">IF(2_Utilité!AO43&gt;0,2_Utilité!M43/2_Utilité!AO43,0)</f>
        <v>0</v>
      </c>
      <c r="N43" s="0" t="n">
        <f aca="false">IF(2_Utilité!AO43&gt;0,2_Utilité!N43/2_Utilité!AO43,0)</f>
        <v>0</v>
      </c>
      <c r="O43" s="0" t="n">
        <f aca="false">IF(2_Utilité!AO43&gt;0,2_Utilité!O43/2_Utilité!AO43,0)</f>
        <v>0</v>
      </c>
      <c r="P43" s="0" t="n">
        <f aca="false">IF(2_Utilité!AO43&gt;0,2_Utilité!P43/2_Utilité!AO43,0)</f>
        <v>0</v>
      </c>
      <c r="Q43" s="0" t="n">
        <f aca="false">IF(2_Utilité!AO43&gt;0,2_Utilité!Q43/2_Utilité!AO43,0)</f>
        <v>0</v>
      </c>
      <c r="R43" s="0" t="n">
        <f aca="false">IF(2_Utilité!AO43&gt;0,2_Utilité!R43/2_Utilité!AO43,0)</f>
        <v>0</v>
      </c>
      <c r="S43" s="0" t="n">
        <f aca="false">IF(2_Utilité!AO43&gt;0,2_Utilité!S43/2_Utilité!AO43,0)</f>
        <v>0</v>
      </c>
      <c r="T43" s="0" t="n">
        <f aca="false">IF(2_Utilité!AO43&gt;0,2_Utilité!T43/2_Utilité!AO43,0)</f>
        <v>0</v>
      </c>
      <c r="U43" s="0" t="n">
        <f aca="false">IF(2_Utilité!AO43&gt;0,2_Utilité!U43/2_Utilité!AO43,0)</f>
        <v>0</v>
      </c>
      <c r="V43" s="0" t="n">
        <f aca="false">IF(2_Utilité!AO43&gt;0,2_Utilité!V43/2_Utilité!AO43,0)</f>
        <v>0</v>
      </c>
      <c r="W43" s="0" t="n">
        <f aca="false">IF(2_Utilité!AO43&gt;0,2_Utilité!W43/2_Utilité!AO43,0)</f>
        <v>0</v>
      </c>
      <c r="X43" s="0" t="n">
        <f aca="false">IF(2_Utilité!AO43&gt;0,2_Utilité!X43/2_Utilité!AO43,0)</f>
        <v>0</v>
      </c>
      <c r="Y43" s="0" t="n">
        <f aca="false">IF(2_Utilité!AO43&gt;0,2_Utilité!Y43/2_Utilité!AO43,0)</f>
        <v>0</v>
      </c>
      <c r="Z43" s="0" t="n">
        <f aca="false">IF(2_Utilité!AO43&gt;0,2_Utilité!Z43/2_Utilité!AO43,0)</f>
        <v>0</v>
      </c>
      <c r="AA43" s="0" t="n">
        <f aca="false">IF(2_Utilité!AO43&gt;0,2_Utilité!AA43/2_Utilité!AO43,0)</f>
        <v>0</v>
      </c>
      <c r="AB43" s="0" t="n">
        <f aca="false">IF(2_Utilité!AO43&gt;0,2_Utilité!AB43/2_Utilité!AO43,0)</f>
        <v>0</v>
      </c>
      <c r="AC43" s="0" t="n">
        <f aca="false">IF(2_Utilité!AO43&gt;0,2_Utilité!AC43/2_Utilité!AO43,0)</f>
        <v>0</v>
      </c>
      <c r="AD43" s="0" t="n">
        <f aca="false">IF(2_Utilité!AO43&gt;0,2_Utilité!AD43/2_Utilité!AO43,0)</f>
        <v>0</v>
      </c>
      <c r="AE43" s="0" t="n">
        <f aca="false">IF(2_Utilité!AO43&gt;0,2_Utilité!AE43/2_Utilité!AO43,0)</f>
        <v>0</v>
      </c>
      <c r="AF43" s="0" t="n">
        <f aca="false">IF(2_Utilité!AO43&gt;0,2_Utilité!AF43/2_Utilité!AO43,0)</f>
        <v>0</v>
      </c>
      <c r="AG43" s="0" t="n">
        <f aca="false">IF(2_Utilité!AO43&gt;0,2_Utilité!AG43/2_Utilité!AO43,0)</f>
        <v>0.415367118632016</v>
      </c>
      <c r="AH43" s="0" t="n">
        <f aca="false">IF(2_Utilité!AO43&gt;0,2_Utilité!AH43/2_Utilité!AO43,0)</f>
        <v>0</v>
      </c>
      <c r="AI43" s="0" t="n">
        <f aca="false">IF(2_Utilité!AO43&gt;0,2_Utilité!AI43/2_Utilité!AO43,0)</f>
        <v>0</v>
      </c>
      <c r="AJ43" s="0" t="n">
        <f aca="false">IF(2_Utilité!AO43&gt;0,2_Utilité!AJ43/2_Utilité!AO43,0)</f>
        <v>0</v>
      </c>
      <c r="AK43" s="0" t="n">
        <f aca="false">IF(2_Utilité!AO43&gt;0,2_Utilité!AK43/2_Utilité!AO43,0)</f>
        <v>0</v>
      </c>
      <c r="AL43" s="0" t="n">
        <f aca="false">IF(2_Utilité!AO43&gt;0,2_Utilité!AL43/2_Utilité!AO43,0)</f>
        <v>0</v>
      </c>
      <c r="AM43" s="49" t="n">
        <f aca="false">IF(2_Utilité!AO43&gt;0,2_Utilité!AM43/2_Utilité!AO43,0)</f>
        <v>0</v>
      </c>
      <c r="AN43" s="43" t="n">
        <f aca="false">IF(2_Utilité!AO43&gt;0,2_Utilité!AN43/2_Utilité!AO43,0)</f>
        <v>0.584632881367984</v>
      </c>
      <c r="AO43" s="43" t="n">
        <f aca="false">SUM(C43:AN43)</f>
        <v>1</v>
      </c>
      <c r="AP43" s="43" t="n">
        <f aca="false">COUNTIF(Matrice_OD!$C43:$AN43,"&lt;="&amp;Param!$B$2)</f>
        <v>2</v>
      </c>
    </row>
    <row r="44" customFormat="false" ht="15" hidden="false" customHeight="true" outlineLevel="0" collapsed="false">
      <c r="A44" s="0" t="s">
        <v>186</v>
      </c>
      <c r="B44" s="0" t="s">
        <v>187</v>
      </c>
      <c r="C44" s="0" t="n">
        <f aca="false">IF(2_Utilité!AO44&gt;0,2_Utilité!C44/2_Utilité!AO44,0)</f>
        <v>0</v>
      </c>
      <c r="D44" s="0" t="n">
        <f aca="false">IF(2_Utilité!AO44&gt;0,2_Utilité!D44/2_Utilité!AO44,0)</f>
        <v>0</v>
      </c>
      <c r="E44" s="0" t="n">
        <f aca="false">IF(2_Utilité!AO44&gt;0,2_Utilité!E44/2_Utilité!AO44,0)</f>
        <v>0</v>
      </c>
      <c r="F44" s="0" t="n">
        <f aca="false">IF(2_Utilité!AO44&gt;0,2_Utilité!F44/2_Utilité!AO44,0)</f>
        <v>0</v>
      </c>
      <c r="G44" s="0" t="n">
        <f aca="false">IF(2_Utilité!AO44&gt;0,2_Utilité!G44/2_Utilité!AO44,0)</f>
        <v>0</v>
      </c>
      <c r="H44" s="0" t="n">
        <f aca="false">IF(2_Utilité!AO44&gt;0,2_Utilité!H44/2_Utilité!AO44,0)</f>
        <v>0</v>
      </c>
      <c r="I44" s="0" t="n">
        <f aca="false">IF(2_Utilité!AO44&gt;0,2_Utilité!I44/2_Utilité!AO44,0)</f>
        <v>0</v>
      </c>
      <c r="J44" s="0" t="n">
        <f aca="false">IF(2_Utilité!AO44&gt;0,2_Utilité!J44/2_Utilité!AO44,0)</f>
        <v>0</v>
      </c>
      <c r="K44" s="0" t="n">
        <f aca="false">IF(2_Utilité!AO44&gt;0,2_Utilité!K44/2_Utilité!AO44,0)</f>
        <v>0</v>
      </c>
      <c r="L44" s="0" t="n">
        <f aca="false">IF(2_Utilité!AO44&gt;0,2_Utilité!L44/2_Utilité!AO44,0)</f>
        <v>0</v>
      </c>
      <c r="M44" s="0" t="n">
        <f aca="false">IF(2_Utilité!AO44&gt;0,2_Utilité!M44/2_Utilité!AO44,0)</f>
        <v>0</v>
      </c>
      <c r="N44" s="0" t="n">
        <f aca="false">IF(2_Utilité!AO44&gt;0,2_Utilité!N44/2_Utilité!AO44,0)</f>
        <v>0</v>
      </c>
      <c r="O44" s="0" t="n">
        <f aca="false">IF(2_Utilité!AO44&gt;0,2_Utilité!O44/2_Utilité!AO44,0)</f>
        <v>0</v>
      </c>
      <c r="P44" s="0" t="n">
        <f aca="false">IF(2_Utilité!AO44&gt;0,2_Utilité!P44/2_Utilité!AO44,0)</f>
        <v>0</v>
      </c>
      <c r="Q44" s="0" t="n">
        <f aca="false">IF(2_Utilité!AO44&gt;0,2_Utilité!Q44/2_Utilité!AO44,0)</f>
        <v>0</v>
      </c>
      <c r="R44" s="0" t="n">
        <f aca="false">IF(2_Utilité!AO44&gt;0,2_Utilité!R44/2_Utilité!AO44,0)</f>
        <v>0</v>
      </c>
      <c r="S44" s="0" t="n">
        <f aca="false">IF(2_Utilité!AO44&gt;0,2_Utilité!S44/2_Utilité!AO44,0)</f>
        <v>0</v>
      </c>
      <c r="T44" s="0" t="n">
        <f aca="false">IF(2_Utilité!AO44&gt;0,2_Utilité!T44/2_Utilité!AO44,0)</f>
        <v>0</v>
      </c>
      <c r="U44" s="0" t="n">
        <f aca="false">IF(2_Utilité!AO44&gt;0,2_Utilité!U44/2_Utilité!AO44,0)</f>
        <v>0</v>
      </c>
      <c r="V44" s="0" t="n">
        <f aca="false">IF(2_Utilité!AO44&gt;0,2_Utilité!V44/2_Utilité!AO44,0)</f>
        <v>0</v>
      </c>
      <c r="W44" s="0" t="n">
        <f aca="false">IF(2_Utilité!AO44&gt;0,2_Utilité!W44/2_Utilité!AO44,0)</f>
        <v>0</v>
      </c>
      <c r="X44" s="0" t="n">
        <f aca="false">IF(2_Utilité!AO44&gt;0,2_Utilité!X44/2_Utilité!AO44,0)</f>
        <v>0</v>
      </c>
      <c r="Y44" s="0" t="n">
        <f aca="false">IF(2_Utilité!AO44&gt;0,2_Utilité!Y44/2_Utilité!AO44,0)</f>
        <v>0</v>
      </c>
      <c r="Z44" s="0" t="n">
        <f aca="false">IF(2_Utilité!AO44&gt;0,2_Utilité!Z44/2_Utilité!AO44,0)</f>
        <v>0</v>
      </c>
      <c r="AA44" s="0" t="n">
        <f aca="false">IF(2_Utilité!AO44&gt;0,2_Utilité!AA44/2_Utilité!AO44,0)</f>
        <v>0</v>
      </c>
      <c r="AB44" s="0" t="n">
        <f aca="false">IF(2_Utilité!AO44&gt;0,2_Utilité!AB44/2_Utilité!AO44,0)</f>
        <v>0</v>
      </c>
      <c r="AC44" s="0" t="n">
        <f aca="false">IF(2_Utilité!AO44&gt;0,2_Utilité!AC44/2_Utilité!AO44,0)</f>
        <v>0</v>
      </c>
      <c r="AD44" s="0" t="n">
        <f aca="false">IF(2_Utilité!AO44&gt;0,2_Utilité!AD44/2_Utilité!AO44,0)</f>
        <v>0</v>
      </c>
      <c r="AE44" s="0" t="n">
        <f aca="false">IF(2_Utilité!AO44&gt;0,2_Utilité!AE44/2_Utilité!AO44,0)</f>
        <v>0</v>
      </c>
      <c r="AF44" s="0" t="n">
        <f aca="false">IF(2_Utilité!AO44&gt;0,2_Utilité!AF44/2_Utilité!AO44,0)</f>
        <v>0</v>
      </c>
      <c r="AG44" s="0" t="n">
        <f aca="false">IF(2_Utilité!AO44&gt;0,2_Utilité!AG44/2_Utilité!AO44,0)</f>
        <v>0.0851644867517221</v>
      </c>
      <c r="AH44" s="0" t="n">
        <f aca="false">IF(2_Utilité!AO44&gt;0,2_Utilité!AH44/2_Utilité!AO44,0)</f>
        <v>0</v>
      </c>
      <c r="AI44" s="0" t="n">
        <f aca="false">IF(2_Utilité!AO44&gt;0,2_Utilité!AI44/2_Utilité!AO44,0)</f>
        <v>0</v>
      </c>
      <c r="AJ44" s="0" t="n">
        <f aca="false">IF(2_Utilité!AO44&gt;0,2_Utilité!AJ44/2_Utilité!AO44,0)</f>
        <v>0</v>
      </c>
      <c r="AK44" s="0" t="n">
        <f aca="false">IF(2_Utilité!AO44&gt;0,2_Utilité!AK44/2_Utilité!AO44,0)</f>
        <v>0</v>
      </c>
      <c r="AL44" s="0" t="n">
        <f aca="false">IF(2_Utilité!AO44&gt;0,2_Utilité!AL44/2_Utilité!AO44,0)</f>
        <v>0</v>
      </c>
      <c r="AM44" s="48" t="n">
        <f aca="false">IF(2_Utilité!AO44&gt;0,2_Utilité!AM44/2_Utilité!AO44,0)</f>
        <v>0</v>
      </c>
      <c r="AN44" s="43" t="n">
        <f aca="false">IF(2_Utilité!AO44&gt;0,2_Utilité!AN44/2_Utilité!AO44,0)</f>
        <v>0.914835513248278</v>
      </c>
      <c r="AO44" s="43" t="n">
        <f aca="false">SUM(C44:AN44)</f>
        <v>1</v>
      </c>
      <c r="AP44" s="43" t="n">
        <f aca="false">COUNTIF(Matrice_OD!$C44:$AN44,"&lt;="&amp;Param!$B$2)</f>
        <v>2</v>
      </c>
    </row>
    <row r="45" customFormat="false" ht="15" hidden="false" customHeight="true" outlineLevel="0" collapsed="false">
      <c r="A45" s="0" t="s">
        <v>188</v>
      </c>
      <c r="B45" s="0" t="s">
        <v>189</v>
      </c>
      <c r="C45" s="0" t="n">
        <f aca="false">IF(2_Utilité!AO45&gt;0,2_Utilité!C45/2_Utilité!AO45,0)</f>
        <v>0</v>
      </c>
      <c r="D45" s="0" t="n">
        <f aca="false">IF(2_Utilité!AO45&gt;0,2_Utilité!D45/2_Utilité!AO45,0)</f>
        <v>0</v>
      </c>
      <c r="E45" s="0" t="n">
        <f aca="false">IF(2_Utilité!AO45&gt;0,2_Utilité!E45/2_Utilité!AO45,0)</f>
        <v>0</v>
      </c>
      <c r="F45" s="0" t="n">
        <f aca="false">IF(2_Utilité!AO45&gt;0,2_Utilité!F45/2_Utilité!AO45,0)</f>
        <v>0</v>
      </c>
      <c r="G45" s="0" t="n">
        <f aca="false">IF(2_Utilité!AO45&gt;0,2_Utilité!G45/2_Utilité!AO45,0)</f>
        <v>0</v>
      </c>
      <c r="H45" s="0" t="n">
        <f aca="false">IF(2_Utilité!AO45&gt;0,2_Utilité!H45/2_Utilité!AO45,0)</f>
        <v>0</v>
      </c>
      <c r="I45" s="0" t="n">
        <f aca="false">IF(2_Utilité!AO45&gt;0,2_Utilité!I45/2_Utilité!AO45,0)</f>
        <v>0</v>
      </c>
      <c r="J45" s="0" t="n">
        <f aca="false">IF(2_Utilité!AO45&gt;0,2_Utilité!J45/2_Utilité!AO45,0)</f>
        <v>0</v>
      </c>
      <c r="K45" s="0" t="n">
        <f aca="false">IF(2_Utilité!AO45&gt;0,2_Utilité!K45/2_Utilité!AO45,0)</f>
        <v>0</v>
      </c>
      <c r="L45" s="0" t="n">
        <f aca="false">IF(2_Utilité!AO45&gt;0,2_Utilité!L45/2_Utilité!AO45,0)</f>
        <v>0</v>
      </c>
      <c r="M45" s="0" t="n">
        <f aca="false">IF(2_Utilité!AO45&gt;0,2_Utilité!M45/2_Utilité!AO45,0)</f>
        <v>0</v>
      </c>
      <c r="N45" s="0" t="n">
        <f aca="false">IF(2_Utilité!AO45&gt;0,2_Utilité!N45/2_Utilité!AO45,0)</f>
        <v>0</v>
      </c>
      <c r="O45" s="0" t="n">
        <f aca="false">IF(2_Utilité!AO45&gt;0,2_Utilité!O45/2_Utilité!AO45,0)</f>
        <v>0</v>
      </c>
      <c r="P45" s="0" t="n">
        <f aca="false">IF(2_Utilité!AO45&gt;0,2_Utilité!P45/2_Utilité!AO45,0)</f>
        <v>0</v>
      </c>
      <c r="Q45" s="0" t="n">
        <f aca="false">IF(2_Utilité!AO45&gt;0,2_Utilité!Q45/2_Utilité!AO45,0)</f>
        <v>0</v>
      </c>
      <c r="R45" s="0" t="n">
        <f aca="false">IF(2_Utilité!AO45&gt;0,2_Utilité!R45/2_Utilité!AO45,0)</f>
        <v>0</v>
      </c>
      <c r="S45" s="0" t="n">
        <f aca="false">IF(2_Utilité!AO45&gt;0,2_Utilité!S45/2_Utilité!AO45,0)</f>
        <v>0</v>
      </c>
      <c r="T45" s="0" t="n">
        <f aca="false">IF(2_Utilité!AO45&gt;0,2_Utilité!T45/2_Utilité!AO45,0)</f>
        <v>0</v>
      </c>
      <c r="U45" s="0" t="n">
        <f aca="false">IF(2_Utilité!AO45&gt;0,2_Utilité!U45/2_Utilité!AO45,0)</f>
        <v>0</v>
      </c>
      <c r="V45" s="0" t="n">
        <f aca="false">IF(2_Utilité!AO45&gt;0,2_Utilité!V45/2_Utilité!AO45,0)</f>
        <v>0</v>
      </c>
      <c r="W45" s="0" t="n">
        <f aca="false">IF(2_Utilité!AO45&gt;0,2_Utilité!W45/2_Utilité!AO45,0)</f>
        <v>0</v>
      </c>
      <c r="X45" s="0" t="n">
        <f aca="false">IF(2_Utilité!AO45&gt;0,2_Utilité!X45/2_Utilité!AO45,0)</f>
        <v>0</v>
      </c>
      <c r="Y45" s="0" t="n">
        <f aca="false">IF(2_Utilité!AO45&gt;0,2_Utilité!Y45/2_Utilité!AO45,0)</f>
        <v>0</v>
      </c>
      <c r="Z45" s="0" t="n">
        <f aca="false">IF(2_Utilité!AO45&gt;0,2_Utilité!Z45/2_Utilité!AO45,0)</f>
        <v>0</v>
      </c>
      <c r="AA45" s="0" t="n">
        <f aca="false">IF(2_Utilité!AO45&gt;0,2_Utilité!AA45/2_Utilité!AO45,0)</f>
        <v>0</v>
      </c>
      <c r="AB45" s="0" t="n">
        <f aca="false">IF(2_Utilité!AO45&gt;0,2_Utilité!AB45/2_Utilité!AO45,0)</f>
        <v>0</v>
      </c>
      <c r="AC45" s="0" t="n">
        <f aca="false">IF(2_Utilité!AO45&gt;0,2_Utilité!AC45/2_Utilité!AO45,0)</f>
        <v>0</v>
      </c>
      <c r="AD45" s="0" t="n">
        <f aca="false">IF(2_Utilité!AO45&gt;0,2_Utilité!AD45/2_Utilité!AO45,0)</f>
        <v>0</v>
      </c>
      <c r="AE45" s="0" t="n">
        <f aca="false">IF(2_Utilité!AO45&gt;0,2_Utilité!AE45/2_Utilité!AO45,0)</f>
        <v>0</v>
      </c>
      <c r="AF45" s="0" t="n">
        <f aca="false">IF(2_Utilité!AO45&gt;0,2_Utilité!AF45/2_Utilité!AO45,0)</f>
        <v>0</v>
      </c>
      <c r="AG45" s="0" t="n">
        <f aca="false">IF(2_Utilité!AO45&gt;0,2_Utilité!AG45/2_Utilité!AO45,0)</f>
        <v>0</v>
      </c>
      <c r="AH45" s="0" t="n">
        <f aca="false">IF(2_Utilité!AO45&gt;0,2_Utilité!AH45/2_Utilité!AO45,0)</f>
        <v>0</v>
      </c>
      <c r="AI45" s="0" t="n">
        <f aca="false">IF(2_Utilité!AO45&gt;0,2_Utilité!AI45/2_Utilité!AO45,0)</f>
        <v>0</v>
      </c>
      <c r="AJ45" s="0" t="n">
        <f aca="false">IF(2_Utilité!AO45&gt;0,2_Utilité!AJ45/2_Utilité!AO45,0)</f>
        <v>0</v>
      </c>
      <c r="AK45" s="0" t="n">
        <f aca="false">IF(2_Utilité!AO45&gt;0,2_Utilité!AK45/2_Utilité!AO45,0)</f>
        <v>0</v>
      </c>
      <c r="AL45" s="0" t="n">
        <f aca="false">IF(2_Utilité!AO45&gt;0,2_Utilité!AL45/2_Utilité!AO45,0)</f>
        <v>0</v>
      </c>
      <c r="AM45" s="49" t="n">
        <f aca="false">IF(2_Utilité!AO45&gt;0,2_Utilité!AM45/2_Utilité!AO45,0)</f>
        <v>0</v>
      </c>
      <c r="AN45" s="43" t="n">
        <f aca="false">IF(2_Utilité!AO45&gt;0,2_Utilité!AN45/2_Utilité!AO45,0)</f>
        <v>1</v>
      </c>
      <c r="AO45" s="43" t="n">
        <f aca="false">SUM(C45:AN45)</f>
        <v>1</v>
      </c>
      <c r="AP45" s="43" t="n">
        <f aca="false">COUNTIF(Matrice_OD!$C45:$AN45,"&lt;="&amp;Param!$B$2)</f>
        <v>1</v>
      </c>
    </row>
    <row r="46" customFormat="false" ht="15" hidden="false" customHeight="true" outlineLevel="0" collapsed="false">
      <c r="A46" s="0" t="s">
        <v>190</v>
      </c>
      <c r="B46" s="0" t="s">
        <v>191</v>
      </c>
      <c r="C46" s="0" t="n">
        <f aca="false">IF(2_Utilité!AO46&gt;0,2_Utilité!C46/2_Utilité!AO46,0)</f>
        <v>0</v>
      </c>
      <c r="D46" s="0" t="n">
        <f aca="false">IF(2_Utilité!AO46&gt;0,2_Utilité!D46/2_Utilité!AO46,0)</f>
        <v>0</v>
      </c>
      <c r="E46" s="0" t="n">
        <f aca="false">IF(2_Utilité!AO46&gt;0,2_Utilité!E46/2_Utilité!AO46,0)</f>
        <v>0</v>
      </c>
      <c r="F46" s="0" t="n">
        <f aca="false">IF(2_Utilité!AO46&gt;0,2_Utilité!F46/2_Utilité!AO46,0)</f>
        <v>0</v>
      </c>
      <c r="G46" s="0" t="n">
        <f aca="false">IF(2_Utilité!AO46&gt;0,2_Utilité!G46/2_Utilité!AO46,0)</f>
        <v>0</v>
      </c>
      <c r="H46" s="0" t="n">
        <f aca="false">IF(2_Utilité!AO46&gt;0,2_Utilité!H46/2_Utilité!AO46,0)</f>
        <v>0</v>
      </c>
      <c r="I46" s="0" t="n">
        <f aca="false">IF(2_Utilité!AO46&gt;0,2_Utilité!I46/2_Utilité!AO46,0)</f>
        <v>0</v>
      </c>
      <c r="J46" s="0" t="n">
        <f aca="false">IF(2_Utilité!AO46&gt;0,2_Utilité!J46/2_Utilité!AO46,0)</f>
        <v>0</v>
      </c>
      <c r="K46" s="0" t="n">
        <f aca="false">IF(2_Utilité!AO46&gt;0,2_Utilité!K46/2_Utilité!AO46,0)</f>
        <v>0</v>
      </c>
      <c r="L46" s="0" t="n">
        <f aca="false">IF(2_Utilité!AO46&gt;0,2_Utilité!L46/2_Utilité!AO46,0)</f>
        <v>0</v>
      </c>
      <c r="M46" s="0" t="n">
        <f aca="false">IF(2_Utilité!AO46&gt;0,2_Utilité!M46/2_Utilité!AO46,0)</f>
        <v>0</v>
      </c>
      <c r="N46" s="0" t="n">
        <f aca="false">IF(2_Utilité!AO46&gt;0,2_Utilité!N46/2_Utilité!AO46,0)</f>
        <v>0</v>
      </c>
      <c r="O46" s="0" t="n">
        <f aca="false">IF(2_Utilité!AO46&gt;0,2_Utilité!O46/2_Utilité!AO46,0)</f>
        <v>0</v>
      </c>
      <c r="P46" s="0" t="n">
        <f aca="false">IF(2_Utilité!AO46&gt;0,2_Utilité!P46/2_Utilité!AO46,0)</f>
        <v>0</v>
      </c>
      <c r="Q46" s="0" t="n">
        <f aca="false">IF(2_Utilité!AO46&gt;0,2_Utilité!Q46/2_Utilité!AO46,0)</f>
        <v>0</v>
      </c>
      <c r="R46" s="0" t="n">
        <f aca="false">IF(2_Utilité!AO46&gt;0,2_Utilité!R46/2_Utilité!AO46,0)</f>
        <v>0</v>
      </c>
      <c r="S46" s="0" t="n">
        <f aca="false">IF(2_Utilité!AO46&gt;0,2_Utilité!S46/2_Utilité!AO46,0)</f>
        <v>0</v>
      </c>
      <c r="T46" s="0" t="n">
        <f aca="false">IF(2_Utilité!AO46&gt;0,2_Utilité!T46/2_Utilité!AO46,0)</f>
        <v>0</v>
      </c>
      <c r="U46" s="0" t="n">
        <f aca="false">IF(2_Utilité!AO46&gt;0,2_Utilité!U46/2_Utilité!AO46,0)</f>
        <v>0</v>
      </c>
      <c r="V46" s="0" t="n">
        <f aca="false">IF(2_Utilité!AO46&gt;0,2_Utilité!V46/2_Utilité!AO46,0)</f>
        <v>0</v>
      </c>
      <c r="W46" s="0" t="n">
        <f aca="false">IF(2_Utilité!AO46&gt;0,2_Utilité!W46/2_Utilité!AO46,0)</f>
        <v>0</v>
      </c>
      <c r="X46" s="0" t="n">
        <f aca="false">IF(2_Utilité!AO46&gt;0,2_Utilité!X46/2_Utilité!AO46,0)</f>
        <v>0</v>
      </c>
      <c r="Y46" s="0" t="n">
        <f aca="false">IF(2_Utilité!AO46&gt;0,2_Utilité!Y46/2_Utilité!AO46,0)</f>
        <v>0</v>
      </c>
      <c r="Z46" s="0" t="n">
        <f aca="false">IF(2_Utilité!AO46&gt;0,2_Utilité!Z46/2_Utilité!AO46,0)</f>
        <v>0</v>
      </c>
      <c r="AA46" s="0" t="n">
        <f aca="false">IF(2_Utilité!AO46&gt;0,2_Utilité!AA46/2_Utilité!AO46,0)</f>
        <v>0</v>
      </c>
      <c r="AB46" s="0" t="n">
        <f aca="false">IF(2_Utilité!AO46&gt;0,2_Utilité!AB46/2_Utilité!AO46,0)</f>
        <v>0</v>
      </c>
      <c r="AC46" s="0" t="n">
        <f aca="false">IF(2_Utilité!AO46&gt;0,2_Utilité!AC46/2_Utilité!AO46,0)</f>
        <v>0</v>
      </c>
      <c r="AD46" s="0" t="n">
        <f aca="false">IF(2_Utilité!AO46&gt;0,2_Utilité!AD46/2_Utilité!AO46,0)</f>
        <v>0</v>
      </c>
      <c r="AE46" s="0" t="n">
        <f aca="false">IF(2_Utilité!AO46&gt;0,2_Utilité!AE46/2_Utilité!AO46,0)</f>
        <v>0</v>
      </c>
      <c r="AF46" s="0" t="n">
        <f aca="false">IF(2_Utilité!AO46&gt;0,2_Utilité!AF46/2_Utilité!AO46,0)</f>
        <v>0</v>
      </c>
      <c r="AG46" s="0" t="n">
        <f aca="false">IF(2_Utilité!AO46&gt;0,2_Utilité!AG46/2_Utilité!AO46,0)</f>
        <v>0.0210576695156417</v>
      </c>
      <c r="AH46" s="0" t="n">
        <f aca="false">IF(2_Utilité!AO46&gt;0,2_Utilité!AH46/2_Utilité!AO46,0)</f>
        <v>0</v>
      </c>
      <c r="AI46" s="0" t="n">
        <f aca="false">IF(2_Utilité!AO46&gt;0,2_Utilité!AI46/2_Utilité!AO46,0)</f>
        <v>0</v>
      </c>
      <c r="AJ46" s="0" t="n">
        <f aca="false">IF(2_Utilité!AO46&gt;0,2_Utilité!AJ46/2_Utilité!AO46,0)</f>
        <v>0</v>
      </c>
      <c r="AK46" s="0" t="n">
        <f aca="false">IF(2_Utilité!AO46&gt;0,2_Utilité!AK46/2_Utilité!AO46,0)</f>
        <v>0</v>
      </c>
      <c r="AL46" s="0" t="n">
        <f aca="false">IF(2_Utilité!AO46&gt;0,2_Utilité!AL46/2_Utilité!AO46,0)</f>
        <v>0</v>
      </c>
      <c r="AM46" s="48" t="n">
        <f aca="false">IF(2_Utilité!AO46&gt;0,2_Utilité!AM46/2_Utilité!AO46,0)</f>
        <v>0</v>
      </c>
      <c r="AN46" s="43" t="n">
        <f aca="false">IF(2_Utilité!AO46&gt;0,2_Utilité!AN46/2_Utilité!AO46,0)</f>
        <v>0.978942330484358</v>
      </c>
      <c r="AO46" s="43" t="n">
        <f aca="false">SUM(C46:AN46)</f>
        <v>1</v>
      </c>
      <c r="AP46" s="43" t="n">
        <f aca="false">COUNTIF(Matrice_OD!$C46:$AN46,"&lt;="&amp;Param!$B$2)</f>
        <v>2</v>
      </c>
    </row>
    <row r="47" customFormat="false" ht="15" hidden="false" customHeight="true" outlineLevel="0" collapsed="false">
      <c r="A47" s="0" t="s">
        <v>192</v>
      </c>
      <c r="B47" s="0" t="s">
        <v>193</v>
      </c>
      <c r="C47" s="0" t="n">
        <f aca="false">IF(2_Utilité!AO47&gt;0,2_Utilité!C47/2_Utilité!AO47,0)</f>
        <v>0</v>
      </c>
      <c r="D47" s="0" t="n">
        <f aca="false">IF(2_Utilité!AO47&gt;0,2_Utilité!D47/2_Utilité!AO47,0)</f>
        <v>0</v>
      </c>
      <c r="E47" s="0" t="n">
        <f aca="false">IF(2_Utilité!AO47&gt;0,2_Utilité!E47/2_Utilité!AO47,0)</f>
        <v>0</v>
      </c>
      <c r="F47" s="0" t="n">
        <f aca="false">IF(2_Utilité!AO47&gt;0,2_Utilité!F47/2_Utilité!AO47,0)</f>
        <v>0</v>
      </c>
      <c r="G47" s="0" t="n">
        <f aca="false">IF(2_Utilité!AO47&gt;0,2_Utilité!G47/2_Utilité!AO47,0)</f>
        <v>0</v>
      </c>
      <c r="H47" s="0" t="n">
        <f aca="false">IF(2_Utilité!AO47&gt;0,2_Utilité!H47/2_Utilité!AO47,0)</f>
        <v>0</v>
      </c>
      <c r="I47" s="0" t="n">
        <f aca="false">IF(2_Utilité!AO47&gt;0,2_Utilité!I47/2_Utilité!AO47,0)</f>
        <v>0</v>
      </c>
      <c r="J47" s="0" t="n">
        <f aca="false">IF(2_Utilité!AO47&gt;0,2_Utilité!J47/2_Utilité!AO47,0)</f>
        <v>0</v>
      </c>
      <c r="K47" s="0" t="n">
        <f aca="false">IF(2_Utilité!AO47&gt;0,2_Utilité!K47/2_Utilité!AO47,0)</f>
        <v>0</v>
      </c>
      <c r="L47" s="0" t="n">
        <f aca="false">IF(2_Utilité!AO47&gt;0,2_Utilité!L47/2_Utilité!AO47,0)</f>
        <v>0</v>
      </c>
      <c r="M47" s="0" t="n">
        <f aca="false">IF(2_Utilité!AO47&gt;0,2_Utilité!M47/2_Utilité!AO47,0)</f>
        <v>0</v>
      </c>
      <c r="N47" s="0" t="n">
        <f aca="false">IF(2_Utilité!AO47&gt;0,2_Utilité!N47/2_Utilité!AO47,0)</f>
        <v>0</v>
      </c>
      <c r="O47" s="0" t="n">
        <f aca="false">IF(2_Utilité!AO47&gt;0,2_Utilité!O47/2_Utilité!AO47,0)</f>
        <v>0</v>
      </c>
      <c r="P47" s="0" t="n">
        <f aca="false">IF(2_Utilité!AO47&gt;0,2_Utilité!P47/2_Utilité!AO47,0)</f>
        <v>0</v>
      </c>
      <c r="Q47" s="0" t="n">
        <f aca="false">IF(2_Utilité!AO47&gt;0,2_Utilité!Q47/2_Utilité!AO47,0)</f>
        <v>0</v>
      </c>
      <c r="R47" s="0" t="n">
        <f aca="false">IF(2_Utilité!AO47&gt;0,2_Utilité!R47/2_Utilité!AO47,0)</f>
        <v>0</v>
      </c>
      <c r="S47" s="0" t="n">
        <f aca="false">IF(2_Utilité!AO47&gt;0,2_Utilité!S47/2_Utilité!AO47,0)</f>
        <v>0</v>
      </c>
      <c r="T47" s="0" t="n">
        <f aca="false">IF(2_Utilité!AO47&gt;0,2_Utilité!T47/2_Utilité!AO47,0)</f>
        <v>0</v>
      </c>
      <c r="U47" s="0" t="n">
        <f aca="false">IF(2_Utilité!AO47&gt;0,2_Utilité!U47/2_Utilité!AO47,0)</f>
        <v>0</v>
      </c>
      <c r="V47" s="0" t="n">
        <f aca="false">IF(2_Utilité!AO47&gt;0,2_Utilité!V47/2_Utilité!AO47,0)</f>
        <v>0</v>
      </c>
      <c r="W47" s="0" t="n">
        <f aca="false">IF(2_Utilité!AO47&gt;0,2_Utilité!W47/2_Utilité!AO47,0)</f>
        <v>0</v>
      </c>
      <c r="X47" s="0" t="n">
        <f aca="false">IF(2_Utilité!AO47&gt;0,2_Utilité!X47/2_Utilité!AO47,0)</f>
        <v>0</v>
      </c>
      <c r="Y47" s="0" t="n">
        <f aca="false">IF(2_Utilité!AO47&gt;0,2_Utilité!Y47/2_Utilité!AO47,0)</f>
        <v>0</v>
      </c>
      <c r="Z47" s="0" t="n">
        <f aca="false">IF(2_Utilité!AO47&gt;0,2_Utilité!Z47/2_Utilité!AO47,0)</f>
        <v>0</v>
      </c>
      <c r="AA47" s="0" t="n">
        <f aca="false">IF(2_Utilité!AO47&gt;0,2_Utilité!AA47/2_Utilité!AO47,0)</f>
        <v>0</v>
      </c>
      <c r="AB47" s="0" t="n">
        <f aca="false">IF(2_Utilité!AO47&gt;0,2_Utilité!AB47/2_Utilité!AO47,0)</f>
        <v>0</v>
      </c>
      <c r="AC47" s="0" t="n">
        <f aca="false">IF(2_Utilité!AO47&gt;0,2_Utilité!AC47/2_Utilité!AO47,0)</f>
        <v>0</v>
      </c>
      <c r="AD47" s="0" t="n">
        <f aca="false">IF(2_Utilité!AO47&gt;0,2_Utilité!AD47/2_Utilité!AO47,0)</f>
        <v>0</v>
      </c>
      <c r="AE47" s="0" t="n">
        <f aca="false">IF(2_Utilité!AO47&gt;0,2_Utilité!AE47/2_Utilité!AO47,0)</f>
        <v>0</v>
      </c>
      <c r="AF47" s="0" t="n">
        <f aca="false">IF(2_Utilité!AO47&gt;0,2_Utilité!AF47/2_Utilité!AO47,0)</f>
        <v>0</v>
      </c>
      <c r="AG47" s="0" t="n">
        <f aca="false">IF(2_Utilité!AO47&gt;0,2_Utilité!AG47/2_Utilité!AO47,0)</f>
        <v>0</v>
      </c>
      <c r="AH47" s="0" t="n">
        <f aca="false">IF(2_Utilité!AO47&gt;0,2_Utilité!AH47/2_Utilité!AO47,0)</f>
        <v>0</v>
      </c>
      <c r="AI47" s="0" t="n">
        <f aca="false">IF(2_Utilité!AO47&gt;0,2_Utilité!AI47/2_Utilité!AO47,0)</f>
        <v>0</v>
      </c>
      <c r="AJ47" s="0" t="n">
        <f aca="false">IF(2_Utilité!AO47&gt;0,2_Utilité!AJ47/2_Utilité!AO47,0)</f>
        <v>0</v>
      </c>
      <c r="AK47" s="0" t="n">
        <f aca="false">IF(2_Utilité!AO47&gt;0,2_Utilité!AK47/2_Utilité!AO47,0)</f>
        <v>0</v>
      </c>
      <c r="AL47" s="0" t="n">
        <f aca="false">IF(2_Utilité!AO47&gt;0,2_Utilité!AL47/2_Utilité!AO47,0)</f>
        <v>0</v>
      </c>
      <c r="AM47" s="49" t="n">
        <f aca="false">IF(2_Utilité!AO47&gt;0,2_Utilité!AM47/2_Utilité!AO47,0)</f>
        <v>0</v>
      </c>
      <c r="AN47" s="43" t="n">
        <f aca="false">IF(2_Utilité!AO47&gt;0,2_Utilité!AN47/2_Utilité!AO47,0)</f>
        <v>1</v>
      </c>
      <c r="AO47" s="43" t="n">
        <f aca="false">SUM(C47:AN47)</f>
        <v>1</v>
      </c>
      <c r="AP47" s="43" t="n">
        <f aca="false">COUNTIF(Matrice_OD!$C47:$AN47,"&lt;="&amp;Param!$B$2)</f>
        <v>1</v>
      </c>
    </row>
    <row r="48" customFormat="false" ht="15" hidden="false" customHeight="true" outlineLevel="0" collapsed="false">
      <c r="A48" s="0" t="s">
        <v>194</v>
      </c>
      <c r="B48" s="0" t="s">
        <v>195</v>
      </c>
      <c r="C48" s="0" t="n">
        <f aca="false">IF(2_Utilité!AO48&gt;0,2_Utilité!C48/2_Utilité!AO48,0)</f>
        <v>0</v>
      </c>
      <c r="D48" s="0" t="n">
        <f aca="false">IF(2_Utilité!AO48&gt;0,2_Utilité!D48/2_Utilité!AO48,0)</f>
        <v>0</v>
      </c>
      <c r="E48" s="0" t="n">
        <f aca="false">IF(2_Utilité!AO48&gt;0,2_Utilité!E48/2_Utilité!AO48,0)</f>
        <v>0</v>
      </c>
      <c r="F48" s="0" t="n">
        <f aca="false">IF(2_Utilité!AO48&gt;0,2_Utilité!F48/2_Utilité!AO48,0)</f>
        <v>0</v>
      </c>
      <c r="G48" s="0" t="n">
        <f aca="false">IF(2_Utilité!AO48&gt;0,2_Utilité!G48/2_Utilité!AO48,0)</f>
        <v>0</v>
      </c>
      <c r="H48" s="0" t="n">
        <f aca="false">IF(2_Utilité!AO48&gt;0,2_Utilité!H48/2_Utilité!AO48,0)</f>
        <v>0</v>
      </c>
      <c r="I48" s="0" t="n">
        <f aca="false">IF(2_Utilité!AO48&gt;0,2_Utilité!I48/2_Utilité!AO48,0)</f>
        <v>0</v>
      </c>
      <c r="J48" s="0" t="n">
        <f aca="false">IF(2_Utilité!AO48&gt;0,2_Utilité!J48/2_Utilité!AO48,0)</f>
        <v>0</v>
      </c>
      <c r="K48" s="0" t="n">
        <f aca="false">IF(2_Utilité!AO48&gt;0,2_Utilité!K48/2_Utilité!AO48,0)</f>
        <v>0</v>
      </c>
      <c r="L48" s="0" t="n">
        <f aca="false">IF(2_Utilité!AO48&gt;0,2_Utilité!L48/2_Utilité!AO48,0)</f>
        <v>0</v>
      </c>
      <c r="M48" s="0" t="n">
        <f aca="false">IF(2_Utilité!AO48&gt;0,2_Utilité!M48/2_Utilité!AO48,0)</f>
        <v>0</v>
      </c>
      <c r="N48" s="0" t="n">
        <f aca="false">IF(2_Utilité!AO48&gt;0,2_Utilité!N48/2_Utilité!AO48,0)</f>
        <v>0</v>
      </c>
      <c r="O48" s="0" t="n">
        <f aca="false">IF(2_Utilité!AO48&gt;0,2_Utilité!O48/2_Utilité!AO48,0)</f>
        <v>0</v>
      </c>
      <c r="P48" s="0" t="n">
        <f aca="false">IF(2_Utilité!AO48&gt;0,2_Utilité!P48/2_Utilité!AO48,0)</f>
        <v>0</v>
      </c>
      <c r="Q48" s="0" t="n">
        <f aca="false">IF(2_Utilité!AO48&gt;0,2_Utilité!Q48/2_Utilité!AO48,0)</f>
        <v>0</v>
      </c>
      <c r="R48" s="0" t="n">
        <f aca="false">IF(2_Utilité!AO48&gt;0,2_Utilité!R48/2_Utilité!AO48,0)</f>
        <v>0</v>
      </c>
      <c r="S48" s="0" t="n">
        <f aca="false">IF(2_Utilité!AO48&gt;0,2_Utilité!S48/2_Utilité!AO48,0)</f>
        <v>0</v>
      </c>
      <c r="T48" s="0" t="n">
        <f aca="false">IF(2_Utilité!AO48&gt;0,2_Utilité!T48/2_Utilité!AO48,0)</f>
        <v>0</v>
      </c>
      <c r="U48" s="0" t="n">
        <f aca="false">IF(2_Utilité!AO48&gt;0,2_Utilité!U48/2_Utilité!AO48,0)</f>
        <v>0</v>
      </c>
      <c r="V48" s="0" t="n">
        <f aca="false">IF(2_Utilité!AO48&gt;0,2_Utilité!V48/2_Utilité!AO48,0)</f>
        <v>0</v>
      </c>
      <c r="W48" s="0" t="n">
        <f aca="false">IF(2_Utilité!AO48&gt;0,2_Utilité!W48/2_Utilité!AO48,0)</f>
        <v>0</v>
      </c>
      <c r="X48" s="0" t="n">
        <f aca="false">IF(2_Utilité!AO48&gt;0,2_Utilité!X48/2_Utilité!AO48,0)</f>
        <v>0</v>
      </c>
      <c r="Y48" s="0" t="n">
        <f aca="false">IF(2_Utilité!AO48&gt;0,2_Utilité!Y48/2_Utilité!AO48,0)</f>
        <v>0</v>
      </c>
      <c r="Z48" s="0" t="n">
        <f aca="false">IF(2_Utilité!AO48&gt;0,2_Utilité!Z48/2_Utilité!AO48,0)</f>
        <v>0</v>
      </c>
      <c r="AA48" s="0" t="n">
        <f aca="false">IF(2_Utilité!AO48&gt;0,2_Utilité!AA48/2_Utilité!AO48,0)</f>
        <v>0</v>
      </c>
      <c r="AB48" s="0" t="n">
        <f aca="false">IF(2_Utilité!AO48&gt;0,2_Utilité!AB48/2_Utilité!AO48,0)</f>
        <v>0</v>
      </c>
      <c r="AC48" s="0" t="n">
        <f aca="false">IF(2_Utilité!AO48&gt;0,2_Utilité!AC48/2_Utilité!AO48,0)</f>
        <v>0</v>
      </c>
      <c r="AD48" s="0" t="n">
        <f aca="false">IF(2_Utilité!AO48&gt;0,2_Utilité!AD48/2_Utilité!AO48,0)</f>
        <v>0</v>
      </c>
      <c r="AE48" s="0" t="n">
        <f aca="false">IF(2_Utilité!AO48&gt;0,2_Utilité!AE48/2_Utilité!AO48,0)</f>
        <v>0</v>
      </c>
      <c r="AF48" s="0" t="n">
        <f aca="false">IF(2_Utilité!AO48&gt;0,2_Utilité!AF48/2_Utilité!AO48,0)</f>
        <v>0</v>
      </c>
      <c r="AG48" s="0" t="n">
        <f aca="false">IF(2_Utilité!AO48&gt;0,2_Utilité!AG48/2_Utilité!AO48,0)</f>
        <v>0</v>
      </c>
      <c r="AH48" s="0" t="n">
        <f aca="false">IF(2_Utilité!AO48&gt;0,2_Utilité!AH48/2_Utilité!AO48,0)</f>
        <v>0</v>
      </c>
      <c r="AI48" s="0" t="n">
        <f aca="false">IF(2_Utilité!AO48&gt;0,2_Utilité!AI48/2_Utilité!AO48,0)</f>
        <v>0</v>
      </c>
      <c r="AJ48" s="0" t="n">
        <f aca="false">IF(2_Utilité!AO48&gt;0,2_Utilité!AJ48/2_Utilité!AO48,0)</f>
        <v>0</v>
      </c>
      <c r="AK48" s="0" t="n">
        <f aca="false">IF(2_Utilité!AO48&gt;0,2_Utilité!AK48/2_Utilité!AO48,0)</f>
        <v>0</v>
      </c>
      <c r="AL48" s="0" t="n">
        <f aca="false">IF(2_Utilité!AO48&gt;0,2_Utilité!AL48/2_Utilité!AO48,0)</f>
        <v>0</v>
      </c>
      <c r="AM48" s="48" t="n">
        <f aca="false">IF(2_Utilité!AO48&gt;0,2_Utilité!AM48/2_Utilité!AO48,0)</f>
        <v>0</v>
      </c>
      <c r="AN48" s="43" t="n">
        <f aca="false">IF(2_Utilité!AO48&gt;0,2_Utilité!AN48/2_Utilité!AO48,0)</f>
        <v>1</v>
      </c>
      <c r="AO48" s="43" t="n">
        <f aca="false">SUM(C48:AN48)</f>
        <v>1</v>
      </c>
      <c r="AP48" s="43" t="n">
        <f aca="false">COUNTIF(Matrice_OD!$C48:$AN48,"&lt;="&amp;Param!$B$2)</f>
        <v>1</v>
      </c>
    </row>
    <row r="49" customFormat="false" ht="15" hidden="false" customHeight="true" outlineLevel="0" collapsed="false">
      <c r="A49" s="0" t="s">
        <v>196</v>
      </c>
      <c r="B49" s="0" t="s">
        <v>197</v>
      </c>
      <c r="C49" s="0" t="n">
        <f aca="false">IF(2_Utilité!AO49&gt;0,2_Utilité!C49/2_Utilité!AO49,0)</f>
        <v>0</v>
      </c>
      <c r="D49" s="0" t="n">
        <f aca="false">IF(2_Utilité!AO49&gt;0,2_Utilité!D49/2_Utilité!AO49,0)</f>
        <v>0</v>
      </c>
      <c r="E49" s="0" t="n">
        <f aca="false">IF(2_Utilité!AO49&gt;0,2_Utilité!E49/2_Utilité!AO49,0)</f>
        <v>0</v>
      </c>
      <c r="F49" s="0" t="n">
        <f aca="false">IF(2_Utilité!AO49&gt;0,2_Utilité!F49/2_Utilité!AO49,0)</f>
        <v>0</v>
      </c>
      <c r="G49" s="0" t="n">
        <f aca="false">IF(2_Utilité!AO49&gt;0,2_Utilité!G49/2_Utilité!AO49,0)</f>
        <v>0</v>
      </c>
      <c r="H49" s="0" t="n">
        <f aca="false">IF(2_Utilité!AO49&gt;0,2_Utilité!H49/2_Utilité!AO49,0)</f>
        <v>0</v>
      </c>
      <c r="I49" s="0" t="n">
        <f aca="false">IF(2_Utilité!AO49&gt;0,2_Utilité!I49/2_Utilité!AO49,0)</f>
        <v>0</v>
      </c>
      <c r="J49" s="0" t="n">
        <f aca="false">IF(2_Utilité!AO49&gt;0,2_Utilité!J49/2_Utilité!AO49,0)</f>
        <v>0</v>
      </c>
      <c r="K49" s="0" t="n">
        <f aca="false">IF(2_Utilité!AO49&gt;0,2_Utilité!K49/2_Utilité!AO49,0)</f>
        <v>0</v>
      </c>
      <c r="L49" s="0" t="n">
        <f aca="false">IF(2_Utilité!AO49&gt;0,2_Utilité!L49/2_Utilité!AO49,0)</f>
        <v>0</v>
      </c>
      <c r="M49" s="0" t="n">
        <f aca="false">IF(2_Utilité!AO49&gt;0,2_Utilité!M49/2_Utilité!AO49,0)</f>
        <v>0</v>
      </c>
      <c r="N49" s="0" t="n">
        <f aca="false">IF(2_Utilité!AO49&gt;0,2_Utilité!N49/2_Utilité!AO49,0)</f>
        <v>0</v>
      </c>
      <c r="O49" s="0" t="n">
        <f aca="false">IF(2_Utilité!AO49&gt;0,2_Utilité!O49/2_Utilité!AO49,0)</f>
        <v>0</v>
      </c>
      <c r="P49" s="0" t="n">
        <f aca="false">IF(2_Utilité!AO49&gt;0,2_Utilité!P49/2_Utilité!AO49,0)</f>
        <v>0</v>
      </c>
      <c r="Q49" s="0" t="n">
        <f aca="false">IF(2_Utilité!AO49&gt;0,2_Utilité!Q49/2_Utilité!AO49,0)</f>
        <v>0</v>
      </c>
      <c r="R49" s="0" t="n">
        <f aca="false">IF(2_Utilité!AO49&gt;0,2_Utilité!R49/2_Utilité!AO49,0)</f>
        <v>0</v>
      </c>
      <c r="S49" s="0" t="n">
        <f aca="false">IF(2_Utilité!AO49&gt;0,2_Utilité!S49/2_Utilité!AO49,0)</f>
        <v>0</v>
      </c>
      <c r="T49" s="0" t="n">
        <f aca="false">IF(2_Utilité!AO49&gt;0,2_Utilité!T49/2_Utilité!AO49,0)</f>
        <v>0</v>
      </c>
      <c r="U49" s="0" t="n">
        <f aca="false">IF(2_Utilité!AO49&gt;0,2_Utilité!U49/2_Utilité!AO49,0)</f>
        <v>0</v>
      </c>
      <c r="V49" s="0" t="n">
        <f aca="false">IF(2_Utilité!AO49&gt;0,2_Utilité!V49/2_Utilité!AO49,0)</f>
        <v>0</v>
      </c>
      <c r="W49" s="0" t="n">
        <f aca="false">IF(2_Utilité!AO49&gt;0,2_Utilité!W49/2_Utilité!AO49,0)</f>
        <v>0</v>
      </c>
      <c r="X49" s="0" t="n">
        <f aca="false">IF(2_Utilité!AO49&gt;0,2_Utilité!X49/2_Utilité!AO49,0)</f>
        <v>0</v>
      </c>
      <c r="Y49" s="0" t="n">
        <f aca="false">IF(2_Utilité!AO49&gt;0,2_Utilité!Y49/2_Utilité!AO49,0)</f>
        <v>0</v>
      </c>
      <c r="Z49" s="0" t="n">
        <f aca="false">IF(2_Utilité!AO49&gt;0,2_Utilité!Z49/2_Utilité!AO49,0)</f>
        <v>0</v>
      </c>
      <c r="AA49" s="0" t="n">
        <f aca="false">IF(2_Utilité!AO49&gt;0,2_Utilité!AA49/2_Utilité!AO49,0)</f>
        <v>0</v>
      </c>
      <c r="AB49" s="0" t="n">
        <f aca="false">IF(2_Utilité!AO49&gt;0,2_Utilité!AB49/2_Utilité!AO49,0)</f>
        <v>0</v>
      </c>
      <c r="AC49" s="0" t="n">
        <f aca="false">IF(2_Utilité!AO49&gt;0,2_Utilité!AC49/2_Utilité!AO49,0)</f>
        <v>0</v>
      </c>
      <c r="AD49" s="0" t="n">
        <f aca="false">IF(2_Utilité!AO49&gt;0,2_Utilité!AD49/2_Utilité!AO49,0)</f>
        <v>0</v>
      </c>
      <c r="AE49" s="0" t="n">
        <f aca="false">IF(2_Utilité!AO49&gt;0,2_Utilité!AE49/2_Utilité!AO49,0)</f>
        <v>0</v>
      </c>
      <c r="AF49" s="0" t="n">
        <f aca="false">IF(2_Utilité!AO49&gt;0,2_Utilité!AF49/2_Utilité!AO49,0)</f>
        <v>0</v>
      </c>
      <c r="AG49" s="0" t="n">
        <f aca="false">IF(2_Utilité!AO49&gt;0,2_Utilité!AG49/2_Utilité!AO49,0)</f>
        <v>0</v>
      </c>
      <c r="AH49" s="0" t="n">
        <f aca="false">IF(2_Utilité!AO49&gt;0,2_Utilité!AH49/2_Utilité!AO49,0)</f>
        <v>0</v>
      </c>
      <c r="AI49" s="0" t="n">
        <f aca="false">IF(2_Utilité!AO49&gt;0,2_Utilité!AI49/2_Utilité!AO49,0)</f>
        <v>0</v>
      </c>
      <c r="AJ49" s="0" t="n">
        <f aca="false">IF(2_Utilité!AO49&gt;0,2_Utilité!AJ49/2_Utilité!AO49,0)</f>
        <v>0</v>
      </c>
      <c r="AK49" s="0" t="n">
        <f aca="false">IF(2_Utilité!AO49&gt;0,2_Utilité!AK49/2_Utilité!AO49,0)</f>
        <v>0</v>
      </c>
      <c r="AL49" s="0" t="n">
        <f aca="false">IF(2_Utilité!AO49&gt;0,2_Utilité!AL49/2_Utilité!AO49,0)</f>
        <v>0</v>
      </c>
      <c r="AM49" s="49" t="n">
        <f aca="false">IF(2_Utilité!AO49&gt;0,2_Utilité!AM49/2_Utilité!AO49,0)</f>
        <v>0</v>
      </c>
      <c r="AN49" s="43" t="n">
        <f aca="false">IF(2_Utilité!AO49&gt;0,2_Utilité!AN49/2_Utilité!AO49,0)</f>
        <v>1</v>
      </c>
      <c r="AO49" s="43" t="n">
        <f aca="false">SUM(C49:AN49)</f>
        <v>1</v>
      </c>
      <c r="AP49" s="43" t="n">
        <f aca="false">COUNTIF(Matrice_OD!$C49:$AN49,"&lt;="&amp;Param!$B$2)</f>
        <v>1</v>
      </c>
    </row>
    <row r="50" customFormat="false" ht="15" hidden="false" customHeight="true" outlineLevel="0" collapsed="false">
      <c r="A50" s="0" t="s">
        <v>198</v>
      </c>
      <c r="B50" s="0" t="s">
        <v>199</v>
      </c>
      <c r="C50" s="0" t="n">
        <f aca="false">IF(2_Utilité!AO50&gt;0,2_Utilité!C50/2_Utilité!AO50,0)</f>
        <v>0</v>
      </c>
      <c r="D50" s="0" t="n">
        <f aca="false">IF(2_Utilité!AO50&gt;0,2_Utilité!D50/2_Utilité!AO50,0)</f>
        <v>0</v>
      </c>
      <c r="E50" s="0" t="n">
        <f aca="false">IF(2_Utilité!AO50&gt;0,2_Utilité!E50/2_Utilité!AO50,0)</f>
        <v>0</v>
      </c>
      <c r="F50" s="0" t="n">
        <f aca="false">IF(2_Utilité!AO50&gt;0,2_Utilité!F50/2_Utilité!AO50,0)</f>
        <v>0</v>
      </c>
      <c r="G50" s="0" t="n">
        <f aca="false">IF(2_Utilité!AO50&gt;0,2_Utilité!G50/2_Utilité!AO50,0)</f>
        <v>0</v>
      </c>
      <c r="H50" s="0" t="n">
        <f aca="false">IF(2_Utilité!AO50&gt;0,2_Utilité!H50/2_Utilité!AO50,0)</f>
        <v>0</v>
      </c>
      <c r="I50" s="0" t="n">
        <f aca="false">IF(2_Utilité!AO50&gt;0,2_Utilité!I50/2_Utilité!AO50,0)</f>
        <v>0</v>
      </c>
      <c r="J50" s="0" t="n">
        <f aca="false">IF(2_Utilité!AO50&gt;0,2_Utilité!J50/2_Utilité!AO50,0)</f>
        <v>0</v>
      </c>
      <c r="K50" s="0" t="n">
        <f aca="false">IF(2_Utilité!AO50&gt;0,2_Utilité!K50/2_Utilité!AO50,0)</f>
        <v>0</v>
      </c>
      <c r="L50" s="0" t="n">
        <f aca="false">IF(2_Utilité!AO50&gt;0,2_Utilité!L50/2_Utilité!AO50,0)</f>
        <v>0</v>
      </c>
      <c r="M50" s="0" t="n">
        <f aca="false">IF(2_Utilité!AO50&gt;0,2_Utilité!M50/2_Utilité!AO50,0)</f>
        <v>0</v>
      </c>
      <c r="N50" s="0" t="n">
        <f aca="false">IF(2_Utilité!AO50&gt;0,2_Utilité!N50/2_Utilité!AO50,0)</f>
        <v>0</v>
      </c>
      <c r="O50" s="0" t="n">
        <f aca="false">IF(2_Utilité!AO50&gt;0,2_Utilité!O50/2_Utilité!AO50,0)</f>
        <v>0</v>
      </c>
      <c r="P50" s="0" t="n">
        <f aca="false">IF(2_Utilité!AO50&gt;0,2_Utilité!P50/2_Utilité!AO50,0)</f>
        <v>0</v>
      </c>
      <c r="Q50" s="0" t="n">
        <f aca="false">IF(2_Utilité!AO50&gt;0,2_Utilité!Q50/2_Utilité!AO50,0)</f>
        <v>0</v>
      </c>
      <c r="R50" s="0" t="n">
        <f aca="false">IF(2_Utilité!AO50&gt;0,2_Utilité!R50/2_Utilité!AO50,0)</f>
        <v>0</v>
      </c>
      <c r="S50" s="0" t="n">
        <f aca="false">IF(2_Utilité!AO50&gt;0,2_Utilité!S50/2_Utilité!AO50,0)</f>
        <v>0</v>
      </c>
      <c r="T50" s="0" t="n">
        <f aca="false">IF(2_Utilité!AO50&gt;0,2_Utilité!T50/2_Utilité!AO50,0)</f>
        <v>0</v>
      </c>
      <c r="U50" s="0" t="n">
        <f aca="false">IF(2_Utilité!AO50&gt;0,2_Utilité!U50/2_Utilité!AO50,0)</f>
        <v>0</v>
      </c>
      <c r="V50" s="0" t="n">
        <f aca="false">IF(2_Utilité!AO50&gt;0,2_Utilité!V50/2_Utilité!AO50,0)</f>
        <v>0</v>
      </c>
      <c r="W50" s="0" t="n">
        <f aca="false">IF(2_Utilité!AO50&gt;0,2_Utilité!W50/2_Utilité!AO50,0)</f>
        <v>0</v>
      </c>
      <c r="X50" s="0" t="n">
        <f aca="false">IF(2_Utilité!AO50&gt;0,2_Utilité!X50/2_Utilité!AO50,0)</f>
        <v>0</v>
      </c>
      <c r="Y50" s="0" t="n">
        <f aca="false">IF(2_Utilité!AO50&gt;0,2_Utilité!Y50/2_Utilité!AO50,0)</f>
        <v>0</v>
      </c>
      <c r="Z50" s="0" t="n">
        <f aca="false">IF(2_Utilité!AO50&gt;0,2_Utilité!Z50/2_Utilité!AO50,0)</f>
        <v>0</v>
      </c>
      <c r="AA50" s="0" t="n">
        <f aca="false">IF(2_Utilité!AO50&gt;0,2_Utilité!AA50/2_Utilité!AO50,0)</f>
        <v>0</v>
      </c>
      <c r="AB50" s="0" t="n">
        <f aca="false">IF(2_Utilité!AO50&gt;0,2_Utilité!AB50/2_Utilité!AO50,0)</f>
        <v>0</v>
      </c>
      <c r="AC50" s="0" t="n">
        <f aca="false">IF(2_Utilité!AO50&gt;0,2_Utilité!AC50/2_Utilité!AO50,0)</f>
        <v>0</v>
      </c>
      <c r="AD50" s="0" t="n">
        <f aca="false">IF(2_Utilité!AO50&gt;0,2_Utilité!AD50/2_Utilité!AO50,0)</f>
        <v>0</v>
      </c>
      <c r="AE50" s="0" t="n">
        <f aca="false">IF(2_Utilité!AO50&gt;0,2_Utilité!AE50/2_Utilité!AO50,0)</f>
        <v>0</v>
      </c>
      <c r="AF50" s="0" t="n">
        <f aca="false">IF(2_Utilité!AO50&gt;0,2_Utilité!AF50/2_Utilité!AO50,0)</f>
        <v>0</v>
      </c>
      <c r="AG50" s="0" t="n">
        <f aca="false">IF(2_Utilité!AO50&gt;0,2_Utilité!AG50/2_Utilité!AO50,0)</f>
        <v>0</v>
      </c>
      <c r="AH50" s="0" t="n">
        <f aca="false">IF(2_Utilité!AO50&gt;0,2_Utilité!AH50/2_Utilité!AO50,0)</f>
        <v>0</v>
      </c>
      <c r="AI50" s="0" t="n">
        <f aca="false">IF(2_Utilité!AO50&gt;0,2_Utilité!AI50/2_Utilité!AO50,0)</f>
        <v>0</v>
      </c>
      <c r="AJ50" s="0" t="n">
        <f aca="false">IF(2_Utilité!AO50&gt;0,2_Utilité!AJ50/2_Utilité!AO50,0)</f>
        <v>0</v>
      </c>
      <c r="AK50" s="0" t="n">
        <f aca="false">IF(2_Utilité!AO50&gt;0,2_Utilité!AK50/2_Utilité!AO50,0)</f>
        <v>0</v>
      </c>
      <c r="AL50" s="0" t="n">
        <f aca="false">IF(2_Utilité!AO50&gt;0,2_Utilité!AL50/2_Utilité!AO50,0)</f>
        <v>0</v>
      </c>
      <c r="AM50" s="48" t="n">
        <f aca="false">IF(2_Utilité!AO50&gt;0,2_Utilité!AM50/2_Utilité!AO50,0)</f>
        <v>0</v>
      </c>
      <c r="AN50" s="43" t="n">
        <f aca="false">IF(2_Utilité!AO50&gt;0,2_Utilité!AN50/2_Utilité!AO50,0)</f>
        <v>0</v>
      </c>
      <c r="AO50" s="43" t="n">
        <f aca="false">SUM(C50:AN50)</f>
        <v>0</v>
      </c>
      <c r="AP50" s="43" t="n">
        <f aca="false">COUNTIF(Matrice_OD!$C50:$AN50,"&lt;="&amp;Param!$B$2)</f>
        <v>0</v>
      </c>
    </row>
    <row r="51" customFormat="false" ht="15" hidden="false" customHeight="true" outlineLevel="0" collapsed="false">
      <c r="A51" s="0" t="s">
        <v>200</v>
      </c>
      <c r="B51" s="0" t="s">
        <v>201</v>
      </c>
      <c r="C51" s="0" t="n">
        <f aca="false">IF(2_Utilité!AO51&gt;0,2_Utilité!C51/2_Utilité!AO51,0)</f>
        <v>0</v>
      </c>
      <c r="D51" s="0" t="n">
        <f aca="false">IF(2_Utilité!AO51&gt;0,2_Utilité!D51/2_Utilité!AO51,0)</f>
        <v>0</v>
      </c>
      <c r="E51" s="0" t="n">
        <f aca="false">IF(2_Utilité!AO51&gt;0,2_Utilité!E51/2_Utilité!AO51,0)</f>
        <v>0</v>
      </c>
      <c r="F51" s="0" t="n">
        <f aca="false">IF(2_Utilité!AO51&gt;0,2_Utilité!F51/2_Utilité!AO51,0)</f>
        <v>0</v>
      </c>
      <c r="G51" s="0" t="n">
        <f aca="false">IF(2_Utilité!AO51&gt;0,2_Utilité!G51/2_Utilité!AO51,0)</f>
        <v>0</v>
      </c>
      <c r="H51" s="0" t="n">
        <f aca="false">IF(2_Utilité!AO51&gt;0,2_Utilité!H51/2_Utilité!AO51,0)</f>
        <v>0</v>
      </c>
      <c r="I51" s="0" t="n">
        <f aca="false">IF(2_Utilité!AO51&gt;0,2_Utilité!I51/2_Utilité!AO51,0)</f>
        <v>0</v>
      </c>
      <c r="J51" s="0" t="n">
        <f aca="false">IF(2_Utilité!AO51&gt;0,2_Utilité!J51/2_Utilité!AO51,0)</f>
        <v>0</v>
      </c>
      <c r="K51" s="0" t="n">
        <f aca="false">IF(2_Utilité!AO51&gt;0,2_Utilité!K51/2_Utilité!AO51,0)</f>
        <v>0</v>
      </c>
      <c r="L51" s="0" t="n">
        <f aca="false">IF(2_Utilité!AO51&gt;0,2_Utilité!L51/2_Utilité!AO51,0)</f>
        <v>0</v>
      </c>
      <c r="M51" s="0" t="n">
        <f aca="false">IF(2_Utilité!AO51&gt;0,2_Utilité!M51/2_Utilité!AO51,0)</f>
        <v>0</v>
      </c>
      <c r="N51" s="0" t="n">
        <f aca="false">IF(2_Utilité!AO51&gt;0,2_Utilité!N51/2_Utilité!AO51,0)</f>
        <v>0</v>
      </c>
      <c r="O51" s="0" t="n">
        <f aca="false">IF(2_Utilité!AO51&gt;0,2_Utilité!O51/2_Utilité!AO51,0)</f>
        <v>0</v>
      </c>
      <c r="P51" s="0" t="n">
        <f aca="false">IF(2_Utilité!AO51&gt;0,2_Utilité!P51/2_Utilité!AO51,0)</f>
        <v>0</v>
      </c>
      <c r="Q51" s="0" t="n">
        <f aca="false">IF(2_Utilité!AO51&gt;0,2_Utilité!Q51/2_Utilité!AO51,0)</f>
        <v>0</v>
      </c>
      <c r="R51" s="0" t="n">
        <f aca="false">IF(2_Utilité!AO51&gt;0,2_Utilité!R51/2_Utilité!AO51,0)</f>
        <v>0</v>
      </c>
      <c r="S51" s="0" t="n">
        <f aca="false">IF(2_Utilité!AO51&gt;0,2_Utilité!S51/2_Utilité!AO51,0)</f>
        <v>0</v>
      </c>
      <c r="T51" s="0" t="n">
        <f aca="false">IF(2_Utilité!AO51&gt;0,2_Utilité!T51/2_Utilité!AO51,0)</f>
        <v>0</v>
      </c>
      <c r="U51" s="0" t="n">
        <f aca="false">IF(2_Utilité!AO51&gt;0,2_Utilité!U51/2_Utilité!AO51,0)</f>
        <v>0</v>
      </c>
      <c r="V51" s="0" t="n">
        <f aca="false">IF(2_Utilité!AO51&gt;0,2_Utilité!V51/2_Utilité!AO51,0)</f>
        <v>0</v>
      </c>
      <c r="W51" s="0" t="n">
        <f aca="false">IF(2_Utilité!AO51&gt;0,2_Utilité!W51/2_Utilité!AO51,0)</f>
        <v>0</v>
      </c>
      <c r="X51" s="0" t="n">
        <f aca="false">IF(2_Utilité!AO51&gt;0,2_Utilité!X51/2_Utilité!AO51,0)</f>
        <v>0</v>
      </c>
      <c r="Y51" s="0" t="n">
        <f aca="false">IF(2_Utilité!AO51&gt;0,2_Utilité!Y51/2_Utilité!AO51,0)</f>
        <v>0</v>
      </c>
      <c r="Z51" s="0" t="n">
        <f aca="false">IF(2_Utilité!AO51&gt;0,2_Utilité!Z51/2_Utilité!AO51,0)</f>
        <v>0</v>
      </c>
      <c r="AA51" s="0" t="n">
        <f aca="false">IF(2_Utilité!AO51&gt;0,2_Utilité!AA51/2_Utilité!AO51,0)</f>
        <v>0</v>
      </c>
      <c r="AB51" s="0" t="n">
        <f aca="false">IF(2_Utilité!AO51&gt;0,2_Utilité!AB51/2_Utilité!AO51,0)</f>
        <v>0</v>
      </c>
      <c r="AC51" s="0" t="n">
        <f aca="false">IF(2_Utilité!AO51&gt;0,2_Utilité!AC51/2_Utilité!AO51,0)</f>
        <v>0</v>
      </c>
      <c r="AD51" s="0" t="n">
        <f aca="false">IF(2_Utilité!AO51&gt;0,2_Utilité!AD51/2_Utilité!AO51,0)</f>
        <v>0</v>
      </c>
      <c r="AE51" s="0" t="n">
        <f aca="false">IF(2_Utilité!AO51&gt;0,2_Utilité!AE51/2_Utilité!AO51,0)</f>
        <v>0</v>
      </c>
      <c r="AF51" s="0" t="n">
        <f aca="false">IF(2_Utilité!AO51&gt;0,2_Utilité!AF51/2_Utilité!AO51,0)</f>
        <v>0</v>
      </c>
      <c r="AG51" s="0" t="n">
        <f aca="false">IF(2_Utilité!AO51&gt;0,2_Utilité!AG51/2_Utilité!AO51,0)</f>
        <v>0</v>
      </c>
      <c r="AH51" s="0" t="n">
        <f aca="false">IF(2_Utilité!AO51&gt;0,2_Utilité!AH51/2_Utilité!AO51,0)</f>
        <v>0</v>
      </c>
      <c r="AI51" s="0" t="n">
        <f aca="false">IF(2_Utilité!AO51&gt;0,2_Utilité!AI51/2_Utilité!AO51,0)</f>
        <v>0</v>
      </c>
      <c r="AJ51" s="0" t="n">
        <f aca="false">IF(2_Utilité!AO51&gt;0,2_Utilité!AJ51/2_Utilité!AO51,0)</f>
        <v>0</v>
      </c>
      <c r="AK51" s="0" t="n">
        <f aca="false">IF(2_Utilité!AO51&gt;0,2_Utilité!AK51/2_Utilité!AO51,0)</f>
        <v>0</v>
      </c>
      <c r="AL51" s="0" t="n">
        <f aca="false">IF(2_Utilité!AO51&gt;0,2_Utilité!AL51/2_Utilité!AO51,0)</f>
        <v>0</v>
      </c>
      <c r="AM51" s="49" t="n">
        <f aca="false">IF(2_Utilité!AO51&gt;0,2_Utilité!AM51/2_Utilité!AO51,0)</f>
        <v>0</v>
      </c>
      <c r="AN51" s="43" t="n">
        <f aca="false">IF(2_Utilité!AO51&gt;0,2_Utilité!AN51/2_Utilité!AO51,0)</f>
        <v>1</v>
      </c>
      <c r="AO51" s="43" t="n">
        <f aca="false">SUM(C51:AN51)</f>
        <v>1</v>
      </c>
      <c r="AP51" s="43" t="n">
        <f aca="false">COUNTIF(Matrice_OD!$C51:$AN51,"&lt;="&amp;Param!$B$2)</f>
        <v>1</v>
      </c>
    </row>
    <row r="52" customFormat="false" ht="15" hidden="false" customHeight="true" outlineLevel="0" collapsed="false">
      <c r="A52" s="0" t="s">
        <v>202</v>
      </c>
      <c r="B52" s="0" t="s">
        <v>203</v>
      </c>
      <c r="C52" s="0" t="n">
        <f aca="false">IF(2_Utilité!AO52&gt;0,2_Utilité!C52/2_Utilité!AO52,0)</f>
        <v>0</v>
      </c>
      <c r="D52" s="0" t="n">
        <f aca="false">IF(2_Utilité!AO52&gt;0,2_Utilité!D52/2_Utilité!AO52,0)</f>
        <v>0</v>
      </c>
      <c r="E52" s="0" t="n">
        <f aca="false">IF(2_Utilité!AO52&gt;0,2_Utilité!E52/2_Utilité!AO52,0)</f>
        <v>0</v>
      </c>
      <c r="F52" s="0" t="n">
        <f aca="false">IF(2_Utilité!AO52&gt;0,2_Utilité!F52/2_Utilité!AO52,0)</f>
        <v>0</v>
      </c>
      <c r="G52" s="0" t="n">
        <f aca="false">IF(2_Utilité!AO52&gt;0,2_Utilité!G52/2_Utilité!AO52,0)</f>
        <v>0</v>
      </c>
      <c r="H52" s="0" t="n">
        <f aca="false">IF(2_Utilité!AO52&gt;0,2_Utilité!H52/2_Utilité!AO52,0)</f>
        <v>0</v>
      </c>
      <c r="I52" s="0" t="n">
        <f aca="false">IF(2_Utilité!AO52&gt;0,2_Utilité!I52/2_Utilité!AO52,0)</f>
        <v>0</v>
      </c>
      <c r="J52" s="0" t="n">
        <f aca="false">IF(2_Utilité!AO52&gt;0,2_Utilité!J52/2_Utilité!AO52,0)</f>
        <v>0</v>
      </c>
      <c r="K52" s="0" t="n">
        <f aca="false">IF(2_Utilité!AO52&gt;0,2_Utilité!K52/2_Utilité!AO52,0)</f>
        <v>0</v>
      </c>
      <c r="L52" s="0" t="n">
        <f aca="false">IF(2_Utilité!AO52&gt;0,2_Utilité!L52/2_Utilité!AO52,0)</f>
        <v>0</v>
      </c>
      <c r="M52" s="0" t="n">
        <f aca="false">IF(2_Utilité!AO52&gt;0,2_Utilité!M52/2_Utilité!AO52,0)</f>
        <v>0</v>
      </c>
      <c r="N52" s="0" t="n">
        <f aca="false">IF(2_Utilité!AO52&gt;0,2_Utilité!N52/2_Utilité!AO52,0)</f>
        <v>0</v>
      </c>
      <c r="O52" s="0" t="n">
        <f aca="false">IF(2_Utilité!AO52&gt;0,2_Utilité!O52/2_Utilité!AO52,0)</f>
        <v>0</v>
      </c>
      <c r="P52" s="0" t="n">
        <f aca="false">IF(2_Utilité!AO52&gt;0,2_Utilité!P52/2_Utilité!AO52,0)</f>
        <v>0</v>
      </c>
      <c r="Q52" s="0" t="n">
        <f aca="false">IF(2_Utilité!AO52&gt;0,2_Utilité!Q52/2_Utilité!AO52,0)</f>
        <v>0</v>
      </c>
      <c r="R52" s="0" t="n">
        <f aca="false">IF(2_Utilité!AO52&gt;0,2_Utilité!R52/2_Utilité!AO52,0)</f>
        <v>0</v>
      </c>
      <c r="S52" s="0" t="n">
        <f aca="false">IF(2_Utilité!AO52&gt;0,2_Utilité!S52/2_Utilité!AO52,0)</f>
        <v>0</v>
      </c>
      <c r="T52" s="0" t="n">
        <f aca="false">IF(2_Utilité!AO52&gt;0,2_Utilité!T52/2_Utilité!AO52,0)</f>
        <v>0</v>
      </c>
      <c r="U52" s="0" t="n">
        <f aca="false">IF(2_Utilité!AO52&gt;0,2_Utilité!U52/2_Utilité!AO52,0)</f>
        <v>0</v>
      </c>
      <c r="V52" s="0" t="n">
        <f aca="false">IF(2_Utilité!AO52&gt;0,2_Utilité!V52/2_Utilité!AO52,0)</f>
        <v>0</v>
      </c>
      <c r="W52" s="0" t="n">
        <f aca="false">IF(2_Utilité!AO52&gt;0,2_Utilité!W52/2_Utilité!AO52,0)</f>
        <v>0</v>
      </c>
      <c r="X52" s="0" t="n">
        <f aca="false">IF(2_Utilité!AO52&gt;0,2_Utilité!X52/2_Utilité!AO52,0)</f>
        <v>0</v>
      </c>
      <c r="Y52" s="0" t="n">
        <f aca="false">IF(2_Utilité!AO52&gt;0,2_Utilité!Y52/2_Utilité!AO52,0)</f>
        <v>0</v>
      </c>
      <c r="Z52" s="0" t="n">
        <f aca="false">IF(2_Utilité!AO52&gt;0,2_Utilité!Z52/2_Utilité!AO52,0)</f>
        <v>0</v>
      </c>
      <c r="AA52" s="0" t="n">
        <f aca="false">IF(2_Utilité!AO52&gt;0,2_Utilité!AA52/2_Utilité!AO52,0)</f>
        <v>0</v>
      </c>
      <c r="AB52" s="0" t="n">
        <f aca="false">IF(2_Utilité!AO52&gt;0,2_Utilité!AB52/2_Utilité!AO52,0)</f>
        <v>0</v>
      </c>
      <c r="AC52" s="0" t="n">
        <f aca="false">IF(2_Utilité!AO52&gt;0,2_Utilité!AC52/2_Utilité!AO52,0)</f>
        <v>0</v>
      </c>
      <c r="AD52" s="0" t="n">
        <f aca="false">IF(2_Utilité!AO52&gt;0,2_Utilité!AD52/2_Utilité!AO52,0)</f>
        <v>0</v>
      </c>
      <c r="AE52" s="0" t="n">
        <f aca="false">IF(2_Utilité!AO52&gt;0,2_Utilité!AE52/2_Utilité!AO52,0)</f>
        <v>0</v>
      </c>
      <c r="AF52" s="0" t="n">
        <f aca="false">IF(2_Utilité!AO52&gt;0,2_Utilité!AF52/2_Utilité!AO52,0)</f>
        <v>0</v>
      </c>
      <c r="AG52" s="0" t="n">
        <f aca="false">IF(2_Utilité!AO52&gt;0,2_Utilité!AG52/2_Utilité!AO52,0)</f>
        <v>0</v>
      </c>
      <c r="AH52" s="0" t="n">
        <f aca="false">IF(2_Utilité!AO52&gt;0,2_Utilité!AH52/2_Utilité!AO52,0)</f>
        <v>0</v>
      </c>
      <c r="AI52" s="0" t="n">
        <f aca="false">IF(2_Utilité!AO52&gt;0,2_Utilité!AI52/2_Utilité!AO52,0)</f>
        <v>0</v>
      </c>
      <c r="AJ52" s="0" t="n">
        <f aca="false">IF(2_Utilité!AO52&gt;0,2_Utilité!AJ52/2_Utilité!AO52,0)</f>
        <v>0</v>
      </c>
      <c r="AK52" s="0" t="n">
        <f aca="false">IF(2_Utilité!AO52&gt;0,2_Utilité!AK52/2_Utilité!AO52,0)</f>
        <v>0</v>
      </c>
      <c r="AL52" s="0" t="n">
        <f aca="false">IF(2_Utilité!AO52&gt;0,2_Utilité!AL52/2_Utilité!AO52,0)</f>
        <v>0</v>
      </c>
      <c r="AM52" s="48" t="n">
        <f aca="false">IF(2_Utilité!AO52&gt;0,2_Utilité!AM52/2_Utilité!AO52,0)</f>
        <v>0</v>
      </c>
      <c r="AN52" s="43" t="n">
        <f aca="false">IF(2_Utilité!AO52&gt;0,2_Utilité!AN52/2_Utilité!AO52,0)</f>
        <v>1</v>
      </c>
      <c r="AO52" s="43" t="n">
        <f aca="false">SUM(C52:AN52)</f>
        <v>1</v>
      </c>
      <c r="AP52" s="43" t="n">
        <f aca="false">COUNTIF(Matrice_OD!$C52:$AN52,"&lt;="&amp;Param!$B$2)</f>
        <v>1</v>
      </c>
    </row>
    <row r="53" customFormat="false" ht="15" hidden="false" customHeight="true" outlineLevel="0" collapsed="false">
      <c r="A53" s="0" t="s">
        <v>204</v>
      </c>
      <c r="B53" s="0" t="s">
        <v>205</v>
      </c>
      <c r="C53" s="0" t="n">
        <f aca="false">IF(2_Utilité!AO53&gt;0,2_Utilité!C53/2_Utilité!AO53,0)</f>
        <v>0</v>
      </c>
      <c r="D53" s="0" t="n">
        <f aca="false">IF(2_Utilité!AO53&gt;0,2_Utilité!D53/2_Utilité!AO53,0)</f>
        <v>0</v>
      </c>
      <c r="E53" s="0" t="n">
        <f aca="false">IF(2_Utilité!AO53&gt;0,2_Utilité!E53/2_Utilité!AO53,0)</f>
        <v>0</v>
      </c>
      <c r="F53" s="0" t="n">
        <f aca="false">IF(2_Utilité!AO53&gt;0,2_Utilité!F53/2_Utilité!AO53,0)</f>
        <v>0</v>
      </c>
      <c r="G53" s="0" t="n">
        <f aca="false">IF(2_Utilité!AO53&gt;0,2_Utilité!G53/2_Utilité!AO53,0)</f>
        <v>0</v>
      </c>
      <c r="H53" s="0" t="n">
        <f aca="false">IF(2_Utilité!AO53&gt;0,2_Utilité!H53/2_Utilité!AO53,0)</f>
        <v>0</v>
      </c>
      <c r="I53" s="0" t="n">
        <f aca="false">IF(2_Utilité!AO53&gt;0,2_Utilité!I53/2_Utilité!AO53,0)</f>
        <v>0</v>
      </c>
      <c r="J53" s="0" t="n">
        <f aca="false">IF(2_Utilité!AO53&gt;0,2_Utilité!J53/2_Utilité!AO53,0)</f>
        <v>0</v>
      </c>
      <c r="K53" s="0" t="n">
        <f aca="false">IF(2_Utilité!AO53&gt;0,2_Utilité!K53/2_Utilité!AO53,0)</f>
        <v>0</v>
      </c>
      <c r="L53" s="0" t="n">
        <f aca="false">IF(2_Utilité!AO53&gt;0,2_Utilité!L53/2_Utilité!AO53,0)</f>
        <v>0</v>
      </c>
      <c r="M53" s="0" t="n">
        <f aca="false">IF(2_Utilité!AO53&gt;0,2_Utilité!M53/2_Utilité!AO53,0)</f>
        <v>0</v>
      </c>
      <c r="N53" s="0" t="n">
        <f aca="false">IF(2_Utilité!AO53&gt;0,2_Utilité!N53/2_Utilité!AO53,0)</f>
        <v>0</v>
      </c>
      <c r="O53" s="0" t="n">
        <f aca="false">IF(2_Utilité!AO53&gt;0,2_Utilité!O53/2_Utilité!AO53,0)</f>
        <v>0</v>
      </c>
      <c r="P53" s="0" t="n">
        <f aca="false">IF(2_Utilité!AO53&gt;0,2_Utilité!P53/2_Utilité!AO53,0)</f>
        <v>0</v>
      </c>
      <c r="Q53" s="0" t="n">
        <f aca="false">IF(2_Utilité!AO53&gt;0,2_Utilité!Q53/2_Utilité!AO53,0)</f>
        <v>0</v>
      </c>
      <c r="R53" s="0" t="n">
        <f aca="false">IF(2_Utilité!AO53&gt;0,2_Utilité!R53/2_Utilité!AO53,0)</f>
        <v>0</v>
      </c>
      <c r="S53" s="0" t="n">
        <f aca="false">IF(2_Utilité!AO53&gt;0,2_Utilité!S53/2_Utilité!AO53,0)</f>
        <v>0</v>
      </c>
      <c r="T53" s="0" t="n">
        <f aca="false">IF(2_Utilité!AO53&gt;0,2_Utilité!T53/2_Utilité!AO53,0)</f>
        <v>0</v>
      </c>
      <c r="U53" s="0" t="n">
        <f aca="false">IF(2_Utilité!AO53&gt;0,2_Utilité!U53/2_Utilité!AO53,0)</f>
        <v>0</v>
      </c>
      <c r="V53" s="0" t="n">
        <f aca="false">IF(2_Utilité!AO53&gt;0,2_Utilité!V53/2_Utilité!AO53,0)</f>
        <v>0</v>
      </c>
      <c r="W53" s="0" t="n">
        <f aca="false">IF(2_Utilité!AO53&gt;0,2_Utilité!W53/2_Utilité!AO53,0)</f>
        <v>0</v>
      </c>
      <c r="X53" s="0" t="n">
        <f aca="false">IF(2_Utilité!AO53&gt;0,2_Utilité!X53/2_Utilité!AO53,0)</f>
        <v>0</v>
      </c>
      <c r="Y53" s="0" t="n">
        <f aca="false">IF(2_Utilité!AO53&gt;0,2_Utilité!Y53/2_Utilité!AO53,0)</f>
        <v>0</v>
      </c>
      <c r="Z53" s="0" t="n">
        <f aca="false">IF(2_Utilité!AO53&gt;0,2_Utilité!Z53/2_Utilité!AO53,0)</f>
        <v>0</v>
      </c>
      <c r="AA53" s="0" t="n">
        <f aca="false">IF(2_Utilité!AO53&gt;0,2_Utilité!AA53/2_Utilité!AO53,0)</f>
        <v>0</v>
      </c>
      <c r="AB53" s="0" t="n">
        <f aca="false">IF(2_Utilité!AO53&gt;0,2_Utilité!AB53/2_Utilité!AO53,0)</f>
        <v>0</v>
      </c>
      <c r="AC53" s="0" t="n">
        <f aca="false">IF(2_Utilité!AO53&gt;0,2_Utilité!AC53/2_Utilité!AO53,0)</f>
        <v>0</v>
      </c>
      <c r="AD53" s="0" t="n">
        <f aca="false">IF(2_Utilité!AO53&gt;0,2_Utilité!AD53/2_Utilité!AO53,0)</f>
        <v>0</v>
      </c>
      <c r="AE53" s="0" t="n">
        <f aca="false">IF(2_Utilité!AO53&gt;0,2_Utilité!AE53/2_Utilité!AO53,0)</f>
        <v>0</v>
      </c>
      <c r="AF53" s="0" t="n">
        <f aca="false">IF(2_Utilité!AO53&gt;0,2_Utilité!AF53/2_Utilité!AO53,0)</f>
        <v>0</v>
      </c>
      <c r="AG53" s="0" t="n">
        <f aca="false">IF(2_Utilité!AO53&gt;0,2_Utilité!AG53/2_Utilité!AO53,0)</f>
        <v>0</v>
      </c>
      <c r="AH53" s="0" t="n">
        <f aca="false">IF(2_Utilité!AO53&gt;0,2_Utilité!AH53/2_Utilité!AO53,0)</f>
        <v>0</v>
      </c>
      <c r="AI53" s="0" t="n">
        <f aca="false">IF(2_Utilité!AO53&gt;0,2_Utilité!AI53/2_Utilité!AO53,0)</f>
        <v>0</v>
      </c>
      <c r="AJ53" s="0" t="n">
        <f aca="false">IF(2_Utilité!AO53&gt;0,2_Utilité!AJ53/2_Utilité!AO53,0)</f>
        <v>0</v>
      </c>
      <c r="AK53" s="0" t="n">
        <f aca="false">IF(2_Utilité!AO53&gt;0,2_Utilité!AK53/2_Utilité!AO53,0)</f>
        <v>0</v>
      </c>
      <c r="AL53" s="0" t="n">
        <f aca="false">IF(2_Utilité!AO53&gt;0,2_Utilité!AL53/2_Utilité!AO53,0)</f>
        <v>0</v>
      </c>
      <c r="AM53" s="49" t="n">
        <f aca="false">IF(2_Utilité!AO53&gt;0,2_Utilité!AM53/2_Utilité!AO53,0)</f>
        <v>0</v>
      </c>
      <c r="AN53" s="43" t="n">
        <f aca="false">IF(2_Utilité!AO53&gt;0,2_Utilité!AN53/2_Utilité!AO53,0)</f>
        <v>1</v>
      </c>
      <c r="AO53" s="43" t="n">
        <f aca="false">SUM(C53:AN53)</f>
        <v>1</v>
      </c>
      <c r="AP53" s="43" t="n">
        <f aca="false">COUNTIF(Matrice_OD!$C53:$AN53,"&lt;="&amp;Param!$B$2)</f>
        <v>1</v>
      </c>
    </row>
    <row r="54" customFormat="false" ht="15" hidden="false" customHeight="true" outlineLevel="0" collapsed="false">
      <c r="A54" s="0" t="s">
        <v>206</v>
      </c>
      <c r="B54" s="0" t="s">
        <v>207</v>
      </c>
      <c r="C54" s="0" t="n">
        <f aca="false">IF(2_Utilité!AO54&gt;0,2_Utilité!C54/2_Utilité!AO54,0)</f>
        <v>0</v>
      </c>
      <c r="D54" s="0" t="n">
        <f aca="false">IF(2_Utilité!AO54&gt;0,2_Utilité!D54/2_Utilité!AO54,0)</f>
        <v>0</v>
      </c>
      <c r="E54" s="0" t="n">
        <f aca="false">IF(2_Utilité!AO54&gt;0,2_Utilité!E54/2_Utilité!AO54,0)</f>
        <v>0</v>
      </c>
      <c r="F54" s="0" t="n">
        <f aca="false">IF(2_Utilité!AO54&gt;0,2_Utilité!F54/2_Utilité!AO54,0)</f>
        <v>0</v>
      </c>
      <c r="G54" s="0" t="n">
        <f aca="false">IF(2_Utilité!AO54&gt;0,2_Utilité!G54/2_Utilité!AO54,0)</f>
        <v>0</v>
      </c>
      <c r="H54" s="0" t="n">
        <f aca="false">IF(2_Utilité!AO54&gt;0,2_Utilité!H54/2_Utilité!AO54,0)</f>
        <v>0</v>
      </c>
      <c r="I54" s="0" t="n">
        <f aca="false">IF(2_Utilité!AO54&gt;0,2_Utilité!I54/2_Utilité!AO54,0)</f>
        <v>0</v>
      </c>
      <c r="J54" s="0" t="n">
        <f aca="false">IF(2_Utilité!AO54&gt;0,2_Utilité!J54/2_Utilité!AO54,0)</f>
        <v>0</v>
      </c>
      <c r="K54" s="0" t="n">
        <f aca="false">IF(2_Utilité!AO54&gt;0,2_Utilité!K54/2_Utilité!AO54,0)</f>
        <v>0</v>
      </c>
      <c r="L54" s="0" t="n">
        <f aca="false">IF(2_Utilité!AO54&gt;0,2_Utilité!L54/2_Utilité!AO54,0)</f>
        <v>0</v>
      </c>
      <c r="M54" s="0" t="n">
        <f aca="false">IF(2_Utilité!AO54&gt;0,2_Utilité!M54/2_Utilité!AO54,0)</f>
        <v>0</v>
      </c>
      <c r="N54" s="0" t="n">
        <f aca="false">IF(2_Utilité!AO54&gt;0,2_Utilité!N54/2_Utilité!AO54,0)</f>
        <v>0</v>
      </c>
      <c r="O54" s="0" t="n">
        <f aca="false">IF(2_Utilité!AO54&gt;0,2_Utilité!O54/2_Utilité!AO54,0)</f>
        <v>0</v>
      </c>
      <c r="P54" s="0" t="n">
        <f aca="false">IF(2_Utilité!AO54&gt;0,2_Utilité!P54/2_Utilité!AO54,0)</f>
        <v>0</v>
      </c>
      <c r="Q54" s="0" t="n">
        <f aca="false">IF(2_Utilité!AO54&gt;0,2_Utilité!Q54/2_Utilité!AO54,0)</f>
        <v>0</v>
      </c>
      <c r="R54" s="0" t="n">
        <f aca="false">IF(2_Utilité!AO54&gt;0,2_Utilité!R54/2_Utilité!AO54,0)</f>
        <v>0</v>
      </c>
      <c r="S54" s="0" t="n">
        <f aca="false">IF(2_Utilité!AO54&gt;0,2_Utilité!S54/2_Utilité!AO54,0)</f>
        <v>0</v>
      </c>
      <c r="T54" s="0" t="n">
        <f aca="false">IF(2_Utilité!AO54&gt;0,2_Utilité!T54/2_Utilité!AO54,0)</f>
        <v>0</v>
      </c>
      <c r="U54" s="0" t="n">
        <f aca="false">IF(2_Utilité!AO54&gt;0,2_Utilité!U54/2_Utilité!AO54,0)</f>
        <v>0</v>
      </c>
      <c r="V54" s="0" t="n">
        <f aca="false">IF(2_Utilité!AO54&gt;0,2_Utilité!V54/2_Utilité!AO54,0)</f>
        <v>0</v>
      </c>
      <c r="W54" s="0" t="n">
        <f aca="false">IF(2_Utilité!AO54&gt;0,2_Utilité!W54/2_Utilité!AO54,0)</f>
        <v>0</v>
      </c>
      <c r="X54" s="0" t="n">
        <f aca="false">IF(2_Utilité!AO54&gt;0,2_Utilité!X54/2_Utilité!AO54,0)</f>
        <v>0</v>
      </c>
      <c r="Y54" s="0" t="n">
        <f aca="false">IF(2_Utilité!AO54&gt;0,2_Utilité!Y54/2_Utilité!AO54,0)</f>
        <v>0</v>
      </c>
      <c r="Z54" s="0" t="n">
        <f aca="false">IF(2_Utilité!AO54&gt;0,2_Utilité!Z54/2_Utilité!AO54,0)</f>
        <v>0</v>
      </c>
      <c r="AA54" s="0" t="n">
        <f aca="false">IF(2_Utilité!AO54&gt;0,2_Utilité!AA54/2_Utilité!AO54,0)</f>
        <v>0</v>
      </c>
      <c r="AB54" s="0" t="n">
        <f aca="false">IF(2_Utilité!AO54&gt;0,2_Utilité!AB54/2_Utilité!AO54,0)</f>
        <v>0</v>
      </c>
      <c r="AC54" s="0" t="n">
        <f aca="false">IF(2_Utilité!AO54&gt;0,2_Utilité!AC54/2_Utilité!AO54,0)</f>
        <v>0</v>
      </c>
      <c r="AD54" s="0" t="n">
        <f aca="false">IF(2_Utilité!AO54&gt;0,2_Utilité!AD54/2_Utilité!AO54,0)</f>
        <v>0</v>
      </c>
      <c r="AE54" s="0" t="n">
        <f aca="false">IF(2_Utilité!AO54&gt;0,2_Utilité!AE54/2_Utilité!AO54,0)</f>
        <v>0</v>
      </c>
      <c r="AF54" s="0" t="n">
        <f aca="false">IF(2_Utilité!AO54&gt;0,2_Utilité!AF54/2_Utilité!AO54,0)</f>
        <v>0</v>
      </c>
      <c r="AG54" s="0" t="n">
        <f aca="false">IF(2_Utilité!AO54&gt;0,2_Utilité!AG54/2_Utilité!AO54,0)</f>
        <v>0</v>
      </c>
      <c r="AH54" s="0" t="n">
        <f aca="false">IF(2_Utilité!AO54&gt;0,2_Utilité!AH54/2_Utilité!AO54,0)</f>
        <v>0</v>
      </c>
      <c r="AI54" s="0" t="n">
        <f aca="false">IF(2_Utilité!AO54&gt;0,2_Utilité!AI54/2_Utilité!AO54,0)</f>
        <v>0</v>
      </c>
      <c r="AJ54" s="0" t="n">
        <f aca="false">IF(2_Utilité!AO54&gt;0,2_Utilité!AJ54/2_Utilité!AO54,0)</f>
        <v>0</v>
      </c>
      <c r="AK54" s="0" t="n">
        <f aca="false">IF(2_Utilité!AO54&gt;0,2_Utilité!AK54/2_Utilité!AO54,0)</f>
        <v>0</v>
      </c>
      <c r="AL54" s="0" t="n">
        <f aca="false">IF(2_Utilité!AO54&gt;0,2_Utilité!AL54/2_Utilité!AO54,0)</f>
        <v>0</v>
      </c>
      <c r="AM54" s="48" t="n">
        <f aca="false">IF(2_Utilité!AO54&gt;0,2_Utilité!AM54/2_Utilité!AO54,0)</f>
        <v>0</v>
      </c>
      <c r="AN54" s="43" t="n">
        <f aca="false">IF(2_Utilité!AO54&gt;0,2_Utilité!AN54/2_Utilité!AO54,0)</f>
        <v>0</v>
      </c>
      <c r="AO54" s="43" t="n">
        <f aca="false">SUM(C54:AN54)</f>
        <v>0</v>
      </c>
      <c r="AP54" s="43" t="n">
        <f aca="false">COUNTIF(Matrice_OD!$C54:$AN54,"&lt;="&amp;Param!$B$2)</f>
        <v>0</v>
      </c>
    </row>
    <row r="55" customFormat="false" ht="15" hidden="false" customHeight="true" outlineLevel="0" collapsed="false">
      <c r="A55" s="0" t="s">
        <v>208</v>
      </c>
      <c r="B55" s="0" t="s">
        <v>209</v>
      </c>
      <c r="C55" s="0" t="n">
        <f aca="false">IF(2_Utilité!AO55&gt;0,2_Utilité!C55/2_Utilité!AO55,0)</f>
        <v>0.0262440628058949</v>
      </c>
      <c r="D55" s="0" t="n">
        <f aca="false">IF(2_Utilité!AO55&gt;0,2_Utilité!D55/2_Utilité!AO55,0)</f>
        <v>0.0151055448399328</v>
      </c>
      <c r="E55" s="0" t="n">
        <f aca="false">IF(2_Utilité!AO55&gt;0,2_Utilité!E55/2_Utilité!AO55,0)</f>
        <v>0.150914228546088</v>
      </c>
      <c r="F55" s="0" t="n">
        <f aca="false">IF(2_Utilité!AO55&gt;0,2_Utilité!F55/2_Utilité!AO55,0)</f>
        <v>0.0269877919206593</v>
      </c>
      <c r="G55" s="0" t="n">
        <f aca="false">IF(2_Utilité!AO55&gt;0,2_Utilité!G55/2_Utilité!AO55,0)</f>
        <v>0.074160682713248</v>
      </c>
      <c r="H55" s="0" t="n">
        <f aca="false">IF(2_Utilité!AO55&gt;0,2_Utilité!H55/2_Utilité!AO55,0)</f>
        <v>0.0161669563308354</v>
      </c>
      <c r="I55" s="0" t="n">
        <f aca="false">IF(2_Utilité!AO55&gt;0,2_Utilité!I55/2_Utilité!AO55,0)</f>
        <v>0.0369707567750938</v>
      </c>
      <c r="J55" s="0" t="n">
        <f aca="false">IF(2_Utilité!AO55&gt;0,2_Utilité!J55/2_Utilité!AO55,0)</f>
        <v>0.0289401380914334</v>
      </c>
      <c r="K55" s="0" t="n">
        <f aca="false">IF(2_Utilité!AO55&gt;0,2_Utilité!K55/2_Utilité!AO55,0)</f>
        <v>0.0178470572351996</v>
      </c>
      <c r="L55" s="0" t="n">
        <f aca="false">IF(2_Utilité!AO55&gt;0,2_Utilité!L55/2_Utilité!AO55,0)</f>
        <v>0.0177465232784599</v>
      </c>
      <c r="M55" s="0" t="n">
        <f aca="false">IF(2_Utilité!AO55&gt;0,2_Utilité!M55/2_Utilité!AO55,0)</f>
        <v>0.0944476586379043</v>
      </c>
      <c r="N55" s="0" t="n">
        <f aca="false">IF(2_Utilité!AO55&gt;0,2_Utilité!N55/2_Utilité!AO55,0)</f>
        <v>0.0127224212379139</v>
      </c>
      <c r="O55" s="0" t="n">
        <f aca="false">IF(2_Utilité!AO55&gt;0,2_Utilité!O55/2_Utilité!AO55,0)</f>
        <v>0.0403082157589157</v>
      </c>
      <c r="P55" s="0" t="n">
        <f aca="false">IF(2_Utilité!AO55&gt;0,2_Utilité!P55/2_Utilité!AO55,0)</f>
        <v>0.0194394769354901</v>
      </c>
      <c r="Q55" s="0" t="n">
        <f aca="false">IF(2_Utilité!AO55&gt;0,2_Utilité!Q55/2_Utilité!AO55,0)</f>
        <v>0.167531039448485</v>
      </c>
      <c r="R55" s="0" t="n">
        <f aca="false">IF(2_Utilité!AO55&gt;0,2_Utilité!R55/2_Utilité!AO55,0)</f>
        <v>0.0221303668042695</v>
      </c>
      <c r="S55" s="0" t="n">
        <f aca="false">IF(2_Utilité!AO55&gt;0,2_Utilité!S55/2_Utilité!AO55,0)</f>
        <v>0.0162670328920689</v>
      </c>
      <c r="T55" s="0" t="n">
        <f aca="false">IF(2_Utilité!AO55&gt;0,2_Utilité!T55/2_Utilité!AO55,0)</f>
        <v>0.00282639429248286</v>
      </c>
      <c r="U55" s="0" t="n">
        <f aca="false">IF(2_Utilité!AO55&gt;0,2_Utilité!U55/2_Utilité!AO55,0)</f>
        <v>0</v>
      </c>
      <c r="V55" s="0" t="n">
        <f aca="false">IF(2_Utilité!AO55&gt;0,2_Utilité!V55/2_Utilité!AO55,0)</f>
        <v>0</v>
      </c>
      <c r="W55" s="0" t="n">
        <f aca="false">IF(2_Utilité!AO55&gt;0,2_Utilité!W55/2_Utilité!AO55,0)</f>
        <v>0</v>
      </c>
      <c r="X55" s="0" t="n">
        <f aca="false">IF(2_Utilité!AO55&gt;0,2_Utilité!X55/2_Utilité!AO55,0)</f>
        <v>0</v>
      </c>
      <c r="Y55" s="0" t="n">
        <f aca="false">IF(2_Utilité!AO55&gt;0,2_Utilité!Y55/2_Utilité!AO55,0)</f>
        <v>0</v>
      </c>
      <c r="Z55" s="0" t="n">
        <f aca="false">IF(2_Utilité!AO55&gt;0,2_Utilité!Z55/2_Utilité!AO55,0)</f>
        <v>0</v>
      </c>
      <c r="AA55" s="0" t="n">
        <f aca="false">IF(2_Utilité!AO55&gt;0,2_Utilité!AA55/2_Utilité!AO55,0)</f>
        <v>0</v>
      </c>
      <c r="AB55" s="0" t="n">
        <f aca="false">IF(2_Utilité!AO55&gt;0,2_Utilité!AB55/2_Utilité!AO55,0)</f>
        <v>0</v>
      </c>
      <c r="AC55" s="0" t="n">
        <f aca="false">IF(2_Utilité!AO55&gt;0,2_Utilité!AC55/2_Utilité!AO55,0)</f>
        <v>0</v>
      </c>
      <c r="AD55" s="0" t="n">
        <f aca="false">IF(2_Utilité!AO55&gt;0,2_Utilité!AD55/2_Utilité!AO55,0)</f>
        <v>0</v>
      </c>
      <c r="AE55" s="0" t="n">
        <f aca="false">IF(2_Utilité!AO55&gt;0,2_Utilité!AE55/2_Utilité!AO55,0)</f>
        <v>0</v>
      </c>
      <c r="AF55" s="0" t="n">
        <f aca="false">IF(2_Utilité!AO55&gt;0,2_Utilité!AF55/2_Utilité!AO55,0)</f>
        <v>0</v>
      </c>
      <c r="AG55" s="0" t="n">
        <f aca="false">IF(2_Utilité!AO55&gt;0,2_Utilité!AG55/2_Utilité!AO55,0)</f>
        <v>0.102359394081151</v>
      </c>
      <c r="AH55" s="0" t="n">
        <f aca="false">IF(2_Utilité!AO55&gt;0,2_Utilité!AH55/2_Utilité!AO55,0)</f>
        <v>0.0506732817924921</v>
      </c>
      <c r="AI55" s="0" t="n">
        <f aca="false">IF(2_Utilité!AO55&gt;0,2_Utilité!AI55/2_Utilité!AO55,0)</f>
        <v>0.00146164745701777</v>
      </c>
      <c r="AJ55" s="0" t="n">
        <f aca="false">IF(2_Utilité!AO55&gt;0,2_Utilité!AJ55/2_Utilité!AO55,0)</f>
        <v>0</v>
      </c>
      <c r="AK55" s="0" t="n">
        <f aca="false">IF(2_Utilité!AO55&gt;0,2_Utilité!AK55/2_Utilité!AO55,0)</f>
        <v>0</v>
      </c>
      <c r="AL55" s="0" t="n">
        <f aca="false">IF(2_Utilité!AO55&gt;0,2_Utilité!AL55/2_Utilité!AO55,0)</f>
        <v>0</v>
      </c>
      <c r="AM55" s="49" t="n">
        <f aca="false">IF(2_Utilité!AO55&gt;0,2_Utilité!AM55/2_Utilité!AO55,0)</f>
        <v>0.0587493281249635</v>
      </c>
      <c r="AN55" s="43" t="n">
        <f aca="false">IF(2_Utilité!AO55&gt;0,2_Utilité!AN55/2_Utilité!AO55,0)</f>
        <v>0</v>
      </c>
      <c r="AO55" s="43" t="n">
        <f aca="false">SUM(C55:AN55)</f>
        <v>1</v>
      </c>
      <c r="AP55" s="43" t="n">
        <f aca="false">COUNTIF(Matrice_OD!$C55:$AN55,"&lt;="&amp;Param!$B$2)</f>
        <v>22</v>
      </c>
    </row>
    <row r="56" customFormat="false" ht="15" hidden="false" customHeight="true" outlineLevel="0" collapsed="false">
      <c r="A56" s="0" t="s">
        <v>210</v>
      </c>
      <c r="B56" s="0" t="s">
        <v>211</v>
      </c>
      <c r="C56" s="0" t="n">
        <f aca="false">IF(2_Utilité!AO56&gt;0,2_Utilité!C56/2_Utilité!AO56,0)</f>
        <v>0.00515632128292512</v>
      </c>
      <c r="D56" s="0" t="n">
        <f aca="false">IF(2_Utilité!AO56&gt;0,2_Utilité!D56/2_Utilité!AO56,0)</f>
        <v>0.0122905549632041</v>
      </c>
      <c r="E56" s="0" t="n">
        <f aca="false">IF(2_Utilité!AO56&gt;0,2_Utilité!E56/2_Utilité!AO56,0)</f>
        <v>0.138751458998401</v>
      </c>
      <c r="F56" s="0" t="n">
        <f aca="false">IF(2_Utilité!AO56&gt;0,2_Utilité!F56/2_Utilité!AO56,0)</f>
        <v>0.0267088274448314</v>
      </c>
      <c r="G56" s="0" t="n">
        <f aca="false">IF(2_Utilité!AO56&gt;0,2_Utilité!G56/2_Utilité!AO56,0)</f>
        <v>0.07764400947426</v>
      </c>
      <c r="H56" s="0" t="n">
        <f aca="false">IF(2_Utilité!AO56&gt;0,2_Utilité!H56/2_Utilité!AO56,0)</f>
        <v>0.018324614439823</v>
      </c>
      <c r="I56" s="0" t="n">
        <f aca="false">IF(2_Utilité!AO56&gt;0,2_Utilité!I56/2_Utilité!AO56,0)</f>
        <v>0.0451512635545271</v>
      </c>
      <c r="J56" s="0" t="n">
        <f aca="false">IF(2_Utilité!AO56&gt;0,2_Utilité!J56/2_Utilité!AO56,0)</f>
        <v>0.0347620260506715</v>
      </c>
      <c r="K56" s="0" t="n">
        <f aca="false">IF(2_Utilité!AO56&gt;0,2_Utilité!K56/2_Utilité!AO56,0)</f>
        <v>0.0208972100418266</v>
      </c>
      <c r="L56" s="0" t="n">
        <f aca="false">IF(2_Utilité!AO56&gt;0,2_Utilité!L56/2_Utilité!AO56,0)</f>
        <v>0.0233698227799288</v>
      </c>
      <c r="M56" s="0" t="n">
        <f aca="false">IF(2_Utilité!AO56&gt;0,2_Utilité!M56/2_Utilité!AO56,0)</f>
        <v>0.109960864854951</v>
      </c>
      <c r="N56" s="0" t="n">
        <f aca="false">IF(2_Utilité!AO56&gt;0,2_Utilité!N56/2_Utilité!AO56,0)</f>
        <v>0.0151451476558978</v>
      </c>
      <c r="O56" s="0" t="n">
        <f aca="false">IF(2_Utilité!AO56&gt;0,2_Utilité!O56/2_Utilité!AO56,0)</f>
        <v>0.0544418495426699</v>
      </c>
      <c r="P56" s="0" t="n">
        <f aca="false">IF(2_Utilité!AO56&gt;0,2_Utilité!P56/2_Utilité!AO56,0)</f>
        <v>0.0257251005743882</v>
      </c>
      <c r="Q56" s="0" t="n">
        <f aca="false">IF(2_Utilité!AO56&gt;0,2_Utilité!Q56/2_Utilité!AO56,0)</f>
        <v>0.23836582340316</v>
      </c>
      <c r="R56" s="0" t="n">
        <f aca="false">IF(2_Utilité!AO56&gt;0,2_Utilité!R56/2_Utilité!AO56,0)</f>
        <v>0.0297907874407494</v>
      </c>
      <c r="S56" s="0" t="n">
        <f aca="false">IF(2_Utilité!AO56&gt;0,2_Utilité!S56/2_Utilité!AO56,0)</f>
        <v>0.023925512321918</v>
      </c>
      <c r="T56" s="0" t="n">
        <f aca="false">IF(2_Utilité!AO56&gt;0,2_Utilité!T56/2_Utilité!AO56,0)</f>
        <v>0.00135459933689691</v>
      </c>
      <c r="U56" s="0" t="n">
        <f aca="false">IF(2_Utilité!AO56&gt;0,2_Utilité!U56/2_Utilité!AO56,0)</f>
        <v>0</v>
      </c>
      <c r="V56" s="0" t="n">
        <f aca="false">IF(2_Utilité!AO56&gt;0,2_Utilité!V56/2_Utilité!AO56,0)</f>
        <v>0</v>
      </c>
      <c r="W56" s="0" t="n">
        <f aca="false">IF(2_Utilité!AO56&gt;0,2_Utilité!W56/2_Utilité!AO56,0)</f>
        <v>0</v>
      </c>
      <c r="X56" s="0" t="n">
        <f aca="false">IF(2_Utilité!AO56&gt;0,2_Utilité!X56/2_Utilité!AO56,0)</f>
        <v>0</v>
      </c>
      <c r="Y56" s="0" t="n">
        <f aca="false">IF(2_Utilité!AO56&gt;0,2_Utilité!Y56/2_Utilité!AO56,0)</f>
        <v>0</v>
      </c>
      <c r="Z56" s="0" t="n">
        <f aca="false">IF(2_Utilité!AO56&gt;0,2_Utilité!Z56/2_Utilité!AO56,0)</f>
        <v>0</v>
      </c>
      <c r="AA56" s="0" t="n">
        <f aca="false">IF(2_Utilité!AO56&gt;0,2_Utilité!AA56/2_Utilité!AO56,0)</f>
        <v>0</v>
      </c>
      <c r="AB56" s="0" t="n">
        <f aca="false">IF(2_Utilité!AO56&gt;0,2_Utilité!AB56/2_Utilité!AO56,0)</f>
        <v>0</v>
      </c>
      <c r="AC56" s="0" t="n">
        <f aca="false">IF(2_Utilité!AO56&gt;0,2_Utilité!AC56/2_Utilité!AO56,0)</f>
        <v>0</v>
      </c>
      <c r="AD56" s="0" t="n">
        <f aca="false">IF(2_Utilité!AO56&gt;0,2_Utilité!AD56/2_Utilité!AO56,0)</f>
        <v>0</v>
      </c>
      <c r="AE56" s="0" t="n">
        <f aca="false">IF(2_Utilité!AO56&gt;0,2_Utilité!AE56/2_Utilité!AO56,0)</f>
        <v>0</v>
      </c>
      <c r="AF56" s="0" t="n">
        <f aca="false">IF(2_Utilité!AO56&gt;0,2_Utilité!AF56/2_Utilité!AO56,0)</f>
        <v>0</v>
      </c>
      <c r="AG56" s="0" t="n">
        <f aca="false">IF(2_Utilité!AO56&gt;0,2_Utilité!AG56/2_Utilité!AO56,0)</f>
        <v>0.00554033014450347</v>
      </c>
      <c r="AH56" s="0" t="n">
        <f aca="false">IF(2_Utilité!AO56&gt;0,2_Utilité!AH56/2_Utilité!AO56,0)</f>
        <v>0.0808081184774363</v>
      </c>
      <c r="AI56" s="0" t="n">
        <f aca="false">IF(2_Utilité!AO56&gt;0,2_Utilité!AI56/2_Utilité!AO56,0)</f>
        <v>0.000567328206215852</v>
      </c>
      <c r="AJ56" s="0" t="n">
        <f aca="false">IF(2_Utilité!AO56&gt;0,2_Utilité!AJ56/2_Utilité!AO56,0)</f>
        <v>0</v>
      </c>
      <c r="AK56" s="0" t="n">
        <f aca="false">IF(2_Utilité!AO56&gt;0,2_Utilité!AK56/2_Utilité!AO56,0)</f>
        <v>0</v>
      </c>
      <c r="AL56" s="0" t="n">
        <f aca="false">IF(2_Utilité!AO56&gt;0,2_Utilité!AL56/2_Utilité!AO56,0)</f>
        <v>0</v>
      </c>
      <c r="AM56" s="48" t="n">
        <f aca="false">IF(2_Utilité!AO56&gt;0,2_Utilité!AM56/2_Utilité!AO56,0)</f>
        <v>0.0113184290108144</v>
      </c>
      <c r="AN56" s="43" t="n">
        <f aca="false">IF(2_Utilité!AO56&gt;0,2_Utilité!AN56/2_Utilité!AO56,0)</f>
        <v>0</v>
      </c>
      <c r="AO56" s="43" t="n">
        <f aca="false">SUM(C56:AN56)</f>
        <v>1</v>
      </c>
      <c r="AP56" s="43" t="n">
        <f aca="false">COUNTIF(Matrice_OD!$C56:$AN56,"&lt;="&amp;Param!$B$2)</f>
        <v>22</v>
      </c>
    </row>
    <row r="57" customFormat="false" ht="15" hidden="false" customHeight="true" outlineLevel="0" collapsed="false">
      <c r="A57" s="0" t="s">
        <v>212</v>
      </c>
      <c r="B57" s="0" t="s">
        <v>213</v>
      </c>
      <c r="C57" s="0" t="n">
        <f aca="false">IF(2_Utilité!AO57&gt;0,2_Utilité!C57/2_Utilité!AO57,0)</f>
        <v>0.0130778445802618</v>
      </c>
      <c r="D57" s="0" t="n">
        <f aca="false">IF(2_Utilité!AO57&gt;0,2_Utilité!D57/2_Utilité!AO57,0)</f>
        <v>0.0162985290684522</v>
      </c>
      <c r="E57" s="0" t="n">
        <f aca="false">IF(2_Utilité!AO57&gt;0,2_Utilité!E57/2_Utilité!AO57,0)</f>
        <v>0.168650578259415</v>
      </c>
      <c r="F57" s="0" t="n">
        <f aca="false">IF(2_Utilité!AO57&gt;0,2_Utilité!F57/2_Utilité!AO57,0)</f>
        <v>0.0302343065393274</v>
      </c>
      <c r="G57" s="0" t="n">
        <f aca="false">IF(2_Utilité!AO57&gt;0,2_Utilité!G57/2_Utilité!AO57,0)</f>
        <v>0.0840786990249017</v>
      </c>
      <c r="H57" s="0" t="n">
        <f aca="false">IF(2_Utilité!AO57&gt;0,2_Utilité!H57/2_Utilité!AO57,0)</f>
        <v>0.0185991404851087</v>
      </c>
      <c r="I57" s="0" t="n">
        <f aca="false">IF(2_Utilité!AO57&gt;0,2_Utilité!I57/2_Utilité!AO57,0)</f>
        <v>0.0426573054941221</v>
      </c>
      <c r="J57" s="0" t="n">
        <f aca="false">IF(2_Utilité!AO57&gt;0,2_Utilité!J57/2_Utilité!AO57,0)</f>
        <v>0.033625229565753</v>
      </c>
      <c r="K57" s="0" t="n">
        <f aca="false">IF(2_Utilité!AO57&gt;0,2_Utilité!K57/2_Utilité!AO57,0)</f>
        <v>0.0208251488799289</v>
      </c>
      <c r="L57" s="0" t="n">
        <f aca="false">IF(2_Utilité!AO57&gt;0,2_Utilité!L57/2_Utilité!AO57,0)</f>
        <v>0.0207451514005149</v>
      </c>
      <c r="M57" s="0" t="n">
        <f aca="false">IF(2_Utilité!AO57&gt;0,2_Utilité!M57/2_Utilité!AO57,0)</f>
        <v>0.110481028106107</v>
      </c>
      <c r="N57" s="0" t="n">
        <f aca="false">IF(2_Utilité!AO57&gt;0,2_Utilité!N57/2_Utilité!AO57,0)</f>
        <v>0.0149796065058664</v>
      </c>
      <c r="O57" s="0" t="n">
        <f aca="false">IF(2_Utilité!AO57&gt;0,2_Utilité!O57/2_Utilité!AO57,0)</f>
        <v>0.0475237364956239</v>
      </c>
      <c r="P57" s="0" t="n">
        <f aca="false">IF(2_Utilité!AO57&gt;0,2_Utilité!P57/2_Utilité!AO57,0)</f>
        <v>0.0229709450873862</v>
      </c>
      <c r="Q57" s="0" t="n">
        <f aca="false">IF(2_Utilité!AO57&gt;0,2_Utilité!Q57/2_Utilité!AO57,0)</f>
        <v>0.199441076070556</v>
      </c>
      <c r="R57" s="0" t="n">
        <f aca="false">IF(2_Utilité!AO57&gt;0,2_Utilité!R57/2_Utilité!AO57,0)</f>
        <v>0.0264227738103617</v>
      </c>
      <c r="S57" s="0" t="n">
        <f aca="false">IF(2_Utilité!AO57&gt;0,2_Utilité!S57/2_Utilité!AO57,0)</f>
        <v>0.0195449486894291</v>
      </c>
      <c r="T57" s="0" t="n">
        <f aca="false">IF(2_Utilité!AO57&gt;0,2_Utilité!T57/2_Utilité!AO57,0)</f>
        <v>0.00363262024491182</v>
      </c>
      <c r="U57" s="0" t="n">
        <f aca="false">IF(2_Utilité!AO57&gt;0,2_Utilité!U57/2_Utilité!AO57,0)</f>
        <v>0</v>
      </c>
      <c r="V57" s="0" t="n">
        <f aca="false">IF(2_Utilité!AO57&gt;0,2_Utilité!V57/2_Utilité!AO57,0)</f>
        <v>0</v>
      </c>
      <c r="W57" s="0" t="n">
        <f aca="false">IF(2_Utilité!AO57&gt;0,2_Utilité!W57/2_Utilité!AO57,0)</f>
        <v>0</v>
      </c>
      <c r="X57" s="0" t="n">
        <f aca="false">IF(2_Utilité!AO57&gt;0,2_Utilité!X57/2_Utilité!AO57,0)</f>
        <v>0</v>
      </c>
      <c r="Y57" s="0" t="n">
        <f aca="false">IF(2_Utilité!AO57&gt;0,2_Utilité!Y57/2_Utilité!AO57,0)</f>
        <v>0</v>
      </c>
      <c r="Z57" s="0" t="n">
        <f aca="false">IF(2_Utilité!AO57&gt;0,2_Utilité!Z57/2_Utilité!AO57,0)</f>
        <v>0</v>
      </c>
      <c r="AA57" s="0" t="n">
        <f aca="false">IF(2_Utilité!AO57&gt;0,2_Utilité!AA57/2_Utilité!AO57,0)</f>
        <v>0</v>
      </c>
      <c r="AB57" s="0" t="n">
        <f aca="false">IF(2_Utilité!AO57&gt;0,2_Utilité!AB57/2_Utilité!AO57,0)</f>
        <v>0</v>
      </c>
      <c r="AC57" s="0" t="n">
        <f aca="false">IF(2_Utilité!AO57&gt;0,2_Utilité!AC57/2_Utilité!AO57,0)</f>
        <v>0</v>
      </c>
      <c r="AD57" s="0" t="n">
        <f aca="false">IF(2_Utilité!AO57&gt;0,2_Utilité!AD57/2_Utilité!AO57,0)</f>
        <v>0</v>
      </c>
      <c r="AE57" s="0" t="n">
        <f aca="false">IF(2_Utilité!AO57&gt;0,2_Utilité!AE57/2_Utilité!AO57,0)</f>
        <v>0</v>
      </c>
      <c r="AF57" s="0" t="n">
        <f aca="false">IF(2_Utilité!AO57&gt;0,2_Utilité!AF57/2_Utilité!AO57,0)</f>
        <v>0</v>
      </c>
      <c r="AG57" s="0" t="n">
        <f aca="false">IF(2_Utilité!AO57&gt;0,2_Utilité!AG57/2_Utilité!AO57,0)</f>
        <v>0.0131193484352344</v>
      </c>
      <c r="AH57" s="0" t="n">
        <f aca="false">IF(2_Utilité!AO57&gt;0,2_Utilité!AH57/2_Utilité!AO57,0)</f>
        <v>0.0619623722307538</v>
      </c>
      <c r="AI57" s="0" t="n">
        <f aca="false">IF(2_Utilité!AO57&gt;0,2_Utilité!AI57/2_Utilité!AO57,0)</f>
        <v>0.00154581772191378</v>
      </c>
      <c r="AJ57" s="0" t="n">
        <f aca="false">IF(2_Utilité!AO57&gt;0,2_Utilité!AJ57/2_Utilité!AO57,0)</f>
        <v>0</v>
      </c>
      <c r="AK57" s="0" t="n">
        <f aca="false">IF(2_Utilité!AO57&gt;0,2_Utilité!AK57/2_Utilité!AO57,0)</f>
        <v>0</v>
      </c>
      <c r="AL57" s="0" t="n">
        <f aca="false">IF(2_Utilité!AO57&gt;0,2_Utilité!AL57/2_Utilité!AO57,0)</f>
        <v>0</v>
      </c>
      <c r="AM57" s="49" t="n">
        <f aca="false">IF(2_Utilité!AO57&gt;0,2_Utilité!AM57/2_Utilité!AO57,0)</f>
        <v>0.02958379330407</v>
      </c>
      <c r="AN57" s="43" t="n">
        <f aca="false">IF(2_Utilité!AO57&gt;0,2_Utilité!AN57/2_Utilité!AO57,0)</f>
        <v>0</v>
      </c>
      <c r="AO57" s="43" t="n">
        <f aca="false">SUM(C57:AN57)</f>
        <v>1</v>
      </c>
      <c r="AP57" s="43" t="n">
        <f aca="false">COUNTIF(Matrice_OD!$C57:$AN57,"&lt;="&amp;Param!$B$2)</f>
        <v>22</v>
      </c>
    </row>
    <row r="58" customFormat="false" ht="15" hidden="false" customHeight="true" outlineLevel="0" collapsed="false">
      <c r="A58" s="0" t="s">
        <v>214</v>
      </c>
      <c r="B58" s="0" t="s">
        <v>215</v>
      </c>
      <c r="C58" s="0" t="n">
        <f aca="false">IF(2_Utilité!AO58&gt;0,2_Utilité!C58/2_Utilité!AO58,0)</f>
        <v>0</v>
      </c>
      <c r="D58" s="0" t="n">
        <f aca="false">IF(2_Utilité!AO58&gt;0,2_Utilité!D58/2_Utilité!AO58,0)</f>
        <v>0</v>
      </c>
      <c r="E58" s="0" t="n">
        <f aca="false">IF(2_Utilité!AO58&gt;0,2_Utilité!E58/2_Utilité!AO58,0)</f>
        <v>0</v>
      </c>
      <c r="F58" s="0" t="n">
        <f aca="false">IF(2_Utilité!AO58&gt;0,2_Utilité!F58/2_Utilité!AO58,0)</f>
        <v>0</v>
      </c>
      <c r="G58" s="0" t="n">
        <f aca="false">IF(2_Utilité!AO58&gt;0,2_Utilité!G58/2_Utilité!AO58,0)</f>
        <v>0</v>
      </c>
      <c r="H58" s="0" t="n">
        <f aca="false">IF(2_Utilité!AO58&gt;0,2_Utilité!H58/2_Utilité!AO58,0)</f>
        <v>0</v>
      </c>
      <c r="I58" s="0" t="n">
        <f aca="false">IF(2_Utilité!AO58&gt;0,2_Utilité!I58/2_Utilité!AO58,0)</f>
        <v>0</v>
      </c>
      <c r="J58" s="0" t="n">
        <f aca="false">IF(2_Utilité!AO58&gt;0,2_Utilité!J58/2_Utilité!AO58,0)</f>
        <v>0</v>
      </c>
      <c r="K58" s="0" t="n">
        <f aca="false">IF(2_Utilité!AO58&gt;0,2_Utilité!K58/2_Utilité!AO58,0)</f>
        <v>0</v>
      </c>
      <c r="L58" s="0" t="n">
        <f aca="false">IF(2_Utilité!AO58&gt;0,2_Utilité!L58/2_Utilité!AO58,0)</f>
        <v>0</v>
      </c>
      <c r="M58" s="0" t="n">
        <f aca="false">IF(2_Utilité!AO58&gt;0,2_Utilité!M58/2_Utilité!AO58,0)</f>
        <v>0</v>
      </c>
      <c r="N58" s="0" t="n">
        <f aca="false">IF(2_Utilité!AO58&gt;0,2_Utilité!N58/2_Utilité!AO58,0)</f>
        <v>0</v>
      </c>
      <c r="O58" s="0" t="n">
        <f aca="false">IF(2_Utilité!AO58&gt;0,2_Utilité!O58/2_Utilité!AO58,0)</f>
        <v>0</v>
      </c>
      <c r="P58" s="0" t="n">
        <f aca="false">IF(2_Utilité!AO58&gt;0,2_Utilité!P58/2_Utilité!AO58,0)</f>
        <v>0</v>
      </c>
      <c r="Q58" s="0" t="n">
        <f aca="false">IF(2_Utilité!AO58&gt;0,2_Utilité!Q58/2_Utilité!AO58,0)</f>
        <v>0</v>
      </c>
      <c r="R58" s="0" t="n">
        <f aca="false">IF(2_Utilité!AO58&gt;0,2_Utilité!R58/2_Utilité!AO58,0)</f>
        <v>0</v>
      </c>
      <c r="S58" s="0" t="n">
        <f aca="false">IF(2_Utilité!AO58&gt;0,2_Utilité!S58/2_Utilité!AO58,0)</f>
        <v>0</v>
      </c>
      <c r="T58" s="0" t="n">
        <f aca="false">IF(2_Utilité!AO58&gt;0,2_Utilité!T58/2_Utilité!AO58,0)</f>
        <v>0</v>
      </c>
      <c r="U58" s="0" t="n">
        <f aca="false">IF(2_Utilité!AO58&gt;0,2_Utilité!U58/2_Utilité!AO58,0)</f>
        <v>0</v>
      </c>
      <c r="V58" s="0" t="n">
        <f aca="false">IF(2_Utilité!AO58&gt;0,2_Utilité!V58/2_Utilité!AO58,0)</f>
        <v>0</v>
      </c>
      <c r="W58" s="0" t="n">
        <f aca="false">IF(2_Utilité!AO58&gt;0,2_Utilité!W58/2_Utilité!AO58,0)</f>
        <v>0</v>
      </c>
      <c r="X58" s="0" t="n">
        <f aca="false">IF(2_Utilité!AO58&gt;0,2_Utilité!X58/2_Utilité!AO58,0)</f>
        <v>0</v>
      </c>
      <c r="Y58" s="0" t="n">
        <f aca="false">IF(2_Utilité!AO58&gt;0,2_Utilité!Y58/2_Utilité!AO58,0)</f>
        <v>0</v>
      </c>
      <c r="Z58" s="0" t="n">
        <f aca="false">IF(2_Utilité!AO58&gt;0,2_Utilité!Z58/2_Utilité!AO58,0)</f>
        <v>0</v>
      </c>
      <c r="AA58" s="0" t="n">
        <f aca="false">IF(2_Utilité!AO58&gt;0,2_Utilité!AA58/2_Utilité!AO58,0)</f>
        <v>0</v>
      </c>
      <c r="AB58" s="0" t="n">
        <f aca="false">IF(2_Utilité!AO58&gt;0,2_Utilité!AB58/2_Utilité!AO58,0)</f>
        <v>0</v>
      </c>
      <c r="AC58" s="0" t="n">
        <f aca="false">IF(2_Utilité!AO58&gt;0,2_Utilité!AC58/2_Utilité!AO58,0)</f>
        <v>0</v>
      </c>
      <c r="AD58" s="0" t="n">
        <f aca="false">IF(2_Utilité!AO58&gt;0,2_Utilité!AD58/2_Utilité!AO58,0)</f>
        <v>0</v>
      </c>
      <c r="AE58" s="0" t="n">
        <f aca="false">IF(2_Utilité!AO58&gt;0,2_Utilité!AE58/2_Utilité!AO58,0)</f>
        <v>0</v>
      </c>
      <c r="AF58" s="0" t="n">
        <f aca="false">IF(2_Utilité!AO58&gt;0,2_Utilité!AF58/2_Utilité!AO58,0)</f>
        <v>0</v>
      </c>
      <c r="AG58" s="0" t="n">
        <f aca="false">IF(2_Utilité!AO58&gt;0,2_Utilité!AG58/2_Utilité!AO58,0)</f>
        <v>0</v>
      </c>
      <c r="AH58" s="0" t="n">
        <f aca="false">IF(2_Utilité!AO58&gt;0,2_Utilité!AH58/2_Utilité!AO58,0)</f>
        <v>0</v>
      </c>
      <c r="AI58" s="0" t="n">
        <f aca="false">IF(2_Utilité!AO58&gt;0,2_Utilité!AI58/2_Utilité!AO58,0)</f>
        <v>0</v>
      </c>
      <c r="AJ58" s="0" t="n">
        <f aca="false">IF(2_Utilité!AO58&gt;0,2_Utilité!AJ58/2_Utilité!AO58,0)</f>
        <v>0</v>
      </c>
      <c r="AK58" s="0" t="n">
        <f aca="false">IF(2_Utilité!AO58&gt;0,2_Utilité!AK58/2_Utilité!AO58,0)</f>
        <v>0</v>
      </c>
      <c r="AL58" s="0" t="n">
        <f aca="false">IF(2_Utilité!AO58&gt;0,2_Utilité!AL58/2_Utilité!AO58,0)</f>
        <v>0</v>
      </c>
      <c r="AM58" s="48" t="n">
        <f aca="false">IF(2_Utilité!AO58&gt;0,2_Utilité!AM58/2_Utilité!AO58,0)</f>
        <v>0</v>
      </c>
      <c r="AN58" s="43" t="n">
        <f aca="false">IF(2_Utilité!AO58&gt;0,2_Utilité!AN58/2_Utilité!AO58,0)</f>
        <v>0</v>
      </c>
      <c r="AO58" s="43" t="n">
        <f aca="false">SUM(C58:AN58)</f>
        <v>0</v>
      </c>
      <c r="AP58" s="43" t="n">
        <f aca="false">COUNTIF(Matrice_OD!$C58:$AN58,"&lt;="&amp;Param!$B$2)</f>
        <v>0</v>
      </c>
    </row>
    <row r="59" customFormat="false" ht="15" hidden="false" customHeight="true" outlineLevel="0" collapsed="false">
      <c r="A59" s="0" t="s">
        <v>216</v>
      </c>
      <c r="B59" s="0" t="s">
        <v>217</v>
      </c>
      <c r="C59" s="0" t="n">
        <f aca="false">IF(2_Utilité!AO59&gt;0,2_Utilité!C59/2_Utilité!AO59,0)</f>
        <v>0</v>
      </c>
      <c r="D59" s="0" t="n">
        <f aca="false">IF(2_Utilité!AO59&gt;0,2_Utilité!D59/2_Utilité!AO59,0)</f>
        <v>0</v>
      </c>
      <c r="E59" s="0" t="n">
        <f aca="false">IF(2_Utilité!AO59&gt;0,2_Utilité!E59/2_Utilité!AO59,0)</f>
        <v>0</v>
      </c>
      <c r="F59" s="0" t="n">
        <f aca="false">IF(2_Utilité!AO59&gt;0,2_Utilité!F59/2_Utilité!AO59,0)</f>
        <v>0</v>
      </c>
      <c r="G59" s="0" t="n">
        <f aca="false">IF(2_Utilité!AO59&gt;0,2_Utilité!G59/2_Utilité!AO59,0)</f>
        <v>0</v>
      </c>
      <c r="H59" s="0" t="n">
        <f aca="false">IF(2_Utilité!AO59&gt;0,2_Utilité!H59/2_Utilité!AO59,0)</f>
        <v>0</v>
      </c>
      <c r="I59" s="0" t="n">
        <f aca="false">IF(2_Utilité!AO59&gt;0,2_Utilité!I59/2_Utilité!AO59,0)</f>
        <v>0</v>
      </c>
      <c r="J59" s="0" t="n">
        <f aca="false">IF(2_Utilité!AO59&gt;0,2_Utilité!J59/2_Utilité!AO59,0)</f>
        <v>0</v>
      </c>
      <c r="K59" s="0" t="n">
        <f aca="false">IF(2_Utilité!AO59&gt;0,2_Utilité!K59/2_Utilité!AO59,0)</f>
        <v>0</v>
      </c>
      <c r="L59" s="0" t="n">
        <f aca="false">IF(2_Utilité!AO59&gt;0,2_Utilité!L59/2_Utilité!AO59,0)</f>
        <v>0</v>
      </c>
      <c r="M59" s="0" t="n">
        <f aca="false">IF(2_Utilité!AO59&gt;0,2_Utilité!M59/2_Utilité!AO59,0)</f>
        <v>0</v>
      </c>
      <c r="N59" s="0" t="n">
        <f aca="false">IF(2_Utilité!AO59&gt;0,2_Utilité!N59/2_Utilité!AO59,0)</f>
        <v>0</v>
      </c>
      <c r="O59" s="0" t="n">
        <f aca="false">IF(2_Utilité!AO59&gt;0,2_Utilité!O59/2_Utilité!AO59,0)</f>
        <v>0</v>
      </c>
      <c r="P59" s="0" t="n">
        <f aca="false">IF(2_Utilité!AO59&gt;0,2_Utilité!P59/2_Utilité!AO59,0)</f>
        <v>0</v>
      </c>
      <c r="Q59" s="0" t="n">
        <f aca="false">IF(2_Utilité!AO59&gt;0,2_Utilité!Q59/2_Utilité!AO59,0)</f>
        <v>0</v>
      </c>
      <c r="R59" s="0" t="n">
        <f aca="false">IF(2_Utilité!AO59&gt;0,2_Utilité!R59/2_Utilité!AO59,0)</f>
        <v>0</v>
      </c>
      <c r="S59" s="0" t="n">
        <f aca="false">IF(2_Utilité!AO59&gt;0,2_Utilité!S59/2_Utilité!AO59,0)</f>
        <v>0</v>
      </c>
      <c r="T59" s="0" t="n">
        <f aca="false">IF(2_Utilité!AO59&gt;0,2_Utilité!T59/2_Utilité!AO59,0)</f>
        <v>0</v>
      </c>
      <c r="U59" s="0" t="n">
        <f aca="false">IF(2_Utilité!AO59&gt;0,2_Utilité!U59/2_Utilité!AO59,0)</f>
        <v>0</v>
      </c>
      <c r="V59" s="0" t="n">
        <f aca="false">IF(2_Utilité!AO59&gt;0,2_Utilité!V59/2_Utilité!AO59,0)</f>
        <v>0</v>
      </c>
      <c r="W59" s="0" t="n">
        <f aca="false">IF(2_Utilité!AO59&gt;0,2_Utilité!W59/2_Utilité!AO59,0)</f>
        <v>0</v>
      </c>
      <c r="X59" s="0" t="n">
        <f aca="false">IF(2_Utilité!AO59&gt;0,2_Utilité!X59/2_Utilité!AO59,0)</f>
        <v>0</v>
      </c>
      <c r="Y59" s="0" t="n">
        <f aca="false">IF(2_Utilité!AO59&gt;0,2_Utilité!Y59/2_Utilité!AO59,0)</f>
        <v>0</v>
      </c>
      <c r="Z59" s="0" t="n">
        <f aca="false">IF(2_Utilité!AO59&gt;0,2_Utilité!Z59/2_Utilité!AO59,0)</f>
        <v>0</v>
      </c>
      <c r="AA59" s="0" t="n">
        <f aca="false">IF(2_Utilité!AO59&gt;0,2_Utilité!AA59/2_Utilité!AO59,0)</f>
        <v>0</v>
      </c>
      <c r="AB59" s="0" t="n">
        <f aca="false">IF(2_Utilité!AO59&gt;0,2_Utilité!AB59/2_Utilité!AO59,0)</f>
        <v>0</v>
      </c>
      <c r="AC59" s="0" t="n">
        <f aca="false">IF(2_Utilité!AO59&gt;0,2_Utilité!AC59/2_Utilité!AO59,0)</f>
        <v>0</v>
      </c>
      <c r="AD59" s="0" t="n">
        <f aca="false">IF(2_Utilité!AO59&gt;0,2_Utilité!AD59/2_Utilité!AO59,0)</f>
        <v>0</v>
      </c>
      <c r="AE59" s="0" t="n">
        <f aca="false">IF(2_Utilité!AO59&gt;0,2_Utilité!AE59/2_Utilité!AO59,0)</f>
        <v>0</v>
      </c>
      <c r="AF59" s="0" t="n">
        <f aca="false">IF(2_Utilité!AO59&gt;0,2_Utilité!AF59/2_Utilité!AO59,0)</f>
        <v>0</v>
      </c>
      <c r="AG59" s="0" t="n">
        <f aca="false">IF(2_Utilité!AO59&gt;0,2_Utilité!AG59/2_Utilité!AO59,0)</f>
        <v>0</v>
      </c>
      <c r="AH59" s="0" t="n">
        <f aca="false">IF(2_Utilité!AO59&gt;0,2_Utilité!AH59/2_Utilité!AO59,0)</f>
        <v>0</v>
      </c>
      <c r="AI59" s="0" t="n">
        <f aca="false">IF(2_Utilité!AO59&gt;0,2_Utilité!AI59/2_Utilité!AO59,0)</f>
        <v>0</v>
      </c>
      <c r="AJ59" s="0" t="n">
        <f aca="false">IF(2_Utilité!AO59&gt;0,2_Utilité!AJ59/2_Utilité!AO59,0)</f>
        <v>0</v>
      </c>
      <c r="AK59" s="0" t="n">
        <f aca="false">IF(2_Utilité!AO59&gt;0,2_Utilité!AK59/2_Utilité!AO59,0)</f>
        <v>0</v>
      </c>
      <c r="AL59" s="0" t="n">
        <f aca="false">IF(2_Utilité!AO59&gt;0,2_Utilité!AL59/2_Utilité!AO59,0)</f>
        <v>0</v>
      </c>
      <c r="AM59" s="49" t="n">
        <f aca="false">IF(2_Utilité!AO59&gt;0,2_Utilité!AM59/2_Utilité!AO59,0)</f>
        <v>0</v>
      </c>
      <c r="AN59" s="43" t="n">
        <f aca="false">IF(2_Utilité!AO59&gt;0,2_Utilité!AN59/2_Utilité!AO59,0)</f>
        <v>0</v>
      </c>
      <c r="AO59" s="43" t="n">
        <f aca="false">SUM(C59:AN59)</f>
        <v>0</v>
      </c>
      <c r="AP59" s="43" t="n">
        <f aca="false">COUNTIF(Matrice_OD!$C59:$AN59,"&lt;="&amp;Param!$B$2)</f>
        <v>0</v>
      </c>
    </row>
    <row r="60" customFormat="false" ht="15" hidden="false" customHeight="true" outlineLevel="0" collapsed="false">
      <c r="A60" s="0" t="s">
        <v>218</v>
      </c>
      <c r="B60" s="0" t="s">
        <v>219</v>
      </c>
      <c r="C60" s="0" t="n">
        <f aca="false">IF(2_Utilité!AO60&gt;0,2_Utilité!C60/2_Utilité!AO60,0)</f>
        <v>0</v>
      </c>
      <c r="D60" s="0" t="n">
        <f aca="false">IF(2_Utilité!AO60&gt;0,2_Utilité!D60/2_Utilité!AO60,0)</f>
        <v>0.0117030821252494</v>
      </c>
      <c r="E60" s="0" t="n">
        <f aca="false">IF(2_Utilité!AO60&gt;0,2_Utilité!E60/2_Utilité!AO60,0)</f>
        <v>0.133037392820167</v>
      </c>
      <c r="F60" s="0" t="n">
        <f aca="false">IF(2_Utilité!AO60&gt;0,2_Utilité!F60/2_Utilité!AO60,0)</f>
        <v>0.0263218806135938</v>
      </c>
      <c r="G60" s="0" t="n">
        <f aca="false">IF(2_Utilité!AO60&gt;0,2_Utilité!G60/2_Utilité!AO60,0)</f>
        <v>0.077161324924508</v>
      </c>
      <c r="H60" s="0" t="n">
        <f aca="false">IF(2_Utilité!AO60&gt;0,2_Utilité!H60/2_Utilité!AO60,0)</f>
        <v>0.0184778949549276</v>
      </c>
      <c r="I60" s="0" t="n">
        <f aca="false">IF(2_Utilité!AO60&gt;0,2_Utilité!I60/2_Utilité!AO60,0)</f>
        <v>0.0468412307390071</v>
      </c>
      <c r="J60" s="0" t="n">
        <f aca="false">IF(2_Utilité!AO60&gt;0,2_Utilité!J60/2_Utilité!AO60,0)</f>
        <v>0.0354653467545187</v>
      </c>
      <c r="K60" s="0" t="n">
        <f aca="false">IF(2_Utilité!AO60&gt;0,2_Utilité!K60/2_Utilité!AO60,0)</f>
        <v>0.0209666081378904</v>
      </c>
      <c r="L60" s="0" t="n">
        <f aca="false">IF(2_Utilité!AO60&gt;0,2_Utilité!L60/2_Utilité!AO60,0)</f>
        <v>0.0246178910346017</v>
      </c>
      <c r="M60" s="0" t="n">
        <f aca="false">IF(2_Utilité!AO60&gt;0,2_Utilité!M60/2_Utilité!AO60,0)</f>
        <v>0.109695579945798</v>
      </c>
      <c r="N60" s="0" t="n">
        <f aca="false">IF(2_Utilité!AO60&gt;0,2_Utilité!N60/2_Utilité!AO60,0)</f>
        <v>0.0151194364698868</v>
      </c>
      <c r="O60" s="0" t="n">
        <f aca="false">IF(2_Utilité!AO60&gt;0,2_Utilité!O60/2_Utilité!AO60,0)</f>
        <v>0.0573082551627355</v>
      </c>
      <c r="P60" s="0" t="n">
        <f aca="false">IF(2_Utilité!AO60&gt;0,2_Utilité!P60/2_Utilité!AO60,0)</f>
        <v>0.0267517691051079</v>
      </c>
      <c r="Q60" s="0" t="n">
        <f aca="false">IF(2_Utilité!AO60&gt;0,2_Utilité!Q60/2_Utilité!AO60,0)</f>
        <v>0.253324065939566</v>
      </c>
      <c r="R60" s="0" t="n">
        <f aca="false">IF(2_Utilité!AO60&gt;0,2_Utilité!R60/2_Utilité!AO60,0)</f>
        <v>0.0307659267293113</v>
      </c>
      <c r="S60" s="0" t="n">
        <f aca="false">IF(2_Utilité!AO60&gt;0,2_Utilité!S60/2_Utilité!AO60,0)</f>
        <v>0.0254694540161022</v>
      </c>
      <c r="T60" s="0" t="n">
        <f aca="false">IF(2_Utilité!AO60&gt;0,2_Utilité!T60/2_Utilité!AO60,0)</f>
        <v>0</v>
      </c>
      <c r="U60" s="0" t="n">
        <f aca="false">IF(2_Utilité!AO60&gt;0,2_Utilité!U60/2_Utilité!AO60,0)</f>
        <v>0</v>
      </c>
      <c r="V60" s="0" t="n">
        <f aca="false">IF(2_Utilité!AO60&gt;0,2_Utilité!V60/2_Utilité!AO60,0)</f>
        <v>0</v>
      </c>
      <c r="W60" s="0" t="n">
        <f aca="false">IF(2_Utilité!AO60&gt;0,2_Utilité!W60/2_Utilité!AO60,0)</f>
        <v>0</v>
      </c>
      <c r="X60" s="0" t="n">
        <f aca="false">IF(2_Utilité!AO60&gt;0,2_Utilité!X60/2_Utilité!AO60,0)</f>
        <v>0</v>
      </c>
      <c r="Y60" s="0" t="n">
        <f aca="false">IF(2_Utilité!AO60&gt;0,2_Utilité!Y60/2_Utilité!AO60,0)</f>
        <v>0</v>
      </c>
      <c r="Z60" s="0" t="n">
        <f aca="false">IF(2_Utilité!AO60&gt;0,2_Utilité!Z60/2_Utilité!AO60,0)</f>
        <v>0</v>
      </c>
      <c r="AA60" s="0" t="n">
        <f aca="false">IF(2_Utilité!AO60&gt;0,2_Utilité!AA60/2_Utilité!AO60,0)</f>
        <v>0</v>
      </c>
      <c r="AB60" s="0" t="n">
        <f aca="false">IF(2_Utilité!AO60&gt;0,2_Utilité!AB60/2_Utilité!AO60,0)</f>
        <v>0</v>
      </c>
      <c r="AC60" s="0" t="n">
        <f aca="false">IF(2_Utilité!AO60&gt;0,2_Utilité!AC60/2_Utilité!AO60,0)</f>
        <v>0</v>
      </c>
      <c r="AD60" s="0" t="n">
        <f aca="false">IF(2_Utilité!AO60&gt;0,2_Utilité!AD60/2_Utilité!AO60,0)</f>
        <v>0</v>
      </c>
      <c r="AE60" s="0" t="n">
        <f aca="false">IF(2_Utilité!AO60&gt;0,2_Utilité!AE60/2_Utilité!AO60,0)</f>
        <v>0</v>
      </c>
      <c r="AF60" s="0" t="n">
        <f aca="false">IF(2_Utilité!AO60&gt;0,2_Utilité!AF60/2_Utilité!AO60,0)</f>
        <v>0</v>
      </c>
      <c r="AG60" s="0" t="n">
        <f aca="false">IF(2_Utilité!AO60&gt;0,2_Utilité!AG60/2_Utilité!AO60,0)</f>
        <v>0</v>
      </c>
      <c r="AH60" s="0" t="n">
        <f aca="false">IF(2_Utilité!AO60&gt;0,2_Utilité!AH60/2_Utilité!AO60,0)</f>
        <v>0.0869728605270285</v>
      </c>
      <c r="AI60" s="0" t="n">
        <f aca="false">IF(2_Utilité!AO60&gt;0,2_Utilité!AI60/2_Utilité!AO60,0)</f>
        <v>0</v>
      </c>
      <c r="AJ60" s="0" t="n">
        <f aca="false">IF(2_Utilité!AO60&gt;0,2_Utilité!AJ60/2_Utilité!AO60,0)</f>
        <v>0</v>
      </c>
      <c r="AK60" s="0" t="n">
        <f aca="false">IF(2_Utilité!AO60&gt;0,2_Utilité!AK60/2_Utilité!AO60,0)</f>
        <v>0</v>
      </c>
      <c r="AL60" s="0" t="n">
        <f aca="false">IF(2_Utilité!AO60&gt;0,2_Utilité!AL60/2_Utilité!AO60,0)</f>
        <v>0</v>
      </c>
      <c r="AM60" s="48" t="n">
        <f aca="false">IF(2_Utilité!AO60&gt;0,2_Utilité!AM60/2_Utilité!AO60,0)</f>
        <v>0</v>
      </c>
      <c r="AN60" s="43" t="n">
        <f aca="false">IF(2_Utilité!AO60&gt;0,2_Utilité!AN60/2_Utilité!AO60,0)</f>
        <v>0</v>
      </c>
      <c r="AO60" s="43" t="n">
        <f aca="false">SUM(C60:AN60)</f>
        <v>1</v>
      </c>
      <c r="AP60" s="43" t="n">
        <f aca="false">COUNTIF(Matrice_OD!$C60:$AN60,"&lt;="&amp;Param!$B$2)</f>
        <v>17</v>
      </c>
    </row>
    <row r="61" customFormat="false" ht="15" hidden="false" customHeight="true" outlineLevel="0" collapsed="false">
      <c r="A61" s="0" t="s">
        <v>220</v>
      </c>
      <c r="B61" s="0" t="s">
        <v>221</v>
      </c>
      <c r="C61" s="0" t="n">
        <f aca="false">IF(2_Utilité!AO61&gt;0,2_Utilité!C61/2_Utilité!AO61,0)</f>
        <v>0</v>
      </c>
      <c r="D61" s="0" t="n">
        <f aca="false">IF(2_Utilité!AO61&gt;0,2_Utilité!D61/2_Utilité!AO61,0)</f>
        <v>0</v>
      </c>
      <c r="E61" s="0" t="n">
        <f aca="false">IF(2_Utilité!AO61&gt;0,2_Utilité!E61/2_Utilité!AO61,0)</f>
        <v>0</v>
      </c>
      <c r="F61" s="0" t="n">
        <f aca="false">IF(2_Utilité!AO61&gt;0,2_Utilité!F61/2_Utilité!AO61,0)</f>
        <v>0</v>
      </c>
      <c r="G61" s="0" t="n">
        <f aca="false">IF(2_Utilité!AO61&gt;0,2_Utilité!G61/2_Utilité!AO61,0)</f>
        <v>0</v>
      </c>
      <c r="H61" s="0" t="n">
        <f aca="false">IF(2_Utilité!AO61&gt;0,2_Utilité!H61/2_Utilité!AO61,0)</f>
        <v>0</v>
      </c>
      <c r="I61" s="0" t="n">
        <f aca="false">IF(2_Utilité!AO61&gt;0,2_Utilité!I61/2_Utilité!AO61,0)</f>
        <v>0</v>
      </c>
      <c r="J61" s="0" t="n">
        <f aca="false">IF(2_Utilité!AO61&gt;0,2_Utilité!J61/2_Utilité!AO61,0)</f>
        <v>0</v>
      </c>
      <c r="K61" s="0" t="n">
        <f aca="false">IF(2_Utilité!AO61&gt;0,2_Utilité!K61/2_Utilité!AO61,0)</f>
        <v>0</v>
      </c>
      <c r="L61" s="0" t="n">
        <f aca="false">IF(2_Utilité!AO61&gt;0,2_Utilité!L61/2_Utilité!AO61,0)</f>
        <v>0</v>
      </c>
      <c r="M61" s="0" t="n">
        <f aca="false">IF(2_Utilité!AO61&gt;0,2_Utilité!M61/2_Utilité!AO61,0)</f>
        <v>0</v>
      </c>
      <c r="N61" s="0" t="n">
        <f aca="false">IF(2_Utilité!AO61&gt;0,2_Utilité!N61/2_Utilité!AO61,0)</f>
        <v>0</v>
      </c>
      <c r="O61" s="0" t="n">
        <f aca="false">IF(2_Utilité!AO61&gt;0,2_Utilité!O61/2_Utilité!AO61,0)</f>
        <v>0</v>
      </c>
      <c r="P61" s="0" t="n">
        <f aca="false">IF(2_Utilité!AO61&gt;0,2_Utilité!P61/2_Utilité!AO61,0)</f>
        <v>0</v>
      </c>
      <c r="Q61" s="0" t="n">
        <f aca="false">IF(2_Utilité!AO61&gt;0,2_Utilité!Q61/2_Utilité!AO61,0)</f>
        <v>0</v>
      </c>
      <c r="R61" s="0" t="n">
        <f aca="false">IF(2_Utilité!AO61&gt;0,2_Utilité!R61/2_Utilité!AO61,0)</f>
        <v>0</v>
      </c>
      <c r="S61" s="0" t="n">
        <f aca="false">IF(2_Utilité!AO61&gt;0,2_Utilité!S61/2_Utilité!AO61,0)</f>
        <v>0</v>
      </c>
      <c r="T61" s="0" t="n">
        <f aca="false">IF(2_Utilité!AO61&gt;0,2_Utilité!T61/2_Utilité!AO61,0)</f>
        <v>0</v>
      </c>
      <c r="U61" s="0" t="n">
        <f aca="false">IF(2_Utilité!AO61&gt;0,2_Utilité!U61/2_Utilité!AO61,0)</f>
        <v>0</v>
      </c>
      <c r="V61" s="0" t="n">
        <f aca="false">IF(2_Utilité!AO61&gt;0,2_Utilité!V61/2_Utilité!AO61,0)</f>
        <v>0</v>
      </c>
      <c r="W61" s="0" t="n">
        <f aca="false">IF(2_Utilité!AO61&gt;0,2_Utilité!W61/2_Utilité!AO61,0)</f>
        <v>0</v>
      </c>
      <c r="X61" s="0" t="n">
        <f aca="false">IF(2_Utilité!AO61&gt;0,2_Utilité!X61/2_Utilité!AO61,0)</f>
        <v>0</v>
      </c>
      <c r="Y61" s="0" t="n">
        <f aca="false">IF(2_Utilité!AO61&gt;0,2_Utilité!Y61/2_Utilité!AO61,0)</f>
        <v>0</v>
      </c>
      <c r="Z61" s="0" t="n">
        <f aca="false">IF(2_Utilité!AO61&gt;0,2_Utilité!Z61/2_Utilité!AO61,0)</f>
        <v>0</v>
      </c>
      <c r="AA61" s="0" t="n">
        <f aca="false">IF(2_Utilité!AO61&gt;0,2_Utilité!AA61/2_Utilité!AO61,0)</f>
        <v>0</v>
      </c>
      <c r="AB61" s="0" t="n">
        <f aca="false">IF(2_Utilité!AO61&gt;0,2_Utilité!AB61/2_Utilité!AO61,0)</f>
        <v>0</v>
      </c>
      <c r="AC61" s="0" t="n">
        <f aca="false">IF(2_Utilité!AO61&gt;0,2_Utilité!AC61/2_Utilité!AO61,0)</f>
        <v>0</v>
      </c>
      <c r="AD61" s="0" t="n">
        <f aca="false">IF(2_Utilité!AO61&gt;0,2_Utilité!AD61/2_Utilité!AO61,0)</f>
        <v>0</v>
      </c>
      <c r="AE61" s="0" t="n">
        <f aca="false">IF(2_Utilité!AO61&gt;0,2_Utilité!AE61/2_Utilité!AO61,0)</f>
        <v>0</v>
      </c>
      <c r="AF61" s="0" t="n">
        <f aca="false">IF(2_Utilité!AO61&gt;0,2_Utilité!AF61/2_Utilité!AO61,0)</f>
        <v>0</v>
      </c>
      <c r="AG61" s="0" t="n">
        <f aca="false">IF(2_Utilité!AO61&gt;0,2_Utilité!AG61/2_Utilité!AO61,0)</f>
        <v>0</v>
      </c>
      <c r="AH61" s="0" t="n">
        <f aca="false">IF(2_Utilité!AO61&gt;0,2_Utilité!AH61/2_Utilité!AO61,0)</f>
        <v>0</v>
      </c>
      <c r="AI61" s="0" t="n">
        <f aca="false">IF(2_Utilité!AO61&gt;0,2_Utilité!AI61/2_Utilité!AO61,0)</f>
        <v>0</v>
      </c>
      <c r="AJ61" s="0" t="n">
        <f aca="false">IF(2_Utilité!AO61&gt;0,2_Utilité!AJ61/2_Utilité!AO61,0)</f>
        <v>0</v>
      </c>
      <c r="AK61" s="0" t="n">
        <f aca="false">IF(2_Utilité!AO61&gt;0,2_Utilité!AK61/2_Utilité!AO61,0)</f>
        <v>0</v>
      </c>
      <c r="AL61" s="0" t="n">
        <f aca="false">IF(2_Utilité!AO61&gt;0,2_Utilité!AL61/2_Utilité!AO61,0)</f>
        <v>0</v>
      </c>
      <c r="AM61" s="49" t="n">
        <f aca="false">IF(2_Utilité!AO61&gt;0,2_Utilité!AM61/2_Utilité!AO61,0)</f>
        <v>0</v>
      </c>
      <c r="AN61" s="43" t="n">
        <f aca="false">IF(2_Utilité!AO61&gt;0,2_Utilité!AN61/2_Utilité!AO61,0)</f>
        <v>0</v>
      </c>
      <c r="AO61" s="43" t="n">
        <f aca="false">SUM(C61:AN61)</f>
        <v>0</v>
      </c>
      <c r="AP61" s="43" t="n">
        <f aca="false">COUNTIF(Matrice_OD!$C61:$AN61,"&lt;="&amp;Param!$B$2)</f>
        <v>0</v>
      </c>
    </row>
    <row r="62" customFormat="false" ht="15" hidden="false" customHeight="true" outlineLevel="0" collapsed="false">
      <c r="A62" s="0" t="s">
        <v>222</v>
      </c>
      <c r="B62" s="0" t="s">
        <v>223</v>
      </c>
      <c r="C62" s="0" t="n">
        <f aca="false">IF(2_Utilité!AO62&gt;0,2_Utilité!C62/2_Utilité!AO62,0)</f>
        <v>0</v>
      </c>
      <c r="D62" s="0" t="n">
        <f aca="false">IF(2_Utilité!AO62&gt;0,2_Utilité!D62/2_Utilité!AO62,0)</f>
        <v>0</v>
      </c>
      <c r="E62" s="0" t="n">
        <f aca="false">IF(2_Utilité!AO62&gt;0,2_Utilité!E62/2_Utilité!AO62,0)</f>
        <v>0</v>
      </c>
      <c r="F62" s="0" t="n">
        <f aca="false">IF(2_Utilité!AO62&gt;0,2_Utilité!F62/2_Utilité!AO62,0)</f>
        <v>0</v>
      </c>
      <c r="G62" s="0" t="n">
        <f aca="false">IF(2_Utilité!AO62&gt;0,2_Utilité!G62/2_Utilité!AO62,0)</f>
        <v>0</v>
      </c>
      <c r="H62" s="0" t="n">
        <f aca="false">IF(2_Utilité!AO62&gt;0,2_Utilité!H62/2_Utilité!AO62,0)</f>
        <v>0</v>
      </c>
      <c r="I62" s="0" t="n">
        <f aca="false">IF(2_Utilité!AO62&gt;0,2_Utilité!I62/2_Utilité!AO62,0)</f>
        <v>0</v>
      </c>
      <c r="J62" s="0" t="n">
        <f aca="false">IF(2_Utilité!AO62&gt;0,2_Utilité!J62/2_Utilité!AO62,0)</f>
        <v>0</v>
      </c>
      <c r="K62" s="0" t="n">
        <f aca="false">IF(2_Utilité!AO62&gt;0,2_Utilité!K62/2_Utilité!AO62,0)</f>
        <v>0</v>
      </c>
      <c r="L62" s="0" t="n">
        <f aca="false">IF(2_Utilité!AO62&gt;0,2_Utilité!L62/2_Utilité!AO62,0)</f>
        <v>0</v>
      </c>
      <c r="M62" s="0" t="n">
        <f aca="false">IF(2_Utilité!AO62&gt;0,2_Utilité!M62/2_Utilité!AO62,0)</f>
        <v>0</v>
      </c>
      <c r="N62" s="0" t="n">
        <f aca="false">IF(2_Utilité!AO62&gt;0,2_Utilité!N62/2_Utilité!AO62,0)</f>
        <v>0</v>
      </c>
      <c r="O62" s="0" t="n">
        <f aca="false">IF(2_Utilité!AO62&gt;0,2_Utilité!O62/2_Utilité!AO62,0)</f>
        <v>0</v>
      </c>
      <c r="P62" s="0" t="n">
        <f aca="false">IF(2_Utilité!AO62&gt;0,2_Utilité!P62/2_Utilité!AO62,0)</f>
        <v>0</v>
      </c>
      <c r="Q62" s="0" t="n">
        <f aca="false">IF(2_Utilité!AO62&gt;0,2_Utilité!Q62/2_Utilité!AO62,0)</f>
        <v>0</v>
      </c>
      <c r="R62" s="0" t="n">
        <f aca="false">IF(2_Utilité!AO62&gt;0,2_Utilité!R62/2_Utilité!AO62,0)</f>
        <v>0</v>
      </c>
      <c r="S62" s="0" t="n">
        <f aca="false">IF(2_Utilité!AO62&gt;0,2_Utilité!S62/2_Utilité!AO62,0)</f>
        <v>0</v>
      </c>
      <c r="T62" s="0" t="n">
        <f aca="false">IF(2_Utilité!AO62&gt;0,2_Utilité!T62/2_Utilité!AO62,0)</f>
        <v>0</v>
      </c>
      <c r="U62" s="0" t="n">
        <f aca="false">IF(2_Utilité!AO62&gt;0,2_Utilité!U62/2_Utilité!AO62,0)</f>
        <v>0</v>
      </c>
      <c r="V62" s="0" t="n">
        <f aca="false">IF(2_Utilité!AO62&gt;0,2_Utilité!V62/2_Utilité!AO62,0)</f>
        <v>0</v>
      </c>
      <c r="W62" s="0" t="n">
        <f aca="false">IF(2_Utilité!AO62&gt;0,2_Utilité!W62/2_Utilité!AO62,0)</f>
        <v>0</v>
      </c>
      <c r="X62" s="0" t="n">
        <f aca="false">IF(2_Utilité!AO62&gt;0,2_Utilité!X62/2_Utilité!AO62,0)</f>
        <v>0</v>
      </c>
      <c r="Y62" s="0" t="n">
        <f aca="false">IF(2_Utilité!AO62&gt;0,2_Utilité!Y62/2_Utilité!AO62,0)</f>
        <v>0</v>
      </c>
      <c r="Z62" s="0" t="n">
        <f aca="false">IF(2_Utilité!AO62&gt;0,2_Utilité!Z62/2_Utilité!AO62,0)</f>
        <v>0</v>
      </c>
      <c r="AA62" s="0" t="n">
        <f aca="false">IF(2_Utilité!AO62&gt;0,2_Utilité!AA62/2_Utilité!AO62,0)</f>
        <v>0</v>
      </c>
      <c r="AB62" s="0" t="n">
        <f aca="false">IF(2_Utilité!AO62&gt;0,2_Utilité!AB62/2_Utilité!AO62,0)</f>
        <v>0</v>
      </c>
      <c r="AC62" s="0" t="n">
        <f aca="false">IF(2_Utilité!AO62&gt;0,2_Utilité!AC62/2_Utilité!AO62,0)</f>
        <v>0</v>
      </c>
      <c r="AD62" s="0" t="n">
        <f aca="false">IF(2_Utilité!AO62&gt;0,2_Utilité!AD62/2_Utilité!AO62,0)</f>
        <v>0</v>
      </c>
      <c r="AE62" s="0" t="n">
        <f aca="false">IF(2_Utilité!AO62&gt;0,2_Utilité!AE62/2_Utilité!AO62,0)</f>
        <v>0</v>
      </c>
      <c r="AF62" s="0" t="n">
        <f aca="false">IF(2_Utilité!AO62&gt;0,2_Utilité!AF62/2_Utilité!AO62,0)</f>
        <v>0</v>
      </c>
      <c r="AG62" s="0" t="n">
        <f aca="false">IF(2_Utilité!AO62&gt;0,2_Utilité!AG62/2_Utilité!AO62,0)</f>
        <v>0</v>
      </c>
      <c r="AH62" s="0" t="n">
        <f aca="false">IF(2_Utilité!AO62&gt;0,2_Utilité!AH62/2_Utilité!AO62,0)</f>
        <v>0</v>
      </c>
      <c r="AI62" s="0" t="n">
        <f aca="false">IF(2_Utilité!AO62&gt;0,2_Utilité!AI62/2_Utilité!AO62,0)</f>
        <v>0</v>
      </c>
      <c r="AJ62" s="0" t="n">
        <f aca="false">IF(2_Utilité!AO62&gt;0,2_Utilité!AJ62/2_Utilité!AO62,0)</f>
        <v>0</v>
      </c>
      <c r="AK62" s="0" t="n">
        <f aca="false">IF(2_Utilité!AO62&gt;0,2_Utilité!AK62/2_Utilité!AO62,0)</f>
        <v>0</v>
      </c>
      <c r="AL62" s="0" t="n">
        <f aca="false">IF(2_Utilité!AO62&gt;0,2_Utilité!AL62/2_Utilité!AO62,0)</f>
        <v>0</v>
      </c>
      <c r="AM62" s="48" t="n">
        <f aca="false">IF(2_Utilité!AO62&gt;0,2_Utilité!AM62/2_Utilité!AO62,0)</f>
        <v>0</v>
      </c>
      <c r="AN62" s="43" t="n">
        <f aca="false">IF(2_Utilité!AO62&gt;0,2_Utilité!AN62/2_Utilité!AO62,0)</f>
        <v>0</v>
      </c>
      <c r="AO62" s="43" t="n">
        <f aca="false">SUM(C62:AN62)</f>
        <v>0</v>
      </c>
      <c r="AP62" s="43" t="n">
        <f aca="false">COUNTIF(Matrice_OD!$C62:$AN62,"&lt;="&amp;Param!$B$2)</f>
        <v>0</v>
      </c>
    </row>
    <row r="63" customFormat="false" ht="15" hidden="false" customHeight="true" outlineLevel="0" collapsed="false">
      <c r="A63" s="0" t="s">
        <v>224</v>
      </c>
      <c r="B63" s="0" t="s">
        <v>225</v>
      </c>
      <c r="C63" s="0" t="n">
        <f aca="false">IF(2_Utilité!AO63&gt;0,2_Utilité!C63/2_Utilité!AO63,0)</f>
        <v>0</v>
      </c>
      <c r="D63" s="0" t="n">
        <f aca="false">IF(2_Utilité!AO63&gt;0,2_Utilité!D63/2_Utilité!AO63,0)</f>
        <v>0</v>
      </c>
      <c r="E63" s="0" t="n">
        <f aca="false">IF(2_Utilité!AO63&gt;0,2_Utilité!E63/2_Utilité!AO63,0)</f>
        <v>0</v>
      </c>
      <c r="F63" s="0" t="n">
        <f aca="false">IF(2_Utilité!AO63&gt;0,2_Utilité!F63/2_Utilité!AO63,0)</f>
        <v>0</v>
      </c>
      <c r="G63" s="0" t="n">
        <f aca="false">IF(2_Utilité!AO63&gt;0,2_Utilité!G63/2_Utilité!AO63,0)</f>
        <v>0</v>
      </c>
      <c r="H63" s="0" t="n">
        <f aca="false">IF(2_Utilité!AO63&gt;0,2_Utilité!H63/2_Utilité!AO63,0)</f>
        <v>0</v>
      </c>
      <c r="I63" s="0" t="n">
        <f aca="false">IF(2_Utilité!AO63&gt;0,2_Utilité!I63/2_Utilité!AO63,0)</f>
        <v>0</v>
      </c>
      <c r="J63" s="0" t="n">
        <f aca="false">IF(2_Utilité!AO63&gt;0,2_Utilité!J63/2_Utilité!AO63,0)</f>
        <v>0</v>
      </c>
      <c r="K63" s="0" t="n">
        <f aca="false">IF(2_Utilité!AO63&gt;0,2_Utilité!K63/2_Utilité!AO63,0)</f>
        <v>0</v>
      </c>
      <c r="L63" s="0" t="n">
        <f aca="false">IF(2_Utilité!AO63&gt;0,2_Utilité!L63/2_Utilité!AO63,0)</f>
        <v>0</v>
      </c>
      <c r="M63" s="0" t="n">
        <f aca="false">IF(2_Utilité!AO63&gt;0,2_Utilité!M63/2_Utilité!AO63,0)</f>
        <v>0</v>
      </c>
      <c r="N63" s="0" t="n">
        <f aca="false">IF(2_Utilité!AO63&gt;0,2_Utilité!N63/2_Utilité!AO63,0)</f>
        <v>0</v>
      </c>
      <c r="O63" s="0" t="n">
        <f aca="false">IF(2_Utilité!AO63&gt;0,2_Utilité!O63/2_Utilité!AO63,0)</f>
        <v>0</v>
      </c>
      <c r="P63" s="0" t="n">
        <f aca="false">IF(2_Utilité!AO63&gt;0,2_Utilité!P63/2_Utilité!AO63,0)</f>
        <v>0</v>
      </c>
      <c r="Q63" s="0" t="n">
        <f aca="false">IF(2_Utilité!AO63&gt;0,2_Utilité!Q63/2_Utilité!AO63,0)</f>
        <v>0</v>
      </c>
      <c r="R63" s="0" t="n">
        <f aca="false">IF(2_Utilité!AO63&gt;0,2_Utilité!R63/2_Utilité!AO63,0)</f>
        <v>0</v>
      </c>
      <c r="S63" s="0" t="n">
        <f aca="false">IF(2_Utilité!AO63&gt;0,2_Utilité!S63/2_Utilité!AO63,0)</f>
        <v>0</v>
      </c>
      <c r="T63" s="0" t="n">
        <f aca="false">IF(2_Utilité!AO63&gt;0,2_Utilité!T63/2_Utilité!AO63,0)</f>
        <v>0</v>
      </c>
      <c r="U63" s="0" t="n">
        <f aca="false">IF(2_Utilité!AO63&gt;0,2_Utilité!U63/2_Utilité!AO63,0)</f>
        <v>0</v>
      </c>
      <c r="V63" s="0" t="n">
        <f aca="false">IF(2_Utilité!AO63&gt;0,2_Utilité!V63/2_Utilité!AO63,0)</f>
        <v>0</v>
      </c>
      <c r="W63" s="0" t="n">
        <f aca="false">IF(2_Utilité!AO63&gt;0,2_Utilité!W63/2_Utilité!AO63,0)</f>
        <v>0</v>
      </c>
      <c r="X63" s="0" t="n">
        <f aca="false">IF(2_Utilité!AO63&gt;0,2_Utilité!X63/2_Utilité!AO63,0)</f>
        <v>0</v>
      </c>
      <c r="Y63" s="0" t="n">
        <f aca="false">IF(2_Utilité!AO63&gt;0,2_Utilité!Y63/2_Utilité!AO63,0)</f>
        <v>0</v>
      </c>
      <c r="Z63" s="0" t="n">
        <f aca="false">IF(2_Utilité!AO63&gt;0,2_Utilité!Z63/2_Utilité!AO63,0)</f>
        <v>0</v>
      </c>
      <c r="AA63" s="0" t="n">
        <f aca="false">IF(2_Utilité!AO63&gt;0,2_Utilité!AA63/2_Utilité!AO63,0)</f>
        <v>0</v>
      </c>
      <c r="AB63" s="0" t="n">
        <f aca="false">IF(2_Utilité!AO63&gt;0,2_Utilité!AB63/2_Utilité!AO63,0)</f>
        <v>0</v>
      </c>
      <c r="AC63" s="0" t="n">
        <f aca="false">IF(2_Utilité!AO63&gt;0,2_Utilité!AC63/2_Utilité!AO63,0)</f>
        <v>0</v>
      </c>
      <c r="AD63" s="0" t="n">
        <f aca="false">IF(2_Utilité!AO63&gt;0,2_Utilité!AD63/2_Utilité!AO63,0)</f>
        <v>0</v>
      </c>
      <c r="AE63" s="0" t="n">
        <f aca="false">IF(2_Utilité!AO63&gt;0,2_Utilité!AE63/2_Utilité!AO63,0)</f>
        <v>0</v>
      </c>
      <c r="AF63" s="0" t="n">
        <f aca="false">IF(2_Utilité!AO63&gt;0,2_Utilité!AF63/2_Utilité!AO63,0)</f>
        <v>0</v>
      </c>
      <c r="AG63" s="0" t="n">
        <f aca="false">IF(2_Utilité!AO63&gt;0,2_Utilité!AG63/2_Utilité!AO63,0)</f>
        <v>0</v>
      </c>
      <c r="AH63" s="0" t="n">
        <f aca="false">IF(2_Utilité!AO63&gt;0,2_Utilité!AH63/2_Utilité!AO63,0)</f>
        <v>0</v>
      </c>
      <c r="AI63" s="0" t="n">
        <f aca="false">IF(2_Utilité!AO63&gt;0,2_Utilité!AI63/2_Utilité!AO63,0)</f>
        <v>0</v>
      </c>
      <c r="AJ63" s="0" t="n">
        <f aca="false">IF(2_Utilité!AO63&gt;0,2_Utilité!AJ63/2_Utilité!AO63,0)</f>
        <v>0</v>
      </c>
      <c r="AK63" s="0" t="n">
        <f aca="false">IF(2_Utilité!AO63&gt;0,2_Utilité!AK63/2_Utilité!AO63,0)</f>
        <v>0</v>
      </c>
      <c r="AL63" s="0" t="n">
        <f aca="false">IF(2_Utilité!AO63&gt;0,2_Utilité!AL63/2_Utilité!AO63,0)</f>
        <v>0</v>
      </c>
      <c r="AM63" s="49" t="n">
        <f aca="false">IF(2_Utilité!AO63&gt;0,2_Utilité!AM63/2_Utilité!AO63,0)</f>
        <v>0</v>
      </c>
      <c r="AN63" s="43" t="n">
        <f aca="false">IF(2_Utilité!AO63&gt;0,2_Utilité!AN63/2_Utilité!AO63,0)</f>
        <v>0</v>
      </c>
      <c r="AO63" s="43" t="n">
        <f aca="false">SUM(C63:AN63)</f>
        <v>0</v>
      </c>
      <c r="AP63" s="43" t="n">
        <f aca="false">COUNTIF(Matrice_OD!$C63:$AN63,"&lt;="&amp;Param!$B$2)</f>
        <v>0</v>
      </c>
    </row>
    <row r="64" customFormat="false" ht="15" hidden="false" customHeight="true" outlineLevel="0" collapsed="false">
      <c r="A64" s="0" t="s">
        <v>226</v>
      </c>
      <c r="B64" s="0" t="s">
        <v>227</v>
      </c>
      <c r="C64" s="0" t="n">
        <f aca="false">IF(2_Utilité!AO64&gt;0,2_Utilité!C64/2_Utilité!AO64,0)</f>
        <v>0.02517654519788</v>
      </c>
      <c r="D64" s="0" t="n">
        <f aca="false">IF(2_Utilité!AO64&gt;0,2_Utilité!D64/2_Utilité!AO64,0)</f>
        <v>0.0150860926050653</v>
      </c>
      <c r="E64" s="0" t="n">
        <f aca="false">IF(2_Utilité!AO64&gt;0,2_Utilité!E64/2_Utilité!AO64,0)</f>
        <v>0.15848192877566</v>
      </c>
      <c r="F64" s="0" t="n">
        <f aca="false">IF(2_Utilité!AO64&gt;0,2_Utilité!F64/2_Utilité!AO64,0)</f>
        <v>0.0284416468902023</v>
      </c>
      <c r="G64" s="0" t="n">
        <f aca="false">IF(2_Utilité!AO64&gt;0,2_Utilité!G64/2_Utilité!AO64,0)</f>
        <v>0.0795006422785269</v>
      </c>
      <c r="H64" s="0" t="n">
        <f aca="false">IF(2_Utilité!AO64&gt;0,2_Utilité!H64/2_Utilité!AO64,0)</f>
        <v>0.017704182373311</v>
      </c>
      <c r="I64" s="0" t="n">
        <f aca="false">IF(2_Utilité!AO64&gt;0,2_Utilité!I64/2_Utilité!AO64,0)</f>
        <v>0.0406559416122885</v>
      </c>
      <c r="J64" s="0" t="n">
        <f aca="false">IF(2_Utilité!AO64&gt;0,2_Utilité!J64/2_Utilité!AO64,0)</f>
        <v>0.0321441310498484</v>
      </c>
      <c r="K64" s="0" t="n">
        <f aca="false">IF(2_Utilité!AO64&gt;0,2_Utilité!K64/2_Utilité!AO64,0)</f>
        <v>0.0199369284633239</v>
      </c>
      <c r="L64" s="0" t="n">
        <f aca="false">IF(2_Utilité!AO64&gt;0,2_Utilité!L64/2_Utilité!AO64,0)</f>
        <v>0.0198833873906855</v>
      </c>
      <c r="M64" s="0" t="n">
        <f aca="false">IF(2_Utilité!AO64&gt;0,2_Utilité!M64/2_Utilité!AO64,0)</f>
        <v>0.105922407364814</v>
      </c>
      <c r="N64" s="0" t="n">
        <f aca="false">IF(2_Utilité!AO64&gt;0,2_Utilité!N64/2_Utilité!AO64,0)</f>
        <v>0.0143963867045844</v>
      </c>
      <c r="O64" s="0" t="n">
        <f aca="false">IF(2_Utilité!AO64&gt;0,2_Utilité!O64/2_Utilité!AO64,0)</f>
        <v>0.0456999918133429</v>
      </c>
      <c r="P64" s="0" t="n">
        <f aca="false">IF(2_Utilité!AO64&gt;0,2_Utilité!P64/2_Utilité!AO64,0)</f>
        <v>0.0221194617559659</v>
      </c>
      <c r="Q64" s="0" t="n">
        <f aca="false">IF(2_Utilité!AO64&gt;0,2_Utilité!Q64/2_Utilité!AO64,0)</f>
        <v>0.192588050498713</v>
      </c>
      <c r="R64" s="0" t="n">
        <f aca="false">IF(2_Utilité!AO64&gt;0,2_Utilité!R64/2_Utilité!AO64,0)</f>
        <v>0.0255470111930761</v>
      </c>
      <c r="S64" s="0" t="n">
        <f aca="false">IF(2_Utilité!AO64&gt;0,2_Utilité!S64/2_Utilité!AO64,0)</f>
        <v>0.0189484766082695</v>
      </c>
      <c r="T64" s="0" t="n">
        <f aca="false">IF(2_Utilité!AO64&gt;0,2_Utilité!T64/2_Utilité!AO64,0)</f>
        <v>0.00658829142363683</v>
      </c>
      <c r="U64" s="0" t="n">
        <f aca="false">IF(2_Utilité!AO64&gt;0,2_Utilité!U64/2_Utilité!AO64,0)</f>
        <v>0.00137408101578641</v>
      </c>
      <c r="V64" s="0" t="n">
        <f aca="false">IF(2_Utilité!AO64&gt;0,2_Utilité!V64/2_Utilité!AO64,0)</f>
        <v>0</v>
      </c>
      <c r="W64" s="0" t="n">
        <f aca="false">IF(2_Utilité!AO64&gt;0,2_Utilité!W64/2_Utilité!AO64,0)</f>
        <v>0</v>
      </c>
      <c r="X64" s="0" t="n">
        <f aca="false">IF(2_Utilité!AO64&gt;0,2_Utilité!X64/2_Utilité!AO64,0)</f>
        <v>0</v>
      </c>
      <c r="Y64" s="0" t="n">
        <f aca="false">IF(2_Utilité!AO64&gt;0,2_Utilité!Y64/2_Utilité!AO64,0)</f>
        <v>0</v>
      </c>
      <c r="Z64" s="0" t="n">
        <f aca="false">IF(2_Utilité!AO64&gt;0,2_Utilité!Z64/2_Utilité!AO64,0)</f>
        <v>0</v>
      </c>
      <c r="AA64" s="0" t="n">
        <f aca="false">IF(2_Utilité!AO64&gt;0,2_Utilité!AA64/2_Utilité!AO64,0)</f>
        <v>0</v>
      </c>
      <c r="AB64" s="0" t="n">
        <f aca="false">IF(2_Utilité!AO64&gt;0,2_Utilité!AB64/2_Utilité!AO64,0)</f>
        <v>0</v>
      </c>
      <c r="AC64" s="0" t="n">
        <f aca="false">IF(2_Utilité!AO64&gt;0,2_Utilité!AC64/2_Utilité!AO64,0)</f>
        <v>0</v>
      </c>
      <c r="AD64" s="0" t="n">
        <f aca="false">IF(2_Utilité!AO64&gt;0,2_Utilité!AD64/2_Utilité!AO64,0)</f>
        <v>0</v>
      </c>
      <c r="AE64" s="0" t="n">
        <f aca="false">IF(2_Utilité!AO64&gt;0,2_Utilité!AE64/2_Utilité!AO64,0)</f>
        <v>0</v>
      </c>
      <c r="AF64" s="0" t="n">
        <f aca="false">IF(2_Utilité!AO64&gt;0,2_Utilité!AF64/2_Utilité!AO64,0)</f>
        <v>0</v>
      </c>
      <c r="AG64" s="0" t="n">
        <f aca="false">IF(2_Utilité!AO64&gt;0,2_Utilité!AG64/2_Utilité!AO64,0)</f>
        <v>0.0065541660387806</v>
      </c>
      <c r="AH64" s="0" t="n">
        <f aca="false">IF(2_Utilité!AO64&gt;0,2_Utilité!AH64/2_Utilité!AO64,0)</f>
        <v>0.0605270600223275</v>
      </c>
      <c r="AI64" s="0" t="n">
        <f aca="false">IF(2_Utilité!AO64&gt;0,2_Utilité!AI64/2_Utilité!AO64,0)</f>
        <v>0.00327160871100033</v>
      </c>
      <c r="AJ64" s="0" t="n">
        <f aca="false">IF(2_Utilité!AO64&gt;0,2_Utilité!AJ64/2_Utilité!AO64,0)</f>
        <v>0</v>
      </c>
      <c r="AK64" s="0" t="n">
        <f aca="false">IF(2_Utilité!AO64&gt;0,2_Utilité!AK64/2_Utilité!AO64,0)</f>
        <v>0</v>
      </c>
      <c r="AL64" s="0" t="n">
        <f aca="false">IF(2_Utilité!AO64&gt;0,2_Utilité!AL64/2_Utilité!AO64,0)</f>
        <v>0</v>
      </c>
      <c r="AM64" s="48" t="n">
        <f aca="false">IF(2_Utilité!AO64&gt;0,2_Utilité!AM64/2_Utilité!AO64,0)</f>
        <v>0.0594515802129109</v>
      </c>
      <c r="AN64" s="43" t="n">
        <f aca="false">IF(2_Utilité!AO64&gt;0,2_Utilité!AN64/2_Utilité!AO64,0)</f>
        <v>0</v>
      </c>
      <c r="AO64" s="43" t="n">
        <f aca="false">SUM(C64:AN64)</f>
        <v>1</v>
      </c>
      <c r="AP64" s="43" t="n">
        <f aca="false">COUNTIF(Matrice_OD!$C64:$AN64,"&lt;="&amp;Param!$B$2)</f>
        <v>23</v>
      </c>
    </row>
    <row r="65" customFormat="false" ht="15" hidden="false" customHeight="true" outlineLevel="0" collapsed="false">
      <c r="A65" s="0" t="s">
        <v>228</v>
      </c>
      <c r="B65" s="0" t="s">
        <v>229</v>
      </c>
      <c r="C65" s="0" t="n">
        <f aca="false">IF(2_Utilité!AO65&gt;0,2_Utilité!C65/2_Utilité!AO65,0)</f>
        <v>0.0160344974763462</v>
      </c>
      <c r="D65" s="0" t="n">
        <f aca="false">IF(2_Utilité!AO65&gt;0,2_Utilité!D65/2_Utilité!AO65,0)</f>
        <v>0.0149381690870342</v>
      </c>
      <c r="E65" s="0" t="n">
        <f aca="false">IF(2_Utilité!AO65&gt;0,2_Utilité!E65/2_Utilité!AO65,0)</f>
        <v>0.159835661616773</v>
      </c>
      <c r="F65" s="0" t="n">
        <f aca="false">IF(2_Utilité!AO65&gt;0,2_Utilité!F65/2_Utilité!AO65,0)</f>
        <v>0.0287217499867265</v>
      </c>
      <c r="G65" s="0" t="n">
        <f aca="false">IF(2_Utilité!AO65&gt;0,2_Utilité!G65/2_Utilité!AO65,0)</f>
        <v>0.0807859215413325</v>
      </c>
      <c r="H65" s="0" t="n">
        <f aca="false">IF(2_Utilité!AO65&gt;0,2_Utilité!H65/2_Utilité!AO65,0)</f>
        <v>0.0181217281932812</v>
      </c>
      <c r="I65" s="0" t="n">
        <f aca="false">IF(2_Utilité!AO65&gt;0,2_Utilité!I65/2_Utilité!AO65,0)</f>
        <v>0.0416784504368096</v>
      </c>
      <c r="J65" s="0" t="n">
        <f aca="false">IF(2_Utilité!AO65&gt;0,2_Utilité!J65/2_Utilité!AO65,0)</f>
        <v>0.0330728897809665</v>
      </c>
      <c r="K65" s="0" t="n">
        <f aca="false">IF(2_Utilité!AO65&gt;0,2_Utilité!K65/2_Utilité!AO65,0)</f>
        <v>0.0205667428916386</v>
      </c>
      <c r="L65" s="0" t="n">
        <f aca="false">IF(2_Utilité!AO65&gt;0,2_Utilité!L65/2_Utilité!AO65,0)</f>
        <v>0.0205229361608006</v>
      </c>
      <c r="M65" s="0" t="n">
        <f aca="false">IF(2_Utilité!AO65&gt;0,2_Utilité!M65/2_Utilité!AO65,0)</f>
        <v>0.109367969223036</v>
      </c>
      <c r="N65" s="0" t="n">
        <f aca="false">IF(2_Utilité!AO65&gt;0,2_Utilité!N65/2_Utilité!AO65,0)</f>
        <v>0.0149212503347413</v>
      </c>
      <c r="O65" s="0" t="n">
        <f aca="false">IF(2_Utilité!AO65&gt;0,2_Utilité!O65/2_Utilité!AO65,0)</f>
        <v>0.0473995809011715</v>
      </c>
      <c r="P65" s="0" t="n">
        <f aca="false">IF(2_Utilité!AO65&gt;0,2_Utilité!P65/2_Utilité!AO65,0)</f>
        <v>0.022960145612819</v>
      </c>
      <c r="Q65" s="0" t="n">
        <f aca="false">IF(2_Utilité!AO65&gt;0,2_Utilité!Q65/2_Utilité!AO65,0)</f>
        <v>0.200763840184779</v>
      </c>
      <c r="R65" s="0" t="n">
        <f aca="false">IF(2_Utilité!AO65&gt;0,2_Utilité!R65/2_Utilité!AO65,0)</f>
        <v>0.0266723142894792</v>
      </c>
      <c r="S65" s="0" t="n">
        <f aca="false">IF(2_Utilité!AO65&gt;0,2_Utilité!S65/2_Utilité!AO65,0)</f>
        <v>0.0198484232696352</v>
      </c>
      <c r="T65" s="0" t="n">
        <f aca="false">IF(2_Utilité!AO65&gt;0,2_Utilité!T65/2_Utilité!AO65,0)</f>
        <v>0.00657585708468699</v>
      </c>
      <c r="U65" s="0" t="n">
        <f aca="false">IF(2_Utilité!AO65&gt;0,2_Utilité!U65/2_Utilité!AO65,0)</f>
        <v>0.00251674727947339</v>
      </c>
      <c r="V65" s="0" t="n">
        <f aca="false">IF(2_Utilité!AO65&gt;0,2_Utilité!V65/2_Utilité!AO65,0)</f>
        <v>0.00324378352586133</v>
      </c>
      <c r="W65" s="0" t="n">
        <f aca="false">IF(2_Utilité!AO65&gt;0,2_Utilité!W65/2_Utilité!AO65,0)</f>
        <v>0.000510791174790435</v>
      </c>
      <c r="X65" s="0" t="n">
        <f aca="false">IF(2_Utilité!AO65&gt;0,2_Utilité!X65/2_Utilité!AO65,0)</f>
        <v>0.000688915230439184</v>
      </c>
      <c r="Y65" s="0" t="n">
        <f aca="false">IF(2_Utilité!AO65&gt;0,2_Utilité!Y65/2_Utilité!AO65,0)</f>
        <v>0.000458358711692598</v>
      </c>
      <c r="Z65" s="0" t="n">
        <f aca="false">IF(2_Utilité!AO65&gt;0,2_Utilité!Z65/2_Utilité!AO65,0)</f>
        <v>0.00111306945305805</v>
      </c>
      <c r="AA65" s="0" t="n">
        <f aca="false">IF(2_Utilité!AO65&gt;0,2_Utilité!AA65/2_Utilité!AO65,0)</f>
        <v>0.00192226440483152</v>
      </c>
      <c r="AB65" s="0" t="n">
        <f aca="false">IF(2_Utilité!AO65&gt;0,2_Utilité!AB65/2_Utilité!AO65,0)</f>
        <v>0</v>
      </c>
      <c r="AC65" s="0" t="n">
        <f aca="false">IF(2_Utilité!AO65&gt;0,2_Utilité!AC65/2_Utilité!AO65,0)</f>
        <v>0</v>
      </c>
      <c r="AD65" s="0" t="n">
        <f aca="false">IF(2_Utilité!AO65&gt;0,2_Utilité!AD65/2_Utilité!AO65,0)</f>
        <v>0</v>
      </c>
      <c r="AE65" s="0" t="n">
        <f aca="false">IF(2_Utilité!AO65&gt;0,2_Utilité!AE65/2_Utilité!AO65,0)</f>
        <v>0</v>
      </c>
      <c r="AF65" s="0" t="n">
        <f aca="false">IF(2_Utilité!AO65&gt;0,2_Utilité!AF65/2_Utilité!AO65,0)</f>
        <v>0</v>
      </c>
      <c r="AG65" s="0" t="n">
        <f aca="false">IF(2_Utilité!AO65&gt;0,2_Utilité!AG65/2_Utilité!AO65,0)</f>
        <v>0.00134622735592595</v>
      </c>
      <c r="AH65" s="0" t="n">
        <f aca="false">IF(2_Utilité!AO65&gt;0,2_Utilité!AH65/2_Utilité!AO65,0)</f>
        <v>0.0639864415963842</v>
      </c>
      <c r="AI65" s="0" t="n">
        <f aca="false">IF(2_Utilité!AO65&gt;0,2_Utilité!AI65/2_Utilité!AO65,0)</f>
        <v>0.0028540638579046</v>
      </c>
      <c r="AJ65" s="0" t="n">
        <f aca="false">IF(2_Utilité!AO65&gt;0,2_Utilité!AJ65/2_Utilité!AO65,0)</f>
        <v>0.000960456294563064</v>
      </c>
      <c r="AK65" s="0" t="n">
        <f aca="false">IF(2_Utilité!AO65&gt;0,2_Utilité!AK65/2_Utilité!AO65,0)</f>
        <v>0</v>
      </c>
      <c r="AL65" s="0" t="n">
        <f aca="false">IF(2_Utilité!AO65&gt;0,2_Utilité!AL65/2_Utilité!AO65,0)</f>
        <v>0</v>
      </c>
      <c r="AM65" s="49" t="n">
        <f aca="false">IF(2_Utilité!AO65&gt;0,2_Utilité!AM65/2_Utilité!AO65,0)</f>
        <v>0.0376107530430188</v>
      </c>
      <c r="AN65" s="43" t="n">
        <f aca="false">IF(2_Utilité!AO65&gt;0,2_Utilité!AN65/2_Utilité!AO65,0)</f>
        <v>0</v>
      </c>
      <c r="AO65" s="43" t="n">
        <f aca="false">SUM(C65:AN65)</f>
        <v>1</v>
      </c>
      <c r="AP65" s="43" t="n">
        <f aca="false">COUNTIF(Matrice_OD!$C65:$AN65,"&lt;="&amp;Param!$B$2)</f>
        <v>30</v>
      </c>
    </row>
    <row r="66" customFormat="false" ht="15" hidden="false" customHeight="true" outlineLevel="0" collapsed="false">
      <c r="A66" s="0" t="s">
        <v>230</v>
      </c>
      <c r="B66" s="0" t="s">
        <v>231</v>
      </c>
      <c r="C66" s="0" t="n">
        <f aca="false">IF(2_Utilité!AO66&gt;0,2_Utilité!C66/2_Utilité!AO66,0)</f>
        <v>0.0268444515016506</v>
      </c>
      <c r="D66" s="0" t="n">
        <f aca="false">IF(2_Utilité!AO66&gt;0,2_Utilité!D66/2_Utilité!AO66,0)</f>
        <v>0.0157603115704696</v>
      </c>
      <c r="E66" s="0" t="n">
        <f aca="false">IF(2_Utilité!AO66&gt;0,2_Utilité!E66/2_Utilité!AO66,0)</f>
        <v>0.161397779526879</v>
      </c>
      <c r="F66" s="0" t="n">
        <f aca="false">IF(2_Utilité!AO66&gt;0,2_Utilité!F66/2_Utilité!AO66,0)</f>
        <v>0.0289129200364694</v>
      </c>
      <c r="G66" s="0" t="n">
        <f aca="false">IF(2_Utilité!AO66&gt;0,2_Utilité!G66/2_Utilité!AO66,0)</f>
        <v>0.0801210837506372</v>
      </c>
      <c r="H66" s="0" t="n">
        <f aca="false">IF(2_Utilité!AO66&gt;0,2_Utilité!H66/2_Utilité!AO66,0)</f>
        <v>0.0176567359704479</v>
      </c>
      <c r="I66" s="0" t="n">
        <f aca="false">IF(2_Utilité!AO66&gt;0,2_Utilité!I66/2_Utilité!AO66,0)</f>
        <v>0.040460947961458</v>
      </c>
      <c r="J66" s="0" t="n">
        <f aca="false">IF(2_Utilité!AO66&gt;0,2_Utilité!J66/2_Utilité!AO66,0)</f>
        <v>0.031828331141956</v>
      </c>
      <c r="K66" s="0" t="n">
        <f aca="false">IF(2_Utilité!AO66&gt;0,2_Utilité!K66/2_Utilité!AO66,0)</f>
        <v>0.0196766503835143</v>
      </c>
      <c r="L66" s="0" t="n">
        <f aca="false">IF(2_Utilité!AO66&gt;0,2_Utilité!L66/2_Utilité!AO66,0)</f>
        <v>0.0196013756520863</v>
      </c>
      <c r="M66" s="0" t="n">
        <f aca="false">IF(2_Utilité!AO66&gt;0,2_Utilité!M66/2_Utilité!AO66,0)</f>
        <v>0.104368906100011</v>
      </c>
      <c r="N66" s="0" t="n">
        <f aca="false">IF(2_Utilité!AO66&gt;0,2_Utilité!N66/2_Utilité!AO66,0)</f>
        <v>0.0141158782485139</v>
      </c>
      <c r="O66" s="0" t="n">
        <f aca="false">IF(2_Utilité!AO66&gt;0,2_Utilité!O66/2_Utilité!AO66,0)</f>
        <v>0.0447656345042404</v>
      </c>
      <c r="P66" s="0" t="n">
        <f aca="false">IF(2_Utilité!AO66&gt;0,2_Utilité!P66/2_Utilité!AO66,0)</f>
        <v>0.0216353791515369</v>
      </c>
      <c r="Q66" s="0" t="n">
        <f aca="false">IF(2_Utilité!AO66&gt;0,2_Utilité!Q66/2_Utilité!AO66,0)</f>
        <v>0.187329662992774</v>
      </c>
      <c r="R66" s="0" t="n">
        <f aca="false">IF(2_Utilité!AO66&gt;0,2_Utilité!R66/2_Utilité!AO66,0)</f>
        <v>0.0247967517756428</v>
      </c>
      <c r="S66" s="0" t="n">
        <f aca="false">IF(2_Utilité!AO66&gt;0,2_Utilité!S66/2_Utilité!AO66,0)</f>
        <v>0.0183080476170341</v>
      </c>
      <c r="T66" s="0" t="n">
        <f aca="false">IF(2_Utilité!AO66&gt;0,2_Utilité!T66/2_Utilité!AO66,0)</f>
        <v>0.00447845524389761</v>
      </c>
      <c r="U66" s="0" t="n">
        <f aca="false">IF(2_Utilité!AO66&gt;0,2_Utilité!U66/2_Utilité!AO66,0)</f>
        <v>0</v>
      </c>
      <c r="V66" s="0" t="n">
        <f aca="false">IF(2_Utilité!AO66&gt;0,2_Utilité!V66/2_Utilité!AO66,0)</f>
        <v>0</v>
      </c>
      <c r="W66" s="0" t="n">
        <f aca="false">IF(2_Utilité!AO66&gt;0,2_Utilité!W66/2_Utilité!AO66,0)</f>
        <v>0</v>
      </c>
      <c r="X66" s="0" t="n">
        <f aca="false">IF(2_Utilité!AO66&gt;0,2_Utilité!X66/2_Utilité!AO66,0)</f>
        <v>0</v>
      </c>
      <c r="Y66" s="0" t="n">
        <f aca="false">IF(2_Utilité!AO66&gt;0,2_Utilité!Y66/2_Utilité!AO66,0)</f>
        <v>0</v>
      </c>
      <c r="Z66" s="0" t="n">
        <f aca="false">IF(2_Utilité!AO66&gt;0,2_Utilité!Z66/2_Utilité!AO66,0)</f>
        <v>0</v>
      </c>
      <c r="AA66" s="0" t="n">
        <f aca="false">IF(2_Utilité!AO66&gt;0,2_Utilité!AA66/2_Utilité!AO66,0)</f>
        <v>0</v>
      </c>
      <c r="AB66" s="0" t="n">
        <f aca="false">IF(2_Utilité!AO66&gt;0,2_Utilité!AB66/2_Utilité!AO66,0)</f>
        <v>0</v>
      </c>
      <c r="AC66" s="0" t="n">
        <f aca="false">IF(2_Utilité!AO66&gt;0,2_Utilité!AC66/2_Utilité!AO66,0)</f>
        <v>0</v>
      </c>
      <c r="AD66" s="0" t="n">
        <f aca="false">IF(2_Utilité!AO66&gt;0,2_Utilité!AD66/2_Utilité!AO66,0)</f>
        <v>0</v>
      </c>
      <c r="AE66" s="0" t="n">
        <f aca="false">IF(2_Utilité!AO66&gt;0,2_Utilité!AE66/2_Utilité!AO66,0)</f>
        <v>0</v>
      </c>
      <c r="AF66" s="0" t="n">
        <f aca="false">IF(2_Utilité!AO66&gt;0,2_Utilité!AF66/2_Utilité!AO66,0)</f>
        <v>0</v>
      </c>
      <c r="AG66" s="0" t="n">
        <f aca="false">IF(2_Utilité!AO66&gt;0,2_Utilité!AG66/2_Utilité!AO66,0)</f>
        <v>0.0160346330095718</v>
      </c>
      <c r="AH66" s="0" t="n">
        <f aca="false">IF(2_Utilité!AO66&gt;0,2_Utilité!AH66/2_Utilité!AO66,0)</f>
        <v>0.0577407208890765</v>
      </c>
      <c r="AI66" s="0" t="n">
        <f aca="false">IF(2_Utilité!AO66&gt;0,2_Utilité!AI66/2_Utilité!AO66,0)</f>
        <v>0.00227016867251514</v>
      </c>
      <c r="AJ66" s="0" t="n">
        <f aca="false">IF(2_Utilité!AO66&gt;0,2_Utilité!AJ66/2_Utilité!AO66,0)</f>
        <v>0</v>
      </c>
      <c r="AK66" s="0" t="n">
        <f aca="false">IF(2_Utilité!AO66&gt;0,2_Utilité!AK66/2_Utilité!AO66,0)</f>
        <v>0</v>
      </c>
      <c r="AL66" s="0" t="n">
        <f aca="false">IF(2_Utilité!AO66&gt;0,2_Utilité!AL66/2_Utilité!AO66,0)</f>
        <v>0</v>
      </c>
      <c r="AM66" s="48" t="n">
        <f aca="false">IF(2_Utilité!AO66&gt;0,2_Utilité!AM66/2_Utilité!AO66,0)</f>
        <v>0.0618951742996171</v>
      </c>
      <c r="AN66" s="43" t="n">
        <f aca="false">IF(2_Utilité!AO66&gt;0,2_Utilité!AN66/2_Utilité!AO66,0)</f>
        <v>0</v>
      </c>
      <c r="AO66" s="43" t="n">
        <f aca="false">SUM(C66:AN66)</f>
        <v>1</v>
      </c>
      <c r="AP66" s="43" t="n">
        <f aca="false">COUNTIF(Matrice_OD!$C66:$AN66,"&lt;="&amp;Param!$B$2)</f>
        <v>22</v>
      </c>
    </row>
    <row r="67" customFormat="false" ht="15" hidden="false" customHeight="true" outlineLevel="0" collapsed="false">
      <c r="A67" s="0" t="s">
        <v>232</v>
      </c>
      <c r="B67" s="0" t="s">
        <v>233</v>
      </c>
      <c r="C67" s="0" t="n">
        <f aca="false">IF(2_Utilité!AO67&gt;0,2_Utilité!C67/2_Utilité!AO67,0)</f>
        <v>0.0381741835340981</v>
      </c>
      <c r="D67" s="0" t="n">
        <f aca="false">IF(2_Utilité!AO67&gt;0,2_Utilité!D67/2_Utilité!AO67,0)</f>
        <v>0.0146348755529619</v>
      </c>
      <c r="E67" s="0" t="n">
        <f aca="false">IF(2_Utilité!AO67&gt;0,2_Utilité!E67/2_Utilité!AO67,0)</f>
        <v>0.151852704489065</v>
      </c>
      <c r="F67" s="0" t="n">
        <f aca="false">IF(2_Utilité!AO67&gt;0,2_Utilité!F67/2_Utilité!AO67,0)</f>
        <v>0.0272281983705141</v>
      </c>
      <c r="G67" s="0" t="n">
        <f aca="false">IF(2_Utilité!AO67&gt;0,2_Utilité!G67/2_Utilité!AO67,0)</f>
        <v>0.0757897642428777</v>
      </c>
      <c r="H67" s="0" t="n">
        <f aca="false">IF(2_Utilité!AO67&gt;0,2_Utilité!H67/2_Utilité!AO67,0)</f>
        <v>0.0167924061314674</v>
      </c>
      <c r="I67" s="0" t="n">
        <f aca="false">IF(2_Utilité!AO67&gt;0,2_Utilité!I67/2_Utilité!AO67,0)</f>
        <v>0.0385224253133663</v>
      </c>
      <c r="J67" s="0" t="n">
        <f aca="false">IF(2_Utilité!AO67&gt;0,2_Utilité!J67/2_Utilité!AO67,0)</f>
        <v>0.0303825537921873</v>
      </c>
      <c r="K67" s="0" t="n">
        <f aca="false">IF(2_Utilité!AO67&gt;0,2_Utilité!K67/2_Utilité!AO67,0)</f>
        <v>0.0188144895879548</v>
      </c>
      <c r="L67" s="0" t="n">
        <f aca="false">IF(2_Utilité!AO67&gt;0,2_Utilité!L67/2_Utilité!AO67,0)</f>
        <v>0.0187535558497085</v>
      </c>
      <c r="M67" s="0" t="n">
        <f aca="false">IF(2_Utilité!AO67&gt;0,2_Utilité!M67/2_Utilité!AO67,0)</f>
        <v>0.0998798394514913</v>
      </c>
      <c r="N67" s="0" t="n">
        <f aca="false">IF(2_Utilité!AO67&gt;0,2_Utilité!N67/2_Utilité!AO67,0)</f>
        <v>0.013542876065085</v>
      </c>
      <c r="O67" s="0" t="n">
        <f aca="false">IF(2_Utilité!AO67&gt;0,2_Utilité!O67/2_Utilité!AO67,0)</f>
        <v>0.0429701632916763</v>
      </c>
      <c r="P67" s="0" t="n">
        <f aca="false">IF(2_Utilité!AO67&gt;0,2_Utilité!P67/2_Utilité!AO67,0)</f>
        <v>0.020783355144304</v>
      </c>
      <c r="Q67" s="0" t="n">
        <f aca="false">IF(2_Utilité!AO67&gt;0,2_Utilité!Q67/2_Utilité!AO67,0)</f>
        <v>0.180467985040255</v>
      </c>
      <c r="R67" s="0" t="n">
        <f aca="false">IF(2_Utilité!AO67&gt;0,2_Utilité!R67/2_Utilité!AO67,0)</f>
        <v>0.0239146194221299</v>
      </c>
      <c r="S67" s="0" t="n">
        <f aca="false">IF(2_Utilité!AO67&gt;0,2_Utilité!S67/2_Utilité!AO67,0)</f>
        <v>0.017698396582418</v>
      </c>
      <c r="T67" s="0" t="n">
        <f aca="false">IF(2_Utilité!AO67&gt;0,2_Utilité!T67/2_Utilité!AO67,0)</f>
        <v>0.0115717532547487</v>
      </c>
      <c r="U67" s="0" t="n">
        <f aca="false">IF(2_Utilité!AO67&gt;0,2_Utilité!U67/2_Utilité!AO67,0)</f>
        <v>0.000880941306957478</v>
      </c>
      <c r="V67" s="0" t="n">
        <f aca="false">IF(2_Utilité!AO67&gt;0,2_Utilité!V67/2_Utilité!AO67,0)</f>
        <v>0.0041982408856748</v>
      </c>
      <c r="W67" s="0" t="n">
        <f aca="false">IF(2_Utilité!AO67&gt;0,2_Utilité!W67/2_Utilité!AO67,0)</f>
        <v>0</v>
      </c>
      <c r="X67" s="0" t="n">
        <f aca="false">IF(2_Utilité!AO67&gt;0,2_Utilité!X67/2_Utilité!AO67,0)</f>
        <v>0</v>
      </c>
      <c r="Y67" s="0" t="n">
        <f aca="false">IF(2_Utilité!AO67&gt;0,2_Utilité!Y67/2_Utilité!AO67,0)</f>
        <v>0</v>
      </c>
      <c r="Z67" s="0" t="n">
        <f aca="false">IF(2_Utilité!AO67&gt;0,2_Utilité!Z67/2_Utilité!AO67,0)</f>
        <v>0</v>
      </c>
      <c r="AA67" s="0" t="n">
        <f aca="false">IF(2_Utilité!AO67&gt;0,2_Utilité!AA67/2_Utilité!AO67,0)</f>
        <v>0</v>
      </c>
      <c r="AB67" s="0" t="n">
        <f aca="false">IF(2_Utilité!AO67&gt;0,2_Utilité!AB67/2_Utilité!AO67,0)</f>
        <v>0</v>
      </c>
      <c r="AC67" s="0" t="n">
        <f aca="false">IF(2_Utilité!AO67&gt;0,2_Utilité!AC67/2_Utilité!AO67,0)</f>
        <v>0</v>
      </c>
      <c r="AD67" s="0" t="n">
        <f aca="false">IF(2_Utilité!AO67&gt;0,2_Utilité!AD67/2_Utilité!AO67,0)</f>
        <v>0</v>
      </c>
      <c r="AE67" s="0" t="n">
        <f aca="false">IF(2_Utilité!AO67&gt;0,2_Utilité!AE67/2_Utilité!AO67,0)</f>
        <v>0</v>
      </c>
      <c r="AF67" s="0" t="n">
        <f aca="false">IF(2_Utilité!AO67&gt;0,2_Utilité!AF67/2_Utilité!AO67,0)</f>
        <v>0</v>
      </c>
      <c r="AG67" s="0" t="n">
        <f aca="false">IF(2_Utilité!AO67&gt;0,2_Utilité!AG67/2_Utilité!AO67,0)</f>
        <v>0.000470807912620984</v>
      </c>
      <c r="AH67" s="0" t="n">
        <f aca="false">IF(2_Utilité!AO67&gt;0,2_Utilité!AH67/2_Utilité!AO67,0)</f>
        <v>0.0561855273239081</v>
      </c>
      <c r="AI67" s="0" t="n">
        <f aca="false">IF(2_Utilité!AO67&gt;0,2_Utilité!AI67/2_Utilité!AO67,0)</f>
        <v>0.00570590236965444</v>
      </c>
      <c r="AJ67" s="0" t="n">
        <f aca="false">IF(2_Utilité!AO67&gt;0,2_Utilité!AJ67/2_Utilité!AO67,0)</f>
        <v>0</v>
      </c>
      <c r="AK67" s="0" t="n">
        <f aca="false">IF(2_Utilité!AO67&gt;0,2_Utilité!AK67/2_Utilité!AO67,0)</f>
        <v>0</v>
      </c>
      <c r="AL67" s="0" t="n">
        <f aca="false">IF(2_Utilité!AO67&gt;0,2_Utilité!AL67/2_Utilité!AO67,0)</f>
        <v>0</v>
      </c>
      <c r="AM67" s="49" t="n">
        <f aca="false">IF(2_Utilité!AO67&gt;0,2_Utilité!AM67/2_Utilité!AO67,0)</f>
        <v>0.0907844350848755</v>
      </c>
      <c r="AN67" s="43" t="n">
        <f aca="false">IF(2_Utilité!AO67&gt;0,2_Utilité!AN67/2_Utilité!AO67,0)</f>
        <v>0</v>
      </c>
      <c r="AO67" s="43" t="n">
        <f aca="false">SUM(C67:AN67)</f>
        <v>1</v>
      </c>
      <c r="AP67" s="43" t="n">
        <f aca="false">COUNTIF(Matrice_OD!$C67:$AN67,"&lt;="&amp;Param!$B$2)</f>
        <v>24</v>
      </c>
    </row>
    <row r="68" customFormat="false" ht="15" hidden="false" customHeight="true" outlineLevel="0" collapsed="false">
      <c r="A68" s="0" t="s">
        <v>234</v>
      </c>
      <c r="B68" s="0" t="s">
        <v>235</v>
      </c>
      <c r="C68" s="0" t="n">
        <f aca="false">IF(2_Utilité!AO68&gt;0,2_Utilité!C68/2_Utilité!AO68,0)</f>
        <v>0.0208154360468005</v>
      </c>
      <c r="D68" s="0" t="n">
        <f aca="false">IF(2_Utilité!AO68&gt;0,2_Utilité!D68/2_Utilité!AO68,0)</f>
        <v>0.00848855809798564</v>
      </c>
      <c r="E68" s="0" t="n">
        <f aca="false">IF(2_Utilité!AO68&gt;0,2_Utilité!E68/2_Utilité!AO68,0)</f>
        <v>0.0885098984537442</v>
      </c>
      <c r="F68" s="0" t="n">
        <f aca="false">IF(2_Utilité!AO68&gt;0,2_Utilité!F68/2_Utilité!AO68,0)</f>
        <v>0.0161454514380583</v>
      </c>
      <c r="G68" s="0" t="n">
        <f aca="false">IF(2_Utilité!AO68&gt;0,2_Utilité!G68/2_Utilité!AO68,0)</f>
        <v>0.0441281047009392</v>
      </c>
      <c r="H68" s="0" t="n">
        <f aca="false">IF(2_Utilité!AO68&gt;0,2_Utilité!H68/2_Utilité!AO68,0)</f>
        <v>0.0114529900304198</v>
      </c>
      <c r="I68" s="0" t="n">
        <f aca="false">IF(2_Utilité!AO68&gt;0,2_Utilité!I68/2_Utilité!AO68,0)</f>
        <v>0.0243394804530067</v>
      </c>
      <c r="J68" s="0" t="n">
        <f aca="false">IF(2_Utilité!AO68&gt;0,2_Utilité!J68/2_Utilité!AO68,0)</f>
        <v>0.019006037722197</v>
      </c>
      <c r="K68" s="0" t="n">
        <f aca="false">IF(2_Utilité!AO68&gt;0,2_Utilité!K68/2_Utilité!AO68,0)</f>
        <v>0.0117752516387045</v>
      </c>
      <c r="L68" s="0" t="n">
        <f aca="false">IF(2_Utilité!AO68&gt;0,2_Utilité!L68/2_Utilité!AO68,0)</f>
        <v>0.0121807823873121</v>
      </c>
      <c r="M68" s="0" t="n">
        <f aca="false">IF(2_Utilité!AO68&gt;0,2_Utilité!M68/2_Utilité!AO68,0)</f>
        <v>0.0682390425617619</v>
      </c>
      <c r="N68" s="0" t="n">
        <f aca="false">IF(2_Utilité!AO68&gt;0,2_Utilité!N68/2_Utilité!AO68,0)</f>
        <v>0.00889211872343187</v>
      </c>
      <c r="O68" s="0" t="n">
        <f aca="false">IF(2_Utilité!AO68&gt;0,2_Utilité!O68/2_Utilité!AO68,0)</f>
        <v>0.0279340906193185</v>
      </c>
      <c r="P68" s="0" t="n">
        <f aca="false">IF(2_Utilité!AO68&gt;0,2_Utilité!P68/2_Utilité!AO68,0)</f>
        <v>0.0135121521180305</v>
      </c>
      <c r="Q68" s="0" t="n">
        <f aca="false">IF(2_Utilité!AO68&gt;0,2_Utilité!Q68/2_Utilité!AO68,0)</f>
        <v>0.117372183649742</v>
      </c>
      <c r="R68" s="0" t="n">
        <f aca="false">IF(2_Utilité!AO68&gt;0,2_Utilité!R68/2_Utilité!AO68,0)</f>
        <v>0.0155556510630869</v>
      </c>
      <c r="S68" s="0" t="n">
        <f aca="false">IF(2_Utilité!AO68&gt;0,2_Utilité!S68/2_Utilité!AO68,0)</f>
        <v>0.0115156175754247</v>
      </c>
      <c r="T68" s="0" t="n">
        <f aca="false">IF(2_Utilité!AO68&gt;0,2_Utilité!T68/2_Utilité!AO68,0)</f>
        <v>0.0320467966160307</v>
      </c>
      <c r="U68" s="0" t="n">
        <f aca="false">IF(2_Utilité!AO68&gt;0,2_Utilité!U68/2_Utilité!AO68,0)</f>
        <v>0.0193035857632307</v>
      </c>
      <c r="V68" s="0" t="n">
        <f aca="false">IF(2_Utilité!AO68&gt;0,2_Utilité!V68/2_Utilité!AO68,0)</f>
        <v>0.0969406989491218</v>
      </c>
      <c r="W68" s="0" t="n">
        <f aca="false">IF(2_Utilité!AO68&gt;0,2_Utilité!W68/2_Utilité!AO68,0)</f>
        <v>0.0171191573610624</v>
      </c>
      <c r="X68" s="0" t="n">
        <f aca="false">IF(2_Utilité!AO68&gt;0,2_Utilité!X68/2_Utilité!AO68,0)</f>
        <v>0.0232253182636522</v>
      </c>
      <c r="Y68" s="0" t="n">
        <f aca="false">IF(2_Utilité!AO68&gt;0,2_Utilité!Y68/2_Utilité!AO68,0)</f>
        <v>0.0154763436833264</v>
      </c>
      <c r="Z68" s="0" t="n">
        <f aca="false">IF(2_Utilité!AO68&gt;0,2_Utilité!Z68/2_Utilité!AO68,0)</f>
        <v>0.0381704658779717</v>
      </c>
      <c r="AA68" s="0" t="n">
        <f aca="false">IF(2_Utilité!AO68&gt;0,2_Utilité!AA68/2_Utilité!AO68,0)</f>
        <v>0.0712064335268371</v>
      </c>
      <c r="AB68" s="0" t="n">
        <f aca="false">IF(2_Utilité!AO68&gt;0,2_Utilité!AB68/2_Utilité!AO68,0)</f>
        <v>0.0309337230019163</v>
      </c>
      <c r="AC68" s="0" t="n">
        <f aca="false">IF(2_Utilité!AO68&gt;0,2_Utilité!AC68/2_Utilité!AO68,0)</f>
        <v>0</v>
      </c>
      <c r="AD68" s="0" t="n">
        <f aca="false">IF(2_Utilité!AO68&gt;0,2_Utilité!AD68/2_Utilité!AO68,0)</f>
        <v>0</v>
      </c>
      <c r="AE68" s="0" t="n">
        <f aca="false">IF(2_Utilité!AO68&gt;0,2_Utilité!AE68/2_Utilité!AO68,0)</f>
        <v>0</v>
      </c>
      <c r="AF68" s="0" t="n">
        <f aca="false">IF(2_Utilité!AO68&gt;0,2_Utilité!AF68/2_Utilité!AO68,0)</f>
        <v>0</v>
      </c>
      <c r="AG68" s="0" t="n">
        <f aca="false">IF(2_Utilité!AO68&gt;0,2_Utilité!AG68/2_Utilité!AO68,0)</f>
        <v>0</v>
      </c>
      <c r="AH68" s="0" t="n">
        <f aca="false">IF(2_Utilité!AO68&gt;0,2_Utilité!AH68/2_Utilité!AO68,0)</f>
        <v>0.0365877745945051</v>
      </c>
      <c r="AI68" s="0" t="n">
        <f aca="false">IF(2_Utilité!AO68&gt;0,2_Utilité!AI68/2_Utilité!AO68,0)</f>
        <v>0.0146895941122229</v>
      </c>
      <c r="AJ68" s="0" t="n">
        <f aca="false">IF(2_Utilité!AO68&gt;0,2_Utilité!AJ68/2_Utilité!AO68,0)</f>
        <v>0.0339029485241756</v>
      </c>
      <c r="AK68" s="0" t="n">
        <f aca="false">IF(2_Utilité!AO68&gt;0,2_Utilité!AK68/2_Utilité!AO68,0)</f>
        <v>0</v>
      </c>
      <c r="AL68" s="0" t="n">
        <f aca="false">IF(2_Utilité!AO68&gt;0,2_Utilité!AL68/2_Utilité!AO68,0)</f>
        <v>0</v>
      </c>
      <c r="AM68" s="48" t="n">
        <f aca="false">IF(2_Utilité!AO68&gt;0,2_Utilité!AM68/2_Utilité!AO68,0)</f>
        <v>0.0505343124459828</v>
      </c>
      <c r="AN68" s="43" t="n">
        <f aca="false">IF(2_Utilité!AO68&gt;0,2_Utilité!AN68/2_Utilité!AO68,0)</f>
        <v>0</v>
      </c>
      <c r="AO68" s="43" t="n">
        <f aca="false">SUM(C68:AN68)</f>
        <v>1</v>
      </c>
      <c r="AP68" s="43" t="n">
        <f aca="false">COUNTIF(Matrice_OD!$C68:$AN68,"&lt;="&amp;Param!$B$2)</f>
        <v>30</v>
      </c>
    </row>
    <row r="69" customFormat="false" ht="15" hidden="false" customHeight="true" outlineLevel="0" collapsed="false">
      <c r="A69" s="0" t="s">
        <v>236</v>
      </c>
      <c r="B69" s="0" t="s">
        <v>237</v>
      </c>
      <c r="C69" s="0" t="n">
        <f aca="false">IF(2_Utilité!AO69&gt;0,2_Utilité!C69/2_Utilité!AO69,0)</f>
        <v>0.0381810424923917</v>
      </c>
      <c r="D69" s="0" t="n">
        <f aca="false">IF(2_Utilité!AO69&gt;0,2_Utilité!D69/2_Utilité!AO69,0)</f>
        <v>0.0129140221778173</v>
      </c>
      <c r="E69" s="0" t="n">
        <f aca="false">IF(2_Utilité!AO69&gt;0,2_Utilité!E69/2_Utilité!AO69,0)</f>
        <v>0.13501577283792</v>
      </c>
      <c r="F69" s="0" t="n">
        <f aca="false">IF(2_Utilité!AO69&gt;0,2_Utilité!F69/2_Utilité!AO69,0)</f>
        <v>0.0242221579734337</v>
      </c>
      <c r="G69" s="0" t="n">
        <f aca="false">IF(2_Utilité!AO69&gt;0,2_Utilité!G69/2_Utilité!AO69,0)</f>
        <v>0.0675961658102247</v>
      </c>
      <c r="H69" s="0" t="n">
        <f aca="false">IF(2_Utilité!AO69&gt;0,2_Utilité!H69/2_Utilité!AO69,0)</f>
        <v>0.0150174813900084</v>
      </c>
      <c r="I69" s="0" t="n">
        <f aca="false">IF(2_Utilité!AO69&gt;0,2_Utilité!I69/2_Utilité!AO69,0)</f>
        <v>0.0344723806332168</v>
      </c>
      <c r="J69" s="0" t="n">
        <f aca="false">IF(2_Utilité!AO69&gt;0,2_Utilité!J69/2_Utilité!AO69,0)</f>
        <v>0.0272291496162237</v>
      </c>
      <c r="K69" s="0" t="n">
        <f aca="false">IF(2_Utilité!AO69&gt;0,2_Utilité!K69/2_Utilité!AO69,0)</f>
        <v>0.0168850755893967</v>
      </c>
      <c r="L69" s="0" t="n">
        <f aca="false">IF(2_Utilité!AO69&gt;0,2_Utilité!L69/2_Utilité!AO69,0)</f>
        <v>0.0168291208432303</v>
      </c>
      <c r="M69" s="0" t="n">
        <f aca="false">IF(2_Utilité!AO69&gt;0,2_Utilité!M69/2_Utilité!AO69,0)</f>
        <v>0.0896434886211826</v>
      </c>
      <c r="N69" s="0" t="n">
        <f aca="false">IF(2_Utilité!AO69&gt;0,2_Utilité!N69/2_Utilité!AO69,0)</f>
        <v>0.0121776904155725</v>
      </c>
      <c r="O69" s="0" t="n">
        <f aca="false">IF(2_Utilité!AO69&gt;0,2_Utilité!O69/2_Utilité!AO69,0)</f>
        <v>0.0386498263987248</v>
      </c>
      <c r="P69" s="0" t="n">
        <f aca="false">IF(2_Utilité!AO69&gt;0,2_Utilité!P69/2_Utilité!AO69,0)</f>
        <v>0.0186940430898355</v>
      </c>
      <c r="Q69" s="0" t="n">
        <f aca="false">IF(2_Utilité!AO69&gt;0,2_Utilité!Q69/2_Utilité!AO69,0)</f>
        <v>0.162662494808899</v>
      </c>
      <c r="R69" s="0" t="n">
        <f aca="false">IF(2_Utilité!AO69&gt;0,2_Utilité!R69/2_Utilité!AO69,0)</f>
        <v>0.0215687440535055</v>
      </c>
      <c r="S69" s="0" t="n">
        <f aca="false">IF(2_Utilité!AO69&gt;0,2_Utilité!S69/2_Utilité!AO69,0)</f>
        <v>0.015984009361189</v>
      </c>
      <c r="T69" s="0" t="n">
        <f aca="false">IF(2_Utilité!AO69&gt;0,2_Utilité!T69/2_Utilité!AO69,0)</f>
        <v>0.0233333006636654</v>
      </c>
      <c r="U69" s="0" t="n">
        <f aca="false">IF(2_Utilité!AO69&gt;0,2_Utilité!U69/2_Utilité!AO69,0)</f>
        <v>0.00382369807074579</v>
      </c>
      <c r="V69" s="0" t="n">
        <f aca="false">IF(2_Utilité!AO69&gt;0,2_Utilité!V69/2_Utilité!AO69,0)</f>
        <v>0.0212706935355687</v>
      </c>
      <c r="W69" s="0" t="n">
        <f aca="false">IF(2_Utilité!AO69&gt;0,2_Utilité!W69/2_Utilité!AO69,0)</f>
        <v>0.00350448781589959</v>
      </c>
      <c r="X69" s="0" t="n">
        <f aca="false">IF(2_Utilité!AO69&gt;0,2_Utilité!X69/2_Utilité!AO69,0)</f>
        <v>0.00473771875831053</v>
      </c>
      <c r="Y69" s="0" t="n">
        <f aca="false">IF(2_Utilité!AO69&gt;0,2_Utilité!Y69/2_Utilité!AO69,0)</f>
        <v>0.00315351467907277</v>
      </c>
      <c r="Z69" s="0" t="n">
        <f aca="false">IF(2_Utilité!AO69&gt;0,2_Utilité!Z69/2_Utilité!AO69,0)</f>
        <v>0.00770560674183645</v>
      </c>
      <c r="AA69" s="0" t="n">
        <f aca="false">IF(2_Utilité!AO69&gt;0,2_Utilité!AA69/2_Utilité!AO69,0)</f>
        <v>0.0137269404654597</v>
      </c>
      <c r="AB69" s="0" t="n">
        <f aca="false">IF(2_Utilité!AO69&gt;0,2_Utilité!AB69/2_Utilité!AO69,0)</f>
        <v>0.00582221798436795</v>
      </c>
      <c r="AC69" s="0" t="n">
        <f aca="false">IF(2_Utilité!AO69&gt;0,2_Utilité!AC69/2_Utilité!AO69,0)</f>
        <v>0</v>
      </c>
      <c r="AD69" s="0" t="n">
        <f aca="false">IF(2_Utilité!AO69&gt;0,2_Utilité!AD69/2_Utilité!AO69,0)</f>
        <v>0</v>
      </c>
      <c r="AE69" s="0" t="n">
        <f aca="false">IF(2_Utilité!AO69&gt;0,2_Utilité!AE69/2_Utilité!AO69,0)</f>
        <v>0</v>
      </c>
      <c r="AF69" s="0" t="n">
        <f aca="false">IF(2_Utilité!AO69&gt;0,2_Utilité!AF69/2_Utilité!AO69,0)</f>
        <v>0</v>
      </c>
      <c r="AG69" s="0" t="n">
        <f aca="false">IF(2_Utilité!AO69&gt;0,2_Utilité!AG69/2_Utilité!AO69,0)</f>
        <v>0.000535910629060356</v>
      </c>
      <c r="AH69" s="0" t="n">
        <f aca="false">IF(2_Utilité!AO69&gt;0,2_Utilité!AH69/2_Utilité!AO69,0)</f>
        <v>0.0509355505559033</v>
      </c>
      <c r="AI69" s="0" t="n">
        <f aca="false">IF(2_Utilité!AO69&gt;0,2_Utilité!AI69/2_Utilité!AO69,0)</f>
        <v>0.0111468533456225</v>
      </c>
      <c r="AJ69" s="0" t="n">
        <f aca="false">IF(2_Utilité!AO69&gt;0,2_Utilité!AJ69/2_Utilité!AO69,0)</f>
        <v>0.00672637150938089</v>
      </c>
      <c r="AK69" s="0" t="n">
        <f aca="false">IF(2_Utilité!AO69&gt;0,2_Utilité!AK69/2_Utilité!AO69,0)</f>
        <v>0</v>
      </c>
      <c r="AL69" s="0" t="n">
        <f aca="false">IF(2_Utilité!AO69&gt;0,2_Utilité!AL69/2_Utilité!AO69,0)</f>
        <v>0</v>
      </c>
      <c r="AM69" s="49" t="n">
        <f aca="false">IF(2_Utilité!AO69&gt;0,2_Utilité!AM69/2_Utilité!AO69,0)</f>
        <v>0.095834469132334</v>
      </c>
      <c r="AN69" s="43" t="n">
        <f aca="false">IF(2_Utilité!AO69&gt;0,2_Utilité!AN69/2_Utilité!AO69,0)</f>
        <v>0</v>
      </c>
      <c r="AO69" s="43" t="n">
        <f aca="false">SUM(C69:AN69)</f>
        <v>1</v>
      </c>
      <c r="AP69" s="43" t="n">
        <f aca="false">COUNTIF(Matrice_OD!$C69:$AN69,"&lt;="&amp;Param!$B$2)</f>
        <v>31</v>
      </c>
    </row>
    <row r="70" customFormat="false" ht="15" hidden="false" customHeight="true" outlineLevel="0" collapsed="false">
      <c r="A70" s="0" t="s">
        <v>238</v>
      </c>
      <c r="B70" s="0" t="s">
        <v>239</v>
      </c>
      <c r="C70" s="0" t="n">
        <f aca="false">IF(2_Utilité!AO70&gt;0,2_Utilité!C70/2_Utilité!AO70,0)</f>
        <v>0.0523325249696621</v>
      </c>
      <c r="D70" s="0" t="n">
        <f aca="false">IF(2_Utilité!AO70&gt;0,2_Utilité!D70/2_Utilité!AO70,0)</f>
        <v>0.013418265270404</v>
      </c>
      <c r="E70" s="0" t="n">
        <f aca="false">IF(2_Utilité!AO70&gt;0,2_Utilité!E70/2_Utilité!AO70,0)</f>
        <v>0.137838194044922</v>
      </c>
      <c r="F70" s="0" t="n">
        <f aca="false">IF(2_Utilité!AO70&gt;0,2_Utilité!F70/2_Utilité!AO70,0)</f>
        <v>0.0246978126833647</v>
      </c>
      <c r="G70" s="0" t="n">
        <f aca="false">IF(2_Utilité!AO70&gt;0,2_Utilité!G70/2_Utilité!AO70,0)</f>
        <v>0.0685123335364481</v>
      </c>
      <c r="H70" s="0" t="n">
        <f aca="false">IF(2_Utilité!AO70&gt;0,2_Utilité!H70/2_Utilité!AO70,0)</f>
        <v>0.0151175806282004</v>
      </c>
      <c r="I70" s="0" t="n">
        <f aca="false">IF(2_Utilité!AO70&gt;0,2_Utilité!I70/2_Utilité!AO70,0)</f>
        <v>0.0346513076233717</v>
      </c>
      <c r="J70" s="0" t="n">
        <f aca="false">IF(2_Utilité!AO70&gt;0,2_Utilité!J70/2_Utilité!AO70,0)</f>
        <v>0.02727494054616</v>
      </c>
      <c r="K70" s="0" t="n">
        <f aca="false">IF(2_Utilité!AO70&gt;0,2_Utilité!K70/2_Utilité!AO70,0)</f>
        <v>0.0168683640664939</v>
      </c>
      <c r="L70" s="0" t="n">
        <f aca="false">IF(2_Utilité!AO70&gt;0,2_Utilité!L70/2_Utilité!AO70,0)</f>
        <v>0.0168061601063973</v>
      </c>
      <c r="M70" s="0" t="n">
        <f aca="false">IF(2_Utilité!AO70&gt;0,2_Utilité!M70/2_Utilité!AO70,0)</f>
        <v>0.0894908955510075</v>
      </c>
      <c r="N70" s="0" t="n">
        <f aca="false">IF(2_Utilité!AO70&gt;0,2_Utilité!N70/2_Utilité!AO70,0)</f>
        <v>0.0121108159512435</v>
      </c>
      <c r="O70" s="0" t="n">
        <f aca="false">IF(2_Utilité!AO70&gt;0,2_Utilité!O70/2_Utilité!AO70,0)</f>
        <v>0.038411547173971</v>
      </c>
      <c r="P70" s="0" t="n">
        <f aca="false">IF(2_Utilité!AO70&gt;0,2_Utilité!P70/2_Utilité!AO70,0)</f>
        <v>0.0185677337366431</v>
      </c>
      <c r="Q70" s="0" t="n">
        <f aca="false">IF(2_Utilité!AO70&gt;0,2_Utilité!Q70/2_Utilité!AO70,0)</f>
        <v>0.160876677781991</v>
      </c>
      <c r="R70" s="0" t="n">
        <f aca="false">IF(2_Utilité!AO70&gt;0,2_Utilité!R70/2_Utilité!AO70,0)</f>
        <v>0.0213006587950878</v>
      </c>
      <c r="S70" s="0" t="n">
        <f aca="false">IF(2_Utilité!AO70&gt;0,2_Utilité!S70/2_Utilité!AO70,0)</f>
        <v>0.0157355115823601</v>
      </c>
      <c r="T70" s="0" t="n">
        <f aca="false">IF(2_Utilité!AO70&gt;0,2_Utilité!T70/2_Utilité!AO70,0)</f>
        <v>0.0195983982366448</v>
      </c>
      <c r="U70" s="0" t="n">
        <f aca="false">IF(2_Utilité!AO70&gt;0,2_Utilité!U70/2_Utilité!AO70,0)</f>
        <v>0.00159762167332281</v>
      </c>
      <c r="V70" s="0" t="n">
        <f aca="false">IF(2_Utilité!AO70&gt;0,2_Utilité!V70/2_Utilité!AO70,0)</f>
        <v>0.00937808895089557</v>
      </c>
      <c r="W70" s="0" t="n">
        <f aca="false">IF(2_Utilité!AO70&gt;0,2_Utilité!W70/2_Utilité!AO70,0)</f>
        <v>0.0014899825343624</v>
      </c>
      <c r="X70" s="0" t="n">
        <f aca="false">IF(2_Utilité!AO70&gt;0,2_Utilité!X70/2_Utilité!AO70,0)</f>
        <v>0.0020104896897662</v>
      </c>
      <c r="Y70" s="0" t="n">
        <f aca="false">IF(2_Utilité!AO70&gt;0,2_Utilité!Y70/2_Utilité!AO70,0)</f>
        <v>0.00133775814407988</v>
      </c>
      <c r="Z70" s="0" t="n">
        <f aca="false">IF(2_Utilité!AO70&gt;0,2_Utilité!Z70/2_Utilité!AO70,0)</f>
        <v>0.00325249841601955</v>
      </c>
      <c r="AA70" s="0" t="n">
        <f aca="false">IF(2_Utilité!AO70&gt;0,2_Utilité!AA70/2_Utilité!AO70,0)</f>
        <v>0.00565095090031006</v>
      </c>
      <c r="AB70" s="0" t="n">
        <f aca="false">IF(2_Utilité!AO70&gt;0,2_Utilité!AB70/2_Utilité!AO70,0)</f>
        <v>0.00236683266161966</v>
      </c>
      <c r="AC70" s="0" t="n">
        <f aca="false">IF(2_Utilité!AO70&gt;0,2_Utilité!AC70/2_Utilité!AO70,0)</f>
        <v>0</v>
      </c>
      <c r="AD70" s="0" t="n">
        <f aca="false">IF(2_Utilité!AO70&gt;0,2_Utilité!AD70/2_Utilité!AO70,0)</f>
        <v>0</v>
      </c>
      <c r="AE70" s="0" t="n">
        <f aca="false">IF(2_Utilité!AO70&gt;0,2_Utilité!AE70/2_Utilité!AO70,0)</f>
        <v>0</v>
      </c>
      <c r="AF70" s="0" t="n">
        <f aca="false">IF(2_Utilité!AO70&gt;0,2_Utilité!AF70/2_Utilité!AO70,0)</f>
        <v>0</v>
      </c>
      <c r="AG70" s="0" t="n">
        <f aca="false">IF(2_Utilité!AO70&gt;0,2_Utilité!AG70/2_Utilité!AO70,0)</f>
        <v>0.000628497832268841</v>
      </c>
      <c r="AH70" s="0" t="n">
        <f aca="false">IF(2_Utilité!AO70&gt;0,2_Utilité!AH70/2_Utilité!AO70,0)</f>
        <v>0.0497039905005711</v>
      </c>
      <c r="AI70" s="0" t="n">
        <f aca="false">IF(2_Utilité!AO70&gt;0,2_Utilité!AI70/2_Utilité!AO70,0)</f>
        <v>0.00957318967294831</v>
      </c>
      <c r="AJ70" s="0" t="n">
        <f aca="false">IF(2_Utilité!AO70&gt;0,2_Utilité!AJ70/2_Utilité!AO70,0)</f>
        <v>0.00281284479727221</v>
      </c>
      <c r="AK70" s="0" t="n">
        <f aca="false">IF(2_Utilité!AO70&gt;0,2_Utilité!AK70/2_Utilité!AO70,0)</f>
        <v>0</v>
      </c>
      <c r="AL70" s="0" t="n">
        <f aca="false">IF(2_Utilité!AO70&gt;0,2_Utilité!AL70/2_Utilité!AO70,0)</f>
        <v>0</v>
      </c>
      <c r="AM70" s="48" t="n">
        <f aca="false">IF(2_Utilité!AO70&gt;0,2_Utilité!AM70/2_Utilité!AO70,0)</f>
        <v>0.12658753194219</v>
      </c>
      <c r="AN70" s="43" t="n">
        <f aca="false">IF(2_Utilité!AO70&gt;0,2_Utilité!AN70/2_Utilité!AO70,0)</f>
        <v>0</v>
      </c>
      <c r="AO70" s="43" t="n">
        <f aca="false">SUM(C70:AN70)</f>
        <v>1</v>
      </c>
      <c r="AP70" s="43" t="n">
        <f aca="false">COUNTIF(Matrice_OD!$C70:$AN70,"&lt;="&amp;Param!$B$2)</f>
        <v>31</v>
      </c>
    </row>
    <row r="71" customFormat="false" ht="15" hidden="false" customHeight="true" outlineLevel="0" collapsed="false">
      <c r="A71" s="0" t="s">
        <v>240</v>
      </c>
      <c r="B71" s="0" t="s">
        <v>241</v>
      </c>
      <c r="C71" s="0" t="n">
        <f aca="false">IF(2_Utilité!AO71&gt;0,2_Utilité!C71/2_Utilité!AO71,0)</f>
        <v>0.0272553245254188</v>
      </c>
      <c r="D71" s="0" t="n">
        <f aca="false">IF(2_Utilité!AO71&gt;0,2_Utilité!D71/2_Utilité!AO71,0)</f>
        <v>0.0143556033093004</v>
      </c>
      <c r="E71" s="0" t="n">
        <f aca="false">IF(2_Utilité!AO71&gt;0,2_Utilité!E71/2_Utilité!AO71,0)</f>
        <v>0.152410832428242</v>
      </c>
      <c r="F71" s="0" t="n">
        <f aca="false">IF(2_Utilité!AO71&gt;0,2_Utilité!F71/2_Utilité!AO71,0)</f>
        <v>0.0273725073063734</v>
      </c>
      <c r="G71" s="0" t="n">
        <f aca="false">IF(2_Utilité!AO71&gt;0,2_Utilité!G71/2_Utilité!AO71,0)</f>
        <v>0.0767874735345111</v>
      </c>
      <c r="H71" s="0" t="n">
        <f aca="false">IF(2_Utilité!AO71&gt;0,2_Utilité!H71/2_Utilité!AO71,0)</f>
        <v>0.0171690067580539</v>
      </c>
      <c r="I71" s="0" t="n">
        <f aca="false">IF(2_Utilité!AO71&gt;0,2_Utilité!I71/2_Utilité!AO71,0)</f>
        <v>0.0394616550764347</v>
      </c>
      <c r="J71" s="0" t="n">
        <f aca="false">IF(2_Utilité!AO71&gt;0,2_Utilité!J71/2_Utilité!AO71,0)</f>
        <v>0.0312653882746583</v>
      </c>
      <c r="K71" s="0" t="n">
        <f aca="false">IF(2_Utilité!AO71&gt;0,2_Utilité!K71/2_Utilité!AO71,0)</f>
        <v>0.0194242965832177</v>
      </c>
      <c r="L71" s="0" t="n">
        <f aca="false">IF(2_Utilité!AO71&gt;0,2_Utilité!L71/2_Utilité!AO71,0)</f>
        <v>0.019375184365843</v>
      </c>
      <c r="M71" s="0" t="n">
        <f aca="false">IF(2_Utilité!AO71&gt;0,2_Utilité!M71/2_Utilité!AO71,0)</f>
        <v>0.103236069323907</v>
      </c>
      <c r="N71" s="0" t="n">
        <f aca="false">IF(2_Utilité!AO71&gt;0,2_Utilité!N71/2_Utilité!AO71,0)</f>
        <v>0.0140642908083124</v>
      </c>
      <c r="O71" s="0" t="n">
        <f aca="false">IF(2_Utilité!AO71&gt;0,2_Utilité!O71/2_Utilité!AO71,0)</f>
        <v>0.0446639417870878</v>
      </c>
      <c r="P71" s="0" t="n">
        <f aca="false">IF(2_Utilité!AO71&gt;0,2_Utilité!P71/2_Utilité!AO71,0)</f>
        <v>0.02162421720364</v>
      </c>
      <c r="Q71" s="0" t="n">
        <f aca="false">IF(2_Utilité!AO71&gt;0,2_Utilité!Q71/2_Utilité!AO71,0)</f>
        <v>0.188771246577427</v>
      </c>
      <c r="R71" s="0" t="n">
        <f aca="false">IF(2_Utilité!AO71&gt;0,2_Utilité!R71/2_Utilité!AO71,0)</f>
        <v>0.0250627788708583</v>
      </c>
      <c r="S71" s="0" t="n">
        <f aca="false">IF(2_Utilité!AO71&gt;0,2_Utilité!S71/2_Utilité!AO71,0)</f>
        <v>0.0186246243833169</v>
      </c>
      <c r="T71" s="0" t="n">
        <f aca="false">IF(2_Utilité!AO71&gt;0,2_Utilité!T71/2_Utilité!AO71,0)</f>
        <v>0.010383678524072</v>
      </c>
      <c r="U71" s="0" t="n">
        <f aca="false">IF(2_Utilité!AO71&gt;0,2_Utilité!U71/2_Utilité!AO71,0)</f>
        <v>0.00186324157962018</v>
      </c>
      <c r="V71" s="0" t="n">
        <f aca="false">IF(2_Utilité!AO71&gt;0,2_Utilité!V71/2_Utilité!AO71,0)</f>
        <v>0.00500047118961979</v>
      </c>
      <c r="W71" s="0" t="n">
        <f aca="false">IF(2_Utilité!AO71&gt;0,2_Utilité!W71/2_Utilité!AO71,0)</f>
        <v>0.000794002433401347</v>
      </c>
      <c r="X71" s="0" t="n">
        <f aca="false">IF(2_Utilité!AO71&gt;0,2_Utilité!X71/2_Utilité!AO71,0)</f>
        <v>0.00107139622301547</v>
      </c>
      <c r="Y71" s="0" t="n">
        <f aca="false">IF(2_Utilité!AO71&gt;0,2_Utilité!Y71/2_Utilité!AO71,0)</f>
        <v>0.000712897754935434</v>
      </c>
      <c r="Z71" s="0" t="n">
        <f aca="false">IF(2_Utilité!AO71&gt;0,2_Utilité!Z71/2_Utilité!AO71,0)</f>
        <v>0.00173335208245603</v>
      </c>
      <c r="AA71" s="0" t="n">
        <f aca="false">IF(2_Utilité!AO71&gt;0,2_Utilité!AA71/2_Utilité!AO71,0)</f>
        <v>0.00301225319427188</v>
      </c>
      <c r="AB71" s="0" t="n">
        <f aca="false">IF(2_Utilité!AO71&gt;0,2_Utilité!AB71/2_Utilité!AO71,0)</f>
        <v>0.00126179256103965</v>
      </c>
      <c r="AC71" s="0" t="n">
        <f aca="false">IF(2_Utilité!AO71&gt;0,2_Utilité!AC71/2_Utilité!AO71,0)</f>
        <v>0</v>
      </c>
      <c r="AD71" s="0" t="n">
        <f aca="false">IF(2_Utilité!AO71&gt;0,2_Utilité!AD71/2_Utilité!AO71,0)</f>
        <v>0</v>
      </c>
      <c r="AE71" s="0" t="n">
        <f aca="false">IF(2_Utilité!AO71&gt;0,2_Utilité!AE71/2_Utilité!AO71,0)</f>
        <v>0</v>
      </c>
      <c r="AF71" s="0" t="n">
        <f aca="false">IF(2_Utilité!AO71&gt;0,2_Utilité!AF71/2_Utilité!AO71,0)</f>
        <v>0</v>
      </c>
      <c r="AG71" s="0" t="n">
        <f aca="false">IF(2_Utilité!AO71&gt;0,2_Utilité!AG71/2_Utilité!AO71,0)</f>
        <v>0.00100136478952173</v>
      </c>
      <c r="AH71" s="0" t="n">
        <f aca="false">IF(2_Utilité!AO71&gt;0,2_Utilité!AH71/2_Utilité!AO71,0)</f>
        <v>0.059807893450993</v>
      </c>
      <c r="AI71" s="0" t="n">
        <f aca="false">IF(2_Utilité!AO71&gt;0,2_Utilité!AI71/2_Utilité!AO71,0)</f>
        <v>0.00506849875480426</v>
      </c>
      <c r="AJ71" s="0" t="n">
        <f aca="false">IF(2_Utilité!AO71&gt;0,2_Utilité!AJ71/2_Utilité!AO71,0)</f>
        <v>0.00149917660447512</v>
      </c>
      <c r="AK71" s="0" t="n">
        <f aca="false">IF(2_Utilité!AO71&gt;0,2_Utilité!AK71/2_Utilité!AO71,0)</f>
        <v>0</v>
      </c>
      <c r="AL71" s="0" t="n">
        <f aca="false">IF(2_Utilité!AO71&gt;0,2_Utilité!AL71/2_Utilité!AO71,0)</f>
        <v>0</v>
      </c>
      <c r="AM71" s="49" t="n">
        <f aca="false">IF(2_Utilité!AO71&gt;0,2_Utilité!AM71/2_Utilité!AO71,0)</f>
        <v>0.0658655397411713</v>
      </c>
      <c r="AN71" s="43" t="n">
        <f aca="false">IF(2_Utilité!AO71&gt;0,2_Utilité!AN71/2_Utilité!AO71,0)</f>
        <v>0</v>
      </c>
      <c r="AO71" s="43" t="n">
        <f aca="false">SUM(C71:AN71)</f>
        <v>1</v>
      </c>
      <c r="AP71" s="43" t="n">
        <f aca="false">COUNTIF(Matrice_OD!$C71:$AN71,"&lt;="&amp;Param!$B$2)</f>
        <v>31</v>
      </c>
    </row>
    <row r="72" customFormat="false" ht="15" hidden="false" customHeight="true" outlineLevel="0" collapsed="false">
      <c r="A72" s="0" t="s">
        <v>242</v>
      </c>
      <c r="B72" s="0" t="s">
        <v>243</v>
      </c>
      <c r="C72" s="0" t="n">
        <f aca="false">IF(2_Utilité!AO72&gt;0,2_Utilité!C72/2_Utilité!AO72,0)</f>
        <v>0.0379008782776326</v>
      </c>
      <c r="D72" s="0" t="n">
        <f aca="false">IF(2_Utilité!AO72&gt;0,2_Utilité!D72/2_Utilité!AO72,0)</f>
        <v>0.01327839285533</v>
      </c>
      <c r="E72" s="0" t="n">
        <f aca="false">IF(2_Utilité!AO72&gt;0,2_Utilité!E72/2_Utilité!AO72,0)</f>
        <v>0.13897062505539</v>
      </c>
      <c r="F72" s="0" t="n">
        <f aca="false">IF(2_Utilité!AO72&gt;0,2_Utilité!F72/2_Utilité!AO72,0)</f>
        <v>0.0249335080145194</v>
      </c>
      <c r="G72" s="0" t="n">
        <f aca="false">IF(2_Utilité!AO72&gt;0,2_Utilité!G72/2_Utilité!AO72,0)</f>
        <v>0.0696060574944514</v>
      </c>
      <c r="H72" s="0" t="n">
        <f aca="false">IF(2_Utilité!AO72&gt;0,2_Utilité!H72/2_Utilité!AO72,0)</f>
        <v>0.0154769510520584</v>
      </c>
      <c r="I72" s="0" t="n">
        <f aca="false">IF(2_Utilité!AO72&gt;0,2_Utilité!I72/2_Utilité!AO72,0)</f>
        <v>0.0355302367718004</v>
      </c>
      <c r="J72" s="0" t="n">
        <f aca="false">IF(2_Utilité!AO72&gt;0,2_Utilité!J72/2_Utilité!AO72,0)</f>
        <v>0.0280706684896929</v>
      </c>
      <c r="K72" s="0" t="n">
        <f aca="false">IF(2_Utilité!AO72&gt;0,2_Utilité!K72/2_Utilité!AO72,0)</f>
        <v>0.0174020703802702</v>
      </c>
      <c r="L72" s="0" t="n">
        <f aca="false">IF(2_Utilité!AO72&gt;0,2_Utilité!L72/2_Utilité!AO72,0)</f>
        <v>0.0173524222017423</v>
      </c>
      <c r="M72" s="0" t="n">
        <f aca="false">IF(2_Utilité!AO72&gt;0,2_Utilité!M72/2_Utilité!AO72,0)</f>
        <v>0.0924328439217309</v>
      </c>
      <c r="N72" s="0" t="n">
        <f aca="false">IF(2_Utilité!AO72&gt;0,2_Utilité!N72/2_Utilité!AO72,0)</f>
        <v>0.0125539207842369</v>
      </c>
      <c r="O72" s="0" t="n">
        <f aca="false">IF(2_Utilité!AO72&gt;0,2_Utilité!O72/2_Utilité!AO72,0)</f>
        <v>0.0398455186168681</v>
      </c>
      <c r="P72" s="0" t="n">
        <f aca="false">IF(2_Utilité!AO72&gt;0,2_Utilité!P72/2_Utilité!AO72,0)</f>
        <v>0.0192816474849149</v>
      </c>
      <c r="Q72" s="0" t="n">
        <f aca="false">IF(2_Utilité!AO72&gt;0,2_Utilité!Q72/2_Utilité!AO72,0)</f>
        <v>0.167743093961698</v>
      </c>
      <c r="R72" s="0" t="n">
        <f aca="false">IF(2_Utilité!AO72&gt;0,2_Utilité!R72/2_Utilité!AO72,0)</f>
        <v>0.0222443619792045</v>
      </c>
      <c r="S72" s="0" t="n">
        <f aca="false">IF(2_Utilité!AO72&gt;0,2_Utilité!S72/2_Utilité!AO72,0)</f>
        <v>0.0164877882885659</v>
      </c>
      <c r="T72" s="0" t="n">
        <f aca="false">IF(2_Utilité!AO72&gt;0,2_Utilité!T72/2_Utilité!AO72,0)</f>
        <v>0.0207146709716916</v>
      </c>
      <c r="U72" s="0" t="n">
        <f aca="false">IF(2_Utilité!AO72&gt;0,2_Utilité!U72/2_Utilité!AO72,0)</f>
        <v>0.00288780670748048</v>
      </c>
      <c r="V72" s="0" t="n">
        <f aca="false">IF(2_Utilité!AO72&gt;0,2_Utilité!V72/2_Utilité!AO72,0)</f>
        <v>0.0162689995048005</v>
      </c>
      <c r="W72" s="0" t="n">
        <f aca="false">IF(2_Utilité!AO72&gt;0,2_Utilité!W72/2_Utilité!AO72,0)</f>
        <v>0.00265741725087639</v>
      </c>
      <c r="X72" s="0" t="n">
        <f aca="false">IF(2_Utilité!AO72&gt;0,2_Utilité!X72/2_Utilité!AO72,0)</f>
        <v>0.00359098677189789</v>
      </c>
      <c r="Y72" s="0" t="n">
        <f aca="false">IF(2_Utilité!AO72&gt;0,2_Utilité!Y72/2_Utilité!AO72,0)</f>
        <v>0.0023900375218234</v>
      </c>
      <c r="Z72" s="0" t="n">
        <f aca="false">IF(2_Utilité!AO72&gt;0,2_Utilité!Z72/2_Utilité!AO72,0)</f>
        <v>0.00583329629475966</v>
      </c>
      <c r="AA72" s="0" t="n">
        <f aca="false">IF(2_Utilité!AO72&gt;0,2_Utilité!AA72/2_Utilité!AO72,0)</f>
        <v>0.0103316006832806</v>
      </c>
      <c r="AB72" s="0" t="n">
        <f aca="false">IF(2_Utilité!AO72&gt;0,2_Utilité!AB72/2_Utilité!AO72,0)</f>
        <v>0.00436935156660353</v>
      </c>
      <c r="AC72" s="0" t="n">
        <f aca="false">IF(2_Utilité!AO72&gt;0,2_Utilité!AC72/2_Utilité!AO72,0)</f>
        <v>0</v>
      </c>
      <c r="AD72" s="0" t="n">
        <f aca="false">IF(2_Utilité!AO72&gt;0,2_Utilité!AD72/2_Utilité!AO72,0)</f>
        <v>0</v>
      </c>
      <c r="AE72" s="0" t="n">
        <f aca="false">IF(2_Utilité!AO72&gt;0,2_Utilité!AE72/2_Utilité!AO72,0)</f>
        <v>0</v>
      </c>
      <c r="AF72" s="0" t="n">
        <f aca="false">IF(2_Utilité!AO72&gt;0,2_Utilité!AF72/2_Utilité!AO72,0)</f>
        <v>0</v>
      </c>
      <c r="AG72" s="0" t="n">
        <f aca="false">IF(2_Utilité!AO72&gt;0,2_Utilité!AG72/2_Utilité!AO72,0)</f>
        <v>0.000571394733193506</v>
      </c>
      <c r="AH72" s="0" t="n">
        <f aca="false">IF(2_Utilité!AO72&gt;0,2_Utilité!AH72/2_Utilité!AO72,0)</f>
        <v>0.0525684220578603</v>
      </c>
      <c r="AI72" s="0" t="n">
        <f aca="false">IF(2_Utilité!AO72&gt;0,2_Utilité!AI72/2_Utilité!AO72,0)</f>
        <v>0.00994576399463092</v>
      </c>
      <c r="AJ72" s="0" t="n">
        <f aca="false">IF(2_Utilité!AO72&gt;0,2_Utilité!AJ72/2_Utilité!AO72,0)</f>
        <v>0.00508103335658998</v>
      </c>
      <c r="AK72" s="0" t="n">
        <f aca="false">IF(2_Utilité!AO72&gt;0,2_Utilité!AK72/2_Utilité!AO72,0)</f>
        <v>0</v>
      </c>
      <c r="AL72" s="0" t="n">
        <f aca="false">IF(2_Utilité!AO72&gt;0,2_Utilité!AL72/2_Utilité!AO72,0)</f>
        <v>0</v>
      </c>
      <c r="AM72" s="48" t="n">
        <f aca="false">IF(2_Utilité!AO72&gt;0,2_Utilité!AM72/2_Utilité!AO72,0)</f>
        <v>0.0936782329544041</v>
      </c>
      <c r="AN72" s="43" t="n">
        <f aca="false">IF(2_Utilité!AO72&gt;0,2_Utilité!AN72/2_Utilité!AO72,0)</f>
        <v>0</v>
      </c>
      <c r="AO72" s="43" t="n">
        <f aca="false">SUM(C72:AN72)</f>
        <v>1</v>
      </c>
      <c r="AP72" s="43" t="n">
        <f aca="false">COUNTIF(Matrice_OD!$C72:$AN72,"&lt;="&amp;Param!$B$2)</f>
        <v>31</v>
      </c>
    </row>
    <row r="73" customFormat="false" ht="15" hidden="false" customHeight="true" outlineLevel="0" collapsed="false">
      <c r="A73" s="0" t="s">
        <v>244</v>
      </c>
      <c r="B73" s="0" t="s">
        <v>245</v>
      </c>
      <c r="C73" s="0" t="n">
        <f aca="false">IF(2_Utilité!AO73&gt;0,2_Utilité!C73/2_Utilité!AO73,0)</f>
        <v>0.0300621865569191</v>
      </c>
      <c r="D73" s="0" t="n">
        <f aca="false">IF(2_Utilité!AO73&gt;0,2_Utilité!D73/2_Utilité!AO73,0)</f>
        <v>0.0123303421015144</v>
      </c>
      <c r="E73" s="0" t="n">
        <f aca="false">IF(2_Utilité!AO73&gt;0,2_Utilité!E73/2_Utilité!AO73,0)</f>
        <v>0.130403794396932</v>
      </c>
      <c r="F73" s="0" t="n">
        <f aca="false">IF(2_Utilité!AO73&gt;0,2_Utilité!F73/2_Utilité!AO73,0)</f>
        <v>0.0237220697529716</v>
      </c>
      <c r="G73" s="0" t="n">
        <f aca="false">IF(2_Utilité!AO73&gt;0,2_Utilité!G73/2_Utilité!AO73,0)</f>
        <v>0.0654408036046359</v>
      </c>
      <c r="H73" s="0" t="n">
        <f aca="false">IF(2_Utilité!AO73&gt;0,2_Utilité!H73/2_Utilité!AO73,0)</f>
        <v>0.0164982689728511</v>
      </c>
      <c r="I73" s="0" t="n">
        <f aca="false">IF(2_Utilité!AO73&gt;0,2_Utilité!I73/2_Utilité!AO73,0)</f>
        <v>0.0357212321025561</v>
      </c>
      <c r="J73" s="0" t="n">
        <f aca="false">IF(2_Utilité!AO73&gt;0,2_Utilité!J73/2_Utilité!AO73,0)</f>
        <v>0.0280449336726024</v>
      </c>
      <c r="K73" s="0" t="n">
        <f aca="false">IF(2_Utilité!AO73&gt;0,2_Utilité!K73/2_Utilité!AO73,0)</f>
        <v>0.0174090333314917</v>
      </c>
      <c r="L73" s="0" t="n">
        <f aca="false">IF(2_Utilité!AO73&gt;0,2_Utilité!L73/2_Utilité!AO73,0)</f>
        <v>0.0178794554069097</v>
      </c>
      <c r="M73" s="0" t="n">
        <f aca="false">IF(2_Utilité!AO73&gt;0,2_Utilité!M73/2_Utilité!AO73,0)</f>
        <v>0.099011779550195</v>
      </c>
      <c r="N73" s="0" t="n">
        <f aca="false">IF(2_Utilité!AO73&gt;0,2_Utilité!N73/2_Utilité!AO73,0)</f>
        <v>0.0130609494787831</v>
      </c>
      <c r="O73" s="0" t="n">
        <f aca="false">IF(2_Utilité!AO73&gt;0,2_Utilité!O73/2_Utilité!AO73,0)</f>
        <v>0.041147583098318</v>
      </c>
      <c r="P73" s="0" t="n">
        <f aca="false">IF(2_Utilité!AO73&gt;0,2_Utilité!P73/2_Utilité!AO73,0)</f>
        <v>0.019922002294332</v>
      </c>
      <c r="Q73" s="0" t="n">
        <f aca="false">IF(2_Utilité!AO73&gt;0,2_Utilité!Q73/2_Utilité!AO73,0)</f>
        <v>0.173651971589779</v>
      </c>
      <c r="R73" s="0" t="n">
        <f aca="false">IF(2_Utilité!AO73&gt;0,2_Utilité!R73/2_Utilité!AO73,0)</f>
        <v>0.0230450990223844</v>
      </c>
      <c r="S73" s="0" t="n">
        <f aca="false">IF(2_Utilité!AO73&gt;0,2_Utilité!S73/2_Utilité!AO73,0)</f>
        <v>0.0171087356519721</v>
      </c>
      <c r="T73" s="0" t="n">
        <f aca="false">IF(2_Utilité!AO73&gt;0,2_Utilité!T73/2_Utilité!AO73,0)</f>
        <v>0.0217561699217718</v>
      </c>
      <c r="U73" s="0" t="n">
        <f aca="false">IF(2_Utilité!AO73&gt;0,2_Utilité!U73/2_Utilité!AO73,0)</f>
        <v>0.00403492816664201</v>
      </c>
      <c r="V73" s="0" t="n">
        <f aca="false">IF(2_Utilité!AO73&gt;0,2_Utilité!V73/2_Utilité!AO73,0)</f>
        <v>0.0222137252893804</v>
      </c>
      <c r="W73" s="0" t="n">
        <f aca="false">IF(2_Utilité!AO73&gt;0,2_Utilité!W73/2_Utilité!AO73,0)</f>
        <v>0.00368671935153412</v>
      </c>
      <c r="X73" s="0" t="n">
        <f aca="false">IF(2_Utilité!AO73&gt;0,2_Utilité!X73/2_Utilité!AO73,0)</f>
        <v>0.00498198091906687</v>
      </c>
      <c r="Y73" s="0" t="n">
        <f aca="false">IF(2_Utilité!AO73&gt;0,2_Utilité!Y73/2_Utilité!AO73,0)</f>
        <v>0.00331881030894614</v>
      </c>
      <c r="Z73" s="0" t="n">
        <f aca="false">IF(2_Utilité!AO73&gt;0,2_Utilité!Z73/2_Utilité!AO73,0)</f>
        <v>0.00811667612446147</v>
      </c>
      <c r="AA73" s="0" t="n">
        <f aca="false">IF(2_Utilité!AO73&gt;0,2_Utilité!AA73/2_Utilité!AO73,0)</f>
        <v>0.0145119952020069</v>
      </c>
      <c r="AB73" s="0" t="n">
        <f aca="false">IF(2_Utilité!AO73&gt;0,2_Utilité!AB73/2_Utilité!AO73,0)</f>
        <v>0.00617369220066352</v>
      </c>
      <c r="AC73" s="0" t="n">
        <f aca="false">IF(2_Utilité!AO73&gt;0,2_Utilité!AC73/2_Utilité!AO73,0)</f>
        <v>0</v>
      </c>
      <c r="AD73" s="0" t="n">
        <f aca="false">IF(2_Utilité!AO73&gt;0,2_Utilité!AD73/2_Utilité!AO73,0)</f>
        <v>0</v>
      </c>
      <c r="AE73" s="0" t="n">
        <f aca="false">IF(2_Utilité!AO73&gt;0,2_Utilité!AE73/2_Utilité!AO73,0)</f>
        <v>0</v>
      </c>
      <c r="AF73" s="0" t="n">
        <f aca="false">IF(2_Utilité!AO73&gt;0,2_Utilité!AF73/2_Utilité!AO73,0)</f>
        <v>0</v>
      </c>
      <c r="AG73" s="0" t="n">
        <f aca="false">IF(2_Utilité!AO73&gt;0,2_Utilité!AG73/2_Utilité!AO73,0)</f>
        <v>0.000328249346567794</v>
      </c>
      <c r="AH73" s="0" t="n">
        <f aca="false">IF(2_Utilité!AO73&gt;0,2_Utilité!AH73/2_Utilité!AO73,0)</f>
        <v>0.054792584764965</v>
      </c>
      <c r="AI73" s="0" t="n">
        <f aca="false">IF(2_Utilité!AO73&gt;0,2_Utilité!AI73/2_Utilité!AO73,0)</f>
        <v>0.0103537391414402</v>
      </c>
      <c r="AJ73" s="0" t="n">
        <f aca="false">IF(2_Utilité!AO73&gt;0,2_Utilité!AJ73/2_Utilité!AO73,0)</f>
        <v>0.00709687070656053</v>
      </c>
      <c r="AK73" s="0" t="n">
        <f aca="false">IF(2_Utilité!AO73&gt;0,2_Utilité!AK73/2_Utilité!AO73,0)</f>
        <v>0</v>
      </c>
      <c r="AL73" s="0" t="n">
        <f aca="false">IF(2_Utilité!AO73&gt;0,2_Utilité!AL73/2_Utilité!AO73,0)</f>
        <v>0</v>
      </c>
      <c r="AM73" s="49" t="n">
        <f aca="false">IF(2_Utilité!AO73&gt;0,2_Utilité!AM73/2_Utilité!AO73,0)</f>
        <v>0.0741736179708457</v>
      </c>
      <c r="AN73" s="43" t="n">
        <f aca="false">IF(2_Utilité!AO73&gt;0,2_Utilité!AN73/2_Utilité!AO73,0)</f>
        <v>0</v>
      </c>
      <c r="AO73" s="43" t="n">
        <f aca="false">SUM(C73:AN73)</f>
        <v>1</v>
      </c>
      <c r="AP73" s="43" t="n">
        <f aca="false">COUNTIF(Matrice_OD!$C73:$AN73,"&lt;="&amp;Param!$B$2)</f>
        <v>31</v>
      </c>
    </row>
    <row r="74" customFormat="false" ht="15" hidden="false" customHeight="true" outlineLevel="0" collapsed="false">
      <c r="A74" s="0" t="s">
        <v>246</v>
      </c>
      <c r="B74" s="0" t="s">
        <v>247</v>
      </c>
      <c r="C74" s="0" t="n">
        <f aca="false">IF(2_Utilité!AO74&gt;0,2_Utilité!C74/2_Utilité!AO74,0)</f>
        <v>0.0519459964435242</v>
      </c>
      <c r="D74" s="0" t="n">
        <f aca="false">IF(2_Utilité!AO74&gt;0,2_Utilité!D74/2_Utilité!AO74,0)</f>
        <v>0.00981268040657195</v>
      </c>
      <c r="E74" s="0" t="n">
        <f aca="false">IF(2_Utilité!AO74&gt;0,2_Utilité!E74/2_Utilité!AO74,0)</f>
        <v>0.10028023072082</v>
      </c>
      <c r="F74" s="0" t="n">
        <f aca="false">IF(2_Utilité!AO74&gt;0,2_Utilité!F74/2_Utilité!AO74,0)</f>
        <v>0.0183620151496556</v>
      </c>
      <c r="G74" s="0" t="n">
        <f aca="false">IF(2_Utilité!AO74&gt;0,2_Utilité!G74/2_Utilité!AO74,0)</f>
        <v>0.0495490745127069</v>
      </c>
      <c r="H74" s="0" t="n">
        <f aca="false">IF(2_Utilité!AO74&gt;0,2_Utilité!H74/2_Utilité!AO74,0)</f>
        <v>0.0133983822752348</v>
      </c>
      <c r="I74" s="0" t="n">
        <f aca="false">IF(2_Utilité!AO74&gt;0,2_Utilité!I74/2_Utilité!AO74,0)</f>
        <v>0.0277237718672703</v>
      </c>
      <c r="J74" s="0" t="n">
        <f aca="false">IF(2_Utilité!AO74&gt;0,2_Utilité!J74/2_Utilité!AO74,0)</f>
        <v>0.0214882107158403</v>
      </c>
      <c r="K74" s="0" t="n">
        <f aca="false">IF(2_Utilité!AO74&gt;0,2_Utilité!K74/2_Utilité!AO74,0)</f>
        <v>0.0132776158247014</v>
      </c>
      <c r="L74" s="0" t="n">
        <f aca="false">IF(2_Utilité!AO74&gt;0,2_Utilité!L74/2_Utilité!AO74,0)</f>
        <v>0.0138866031520136</v>
      </c>
      <c r="M74" s="0" t="n">
        <f aca="false">IF(2_Utilité!AO74&gt;0,2_Utilité!M74/2_Utilité!AO74,0)</f>
        <v>0.0790054361009675</v>
      </c>
      <c r="N74" s="0" t="n">
        <f aca="false">IF(2_Utilité!AO74&gt;0,2_Utilité!N74/2_Utilité!AO74,0)</f>
        <v>0.0101171540807765</v>
      </c>
      <c r="O74" s="0" t="n">
        <f aca="false">IF(2_Utilité!AO74&gt;0,2_Utilité!O74/2_Utilité!AO74,0)</f>
        <v>0.031657746342942</v>
      </c>
      <c r="P74" s="0" t="n">
        <f aca="false">IF(2_Utilité!AO74&gt;0,2_Utilité!P74/2_Utilité!AO74,0)</f>
        <v>0.015294000295609</v>
      </c>
      <c r="Q74" s="0" t="n">
        <f aca="false">IF(2_Utilité!AO74&gt;0,2_Utilité!Q74/2_Utilité!AO74,0)</f>
        <v>0.132217266038406</v>
      </c>
      <c r="R74" s="0" t="n">
        <f aca="false">IF(2_Utilité!AO74&gt;0,2_Utilité!R74/2_Utilité!AO74,0)</f>
        <v>0.0174911490802526</v>
      </c>
      <c r="S74" s="0" t="n">
        <f aca="false">IF(2_Utilité!AO74&gt;0,2_Utilité!S74/2_Utilité!AO74,0)</f>
        <v>0.0128976244832663</v>
      </c>
      <c r="T74" s="0" t="n">
        <f aca="false">IF(2_Utilité!AO74&gt;0,2_Utilité!T74/2_Utilité!AO74,0)</f>
        <v>0.0450627443500913</v>
      </c>
      <c r="U74" s="0" t="n">
        <f aca="false">IF(2_Utilité!AO74&gt;0,2_Utilité!U74/2_Utilité!AO74,0)</f>
        <v>0.00803657500515593</v>
      </c>
      <c r="V74" s="0" t="n">
        <f aca="false">IF(2_Utilité!AO74&gt;0,2_Utilité!V74/2_Utilité!AO74,0)</f>
        <v>0.044379561972028</v>
      </c>
      <c r="W74" s="0" t="n">
        <f aca="false">IF(2_Utilité!AO74&gt;0,2_Utilité!W74/2_Utilité!AO74,0)</f>
        <v>0.00735020114411239</v>
      </c>
      <c r="X74" s="0" t="n">
        <f aca="false">IF(2_Utilité!AO74&gt;0,2_Utilité!X74/2_Utilité!AO74,0)</f>
        <v>0.0099314082548587</v>
      </c>
      <c r="Y74" s="0" t="n">
        <f aca="false">IF(2_Utilité!AO74&gt;0,2_Utilité!Y74/2_Utilité!AO74,0)</f>
        <v>0.00661587068819503</v>
      </c>
      <c r="Z74" s="0" t="n">
        <f aca="false">IF(2_Utilité!AO74&gt;0,2_Utilité!Z74/2_Utilité!AO74,0)</f>
        <v>0.0161756248507249</v>
      </c>
      <c r="AA74" s="0" t="n">
        <f aca="false">IF(2_Utilité!AO74&gt;0,2_Utilité!AA74/2_Utilité!AO74,0)</f>
        <v>0.0288799964711977</v>
      </c>
      <c r="AB74" s="0" t="n">
        <f aca="false">IF(2_Utilité!AO74&gt;0,2_Utilité!AB74/2_Utilité!AO74,0)</f>
        <v>0.012277579662673</v>
      </c>
      <c r="AC74" s="0" t="n">
        <f aca="false">IF(2_Utilité!AO74&gt;0,2_Utilité!AC74/2_Utilité!AO74,0)</f>
        <v>0</v>
      </c>
      <c r="AD74" s="0" t="n">
        <f aca="false">IF(2_Utilité!AO74&gt;0,2_Utilité!AD74/2_Utilité!AO74,0)</f>
        <v>0</v>
      </c>
      <c r="AE74" s="0" t="n">
        <f aca="false">IF(2_Utilité!AO74&gt;0,2_Utilité!AE74/2_Utilité!AO74,0)</f>
        <v>0</v>
      </c>
      <c r="AF74" s="0" t="n">
        <f aca="false">IF(2_Utilité!AO74&gt;0,2_Utilité!AF74/2_Utilité!AO74,0)</f>
        <v>0</v>
      </c>
      <c r="AG74" s="0" t="n">
        <f aca="false">IF(2_Utilité!AO74&gt;0,2_Utilité!AG74/2_Utilité!AO74,0)</f>
        <v>0</v>
      </c>
      <c r="AH74" s="0" t="n">
        <f aca="false">IF(2_Utilité!AO74&gt;0,2_Utilité!AH74/2_Utilité!AO74,0)</f>
        <v>0.0405323190171479</v>
      </c>
      <c r="AI74" s="0" t="n">
        <f aca="false">IF(2_Utilité!AO74&gt;0,2_Utilité!AI74/2_Utilité!AO74,0)</f>
        <v>0.0214714464737063</v>
      </c>
      <c r="AJ74" s="0" t="n">
        <f aca="false">IF(2_Utilité!AO74&gt;0,2_Utilité!AJ74/2_Utilité!AO74,0)</f>
        <v>0.0141358873538824</v>
      </c>
      <c r="AK74" s="0" t="n">
        <f aca="false">IF(2_Utilité!AO74&gt;0,2_Utilité!AK74/2_Utilité!AO74,0)</f>
        <v>0</v>
      </c>
      <c r="AL74" s="0" t="n">
        <f aca="false">IF(2_Utilité!AO74&gt;0,2_Utilité!AL74/2_Utilité!AO74,0)</f>
        <v>0</v>
      </c>
      <c r="AM74" s="48" t="n">
        <f aca="false">IF(2_Utilité!AO74&gt;0,2_Utilité!AM74/2_Utilité!AO74,0)</f>
        <v>0.126745827265667</v>
      </c>
      <c r="AN74" s="43" t="n">
        <f aca="false">IF(2_Utilité!AO74&gt;0,2_Utilité!AN74/2_Utilité!AO74,0)</f>
        <v>0</v>
      </c>
      <c r="AO74" s="43" t="n">
        <f aca="false">SUM(C74:AN74)</f>
        <v>1</v>
      </c>
      <c r="AP74" s="43" t="n">
        <f aca="false">COUNTIF(Matrice_OD!$C74:$AN74,"&lt;="&amp;Param!$B$2)</f>
        <v>30</v>
      </c>
    </row>
    <row r="75" customFormat="false" ht="15" hidden="false" customHeight="true" outlineLevel="0" collapsed="false">
      <c r="A75" s="0" t="s">
        <v>248</v>
      </c>
      <c r="B75" s="0" t="s">
        <v>249</v>
      </c>
      <c r="C75" s="0" t="n">
        <f aca="false">IF(2_Utilité!AO75&gt;0,2_Utilité!C75/2_Utilité!AO75,0)</f>
        <v>0.0181587507104291</v>
      </c>
      <c r="D75" s="0" t="n">
        <f aca="false">IF(2_Utilité!AO75&gt;0,2_Utilité!D75/2_Utilité!AO75,0)</f>
        <v>0.0077058351198605</v>
      </c>
      <c r="E75" s="0" t="n">
        <f aca="false">IF(2_Utilité!AO75&gt;0,2_Utilité!E75/2_Utilité!AO75,0)</f>
        <v>0.0794191815411003</v>
      </c>
      <c r="F75" s="0" t="n">
        <f aca="false">IF(2_Utilité!AO75&gt;0,2_Utilité!F75/2_Utilité!AO75,0)</f>
        <v>0.0145262432661343</v>
      </c>
      <c r="G75" s="0" t="n">
        <f aca="false">IF(2_Utilité!AO75&gt;0,2_Utilité!G75/2_Utilité!AO75,0)</f>
        <v>0.0393937216916271</v>
      </c>
      <c r="H75" s="0" t="n">
        <f aca="false">IF(2_Utilité!AO75&gt;0,2_Utilité!H75/2_Utilité!AO75,0)</f>
        <v>0.0104677016567313</v>
      </c>
      <c r="I75" s="0" t="n">
        <f aca="false">IF(2_Utilité!AO75&gt;0,2_Utilité!I75/2_Utilité!AO75,0)</f>
        <v>0.0219177393095895</v>
      </c>
      <c r="J75" s="0" t="n">
        <f aca="false">IF(2_Utilité!AO75&gt;0,2_Utilité!J75/2_Utilité!AO75,0)</f>
        <v>0.0170427120795772</v>
      </c>
      <c r="K75" s="0" t="n">
        <f aca="false">IF(2_Utilité!AO75&gt;0,2_Utilité!K75/2_Utilité!AO75,0)</f>
        <v>0.0105371561467164</v>
      </c>
      <c r="L75" s="0" t="n">
        <f aca="false">IF(2_Utilité!AO75&gt;0,2_Utilité!L75/2_Utilité!AO75,0)</f>
        <v>0.0109705644032926</v>
      </c>
      <c r="M75" s="0" t="n">
        <f aca="false">IF(2_Utilité!AO75&gt;0,2_Utilité!M75/2_Utilité!AO75,0)</f>
        <v>0.0620011928365449</v>
      </c>
      <c r="N75" s="0" t="n">
        <f aca="false">IF(2_Utilité!AO75&gt;0,2_Utilité!N75/2_Utilité!AO75,0)</f>
        <v>0.00800225474638755</v>
      </c>
      <c r="O75" s="0" t="n">
        <f aca="false">IF(2_Utilité!AO75&gt;0,2_Utilité!O75/2_Utilité!AO75,0)</f>
        <v>0.0250690302504725</v>
      </c>
      <c r="P75" s="0" t="n">
        <f aca="false">IF(2_Utilité!AO75&gt;0,2_Utilité!P75/2_Utilité!AO75,0)</f>
        <v>0.0121175571898892</v>
      </c>
      <c r="Q75" s="0" t="n">
        <f aca="false">IF(2_Utilité!AO75&gt;0,2_Utilité!Q75/2_Utilité!AO75,0)</f>
        <v>0.105029420996557</v>
      </c>
      <c r="R75" s="0" t="n">
        <f aca="false">IF(2_Utilité!AO75&gt;0,2_Utilité!R75/2_Utilité!AO75,0)</f>
        <v>0.0139053944499741</v>
      </c>
      <c r="S75" s="0" t="n">
        <f aca="false">IF(2_Utilité!AO75&gt;0,2_Utilité!S75/2_Utilité!AO75,0)</f>
        <v>0.0102653575894005</v>
      </c>
      <c r="T75" s="0" t="n">
        <f aca="false">IF(2_Utilité!AO75&gt;0,2_Utilité!T75/2_Utilité!AO75,0)</f>
        <v>0.0379457638713096</v>
      </c>
      <c r="U75" s="0" t="n">
        <f aca="false">IF(2_Utilité!AO75&gt;0,2_Utilité!U75/2_Utilité!AO75,0)</f>
        <v>0.0171198955082858</v>
      </c>
      <c r="V75" s="0" t="n">
        <f aca="false">IF(2_Utilité!AO75&gt;0,2_Utilité!V75/2_Utilité!AO75,0)</f>
        <v>0.114627089895788</v>
      </c>
      <c r="W75" s="0" t="n">
        <f aca="false">IF(2_Utilité!AO75&gt;0,2_Utilité!W75/2_Utilité!AO75,0)</f>
        <v>0.0201703349008906</v>
      </c>
      <c r="X75" s="0" t="n">
        <f aca="false">IF(2_Utilité!AO75&gt;0,2_Utilité!X75/2_Utilité!AO75,0)</f>
        <v>0.0273591948640959</v>
      </c>
      <c r="Y75" s="0" t="n">
        <f aca="false">IF(2_Utilité!AO75&gt;0,2_Utilité!Y75/2_Utilité!AO75,0)</f>
        <v>0.0182218181407054</v>
      </c>
      <c r="Z75" s="0" t="n">
        <f aca="false">IF(2_Utilité!AO75&gt;0,2_Utilité!Z75/2_Utilité!AO75,0)</f>
        <v>0.0449173893599808</v>
      </c>
      <c r="AA75" s="0" t="n">
        <f aca="false">IF(2_Utilité!AO75&gt;0,2_Utilité!AA75/2_Utilité!AO75,0)</f>
        <v>0.0836056235024733</v>
      </c>
      <c r="AB75" s="0" t="n">
        <f aca="false">IF(2_Utilité!AO75&gt;0,2_Utilité!AB75/2_Utilité!AO75,0)</f>
        <v>0.0362529157782867</v>
      </c>
      <c r="AC75" s="0" t="n">
        <f aca="false">IF(2_Utilité!AO75&gt;0,2_Utilité!AC75/2_Utilité!AO75,0)</f>
        <v>0</v>
      </c>
      <c r="AD75" s="0" t="n">
        <f aca="false">IF(2_Utilité!AO75&gt;0,2_Utilité!AD75/2_Utilité!AO75,0)</f>
        <v>0</v>
      </c>
      <c r="AE75" s="0" t="n">
        <f aca="false">IF(2_Utilité!AO75&gt;0,2_Utilité!AE75/2_Utilité!AO75,0)</f>
        <v>0</v>
      </c>
      <c r="AF75" s="0" t="n">
        <f aca="false">IF(2_Utilité!AO75&gt;0,2_Utilité!AF75/2_Utilité!AO75,0)</f>
        <v>0</v>
      </c>
      <c r="AG75" s="0" t="n">
        <f aca="false">IF(2_Utilité!AO75&gt;0,2_Utilité!AG75/2_Utilité!AO75,0)</f>
        <v>0</v>
      </c>
      <c r="AH75" s="0" t="n">
        <f aca="false">IF(2_Utilité!AO75&gt;0,2_Utilité!AH75/2_Utilité!AO75,0)</f>
        <v>0.0324307093776506</v>
      </c>
      <c r="AI75" s="0" t="n">
        <f aca="false">IF(2_Utilité!AO75&gt;0,2_Utilité!AI75/2_Utilité!AO75,0)</f>
        <v>0.0173850493766228</v>
      </c>
      <c r="AJ75" s="0" t="n">
        <f aca="false">IF(2_Utilité!AO75&gt;0,2_Utilité!AJ75/2_Utilité!AO75,0)</f>
        <v>0.0398551562721535</v>
      </c>
      <c r="AK75" s="0" t="n">
        <f aca="false">IF(2_Utilité!AO75&gt;0,2_Utilité!AK75/2_Utilité!AO75,0)</f>
        <v>0</v>
      </c>
      <c r="AL75" s="0" t="n">
        <f aca="false">IF(2_Utilité!AO75&gt;0,2_Utilité!AL75/2_Utilité!AO75,0)</f>
        <v>0</v>
      </c>
      <c r="AM75" s="49" t="n">
        <f aca="false">IF(2_Utilité!AO75&gt;0,2_Utilité!AM75/2_Utilité!AO75,0)</f>
        <v>0.0435792451674729</v>
      </c>
      <c r="AN75" s="43" t="n">
        <f aca="false">IF(2_Utilité!AO75&gt;0,2_Utilité!AN75/2_Utilité!AO75,0)</f>
        <v>0</v>
      </c>
      <c r="AO75" s="43" t="n">
        <f aca="false">SUM(C75:AN75)</f>
        <v>1</v>
      </c>
      <c r="AP75" s="43" t="n">
        <f aca="false">COUNTIF(Matrice_OD!$C75:$AN75,"&lt;="&amp;Param!$B$2)</f>
        <v>30</v>
      </c>
    </row>
    <row r="76" customFormat="false" ht="15" hidden="false" customHeight="true" outlineLevel="0" collapsed="false">
      <c r="A76" s="0" t="s">
        <v>250</v>
      </c>
      <c r="B76" s="0" t="s">
        <v>251</v>
      </c>
      <c r="C76" s="0" t="n">
        <f aca="false">IF(2_Utilité!AO76&gt;0,2_Utilité!C76/2_Utilité!AO76,0)</f>
        <v>0.0199041483594824</v>
      </c>
      <c r="D76" s="0" t="n">
        <f aca="false">IF(2_Utilité!AO76&gt;0,2_Utilité!D76/2_Utilité!AO76,0)</f>
        <v>0.0113456103543162</v>
      </c>
      <c r="E76" s="0" t="n">
        <f aca="false">IF(2_Utilité!AO76&gt;0,2_Utilité!E76/2_Utilité!AO76,0)</f>
        <v>0.118986606258659</v>
      </c>
      <c r="F76" s="0" t="n">
        <f aca="false">IF(2_Utilité!AO76&gt;0,2_Utilité!F76/2_Utilité!AO76,0)</f>
        <v>0.0216804567771458</v>
      </c>
      <c r="G76" s="0" t="n">
        <f aca="false">IF(2_Utilité!AO76&gt;0,2_Utilité!G76/2_Utilité!AO76,0)</f>
        <v>0.0594809985765289</v>
      </c>
      <c r="H76" s="0" t="n">
        <f aca="false">IF(2_Utilité!AO76&gt;0,2_Utilité!H76/2_Utilité!AO76,0)</f>
        <v>0.0152597082008054</v>
      </c>
      <c r="I76" s="0" t="n">
        <f aca="false">IF(2_Utilité!AO76&gt;0,2_Utilité!I76/2_Utilité!AO76,0)</f>
        <v>0.0326686150957968</v>
      </c>
      <c r="J76" s="0" t="n">
        <f aca="false">IF(2_Utilité!AO76&gt;0,2_Utilité!J76/2_Utilité!AO76,0)</f>
        <v>0.0255663619616614</v>
      </c>
      <c r="K76" s="0" t="n">
        <f aca="false">IF(2_Utilité!AO76&gt;0,2_Utilité!K76/2_Utilité!AO76,0)</f>
        <v>0.0158522513790622</v>
      </c>
      <c r="L76" s="0" t="n">
        <f aca="false">IF(2_Utilité!AO76&gt;0,2_Utilité!L76/2_Utilité!AO76,0)</f>
        <v>0.0163544990868289</v>
      </c>
      <c r="M76" s="0" t="n">
        <f aca="false">IF(2_Utilité!AO76&gt;0,2_Utilité!M76/2_Utilité!AO76,0)</f>
        <v>0.0911649816524471</v>
      </c>
      <c r="N76" s="0" t="n">
        <f aca="false">IF(2_Utilité!AO76&gt;0,2_Utilité!N76/2_Utilité!AO76,0)</f>
        <v>0.0119390361058699</v>
      </c>
      <c r="O76" s="0" t="n">
        <f aca="false">IF(2_Utilité!AO76&gt;0,2_Utilité!O76/2_Utilité!AO76,0)</f>
        <v>0.0375495403219609</v>
      </c>
      <c r="P76" s="0" t="n">
        <f aca="false">IF(2_Utilité!AO76&gt;0,2_Utilité!P76/2_Utilité!AO76,0)</f>
        <v>0.0181700984147695</v>
      </c>
      <c r="Q76" s="0" t="n">
        <f aca="false">IF(2_Utilité!AO76&gt;0,2_Utilité!Q76/2_Utilité!AO76,0)</f>
        <v>0.158056534962654</v>
      </c>
      <c r="R76" s="0" t="n">
        <f aca="false">IF(2_Utilité!AO76&gt;0,2_Utilité!R76/2_Utilité!AO76,0)</f>
        <v>0.0209589937399288</v>
      </c>
      <c r="S76" s="0" t="n">
        <f aca="false">IF(2_Utilité!AO76&gt;0,2_Utilité!S76/2_Utilité!AO76,0)</f>
        <v>0.0155337225247998</v>
      </c>
      <c r="T76" s="0" t="n">
        <f aca="false">IF(2_Utilité!AO76&gt;0,2_Utilité!T76/2_Utilité!AO76,0)</f>
        <v>0.0293128249296933</v>
      </c>
      <c r="U76" s="0" t="n">
        <f aca="false">IF(2_Utilité!AO76&gt;0,2_Utilité!U76/2_Utilité!AO76,0)</f>
        <v>0.00930653208646735</v>
      </c>
      <c r="V76" s="0" t="n">
        <f aca="false">IF(2_Utilité!AO76&gt;0,2_Utilité!V76/2_Utilité!AO76,0)</f>
        <v>0.0494223249742906</v>
      </c>
      <c r="W76" s="0" t="n">
        <f aca="false">IF(2_Utilité!AO76&gt;0,2_Utilité!W76/2_Utilité!AO76,0)</f>
        <v>0.00840436185071727</v>
      </c>
      <c r="X76" s="0" t="n">
        <f aca="false">IF(2_Utilité!AO76&gt;0,2_Utilité!X76/2_Utilité!AO76,0)</f>
        <v>0.0113801796793154</v>
      </c>
      <c r="Y76" s="0" t="n">
        <f aca="false">IF(2_Utilité!AO76&gt;0,2_Utilité!Y76/2_Utilité!AO76,0)</f>
        <v>0.00757708064210575</v>
      </c>
      <c r="Z76" s="0" t="n">
        <f aca="false">IF(2_Utilité!AO76&gt;0,2_Utilité!Z76/2_Utilité!AO76,0)</f>
        <v>0.0185933839126473</v>
      </c>
      <c r="AA76" s="0" t="n">
        <f aca="false">IF(2_Utilité!AO76&gt;0,2_Utilité!AA76/2_Utilité!AO76,0)</f>
        <v>0.0338335884220971</v>
      </c>
      <c r="AB76" s="0" t="n">
        <f aca="false">IF(2_Utilité!AO76&gt;0,2_Utilité!AB76/2_Utilité!AO76,0)</f>
        <v>0.0145046059162942</v>
      </c>
      <c r="AC76" s="0" t="n">
        <f aca="false">IF(2_Utilité!AO76&gt;0,2_Utilité!AC76/2_Utilité!AO76,0)</f>
        <v>0</v>
      </c>
      <c r="AD76" s="0" t="n">
        <f aca="false">IF(2_Utilité!AO76&gt;0,2_Utilité!AD76/2_Utilité!AO76,0)</f>
        <v>0</v>
      </c>
      <c r="AE76" s="0" t="n">
        <f aca="false">IF(2_Utilité!AO76&gt;0,2_Utilité!AE76/2_Utilité!AO76,0)</f>
        <v>0</v>
      </c>
      <c r="AF76" s="0" t="n">
        <f aca="false">IF(2_Utilité!AO76&gt;0,2_Utilité!AF76/2_Utilité!AO76,0)</f>
        <v>0</v>
      </c>
      <c r="AG76" s="0" t="n">
        <f aca="false">IF(2_Utilité!AO76&gt;0,2_Utilité!AG76/2_Utilité!AO76,0)</f>
        <v>0</v>
      </c>
      <c r="AH76" s="0" t="n">
        <f aca="false">IF(2_Utilité!AO76&gt;0,2_Utilité!AH76/2_Utilité!AO76,0)</f>
        <v>0.0495146920058473</v>
      </c>
      <c r="AI76" s="0" t="n">
        <f aca="false">IF(2_Utilité!AO76&gt;0,2_Utilité!AI76/2_Utilité!AO76,0)</f>
        <v>0.0131513691865189</v>
      </c>
      <c r="AJ76" s="0" t="n">
        <f aca="false">IF(2_Utilité!AO76&gt;0,2_Utilité!AJ76/2_Utilité!AO76,0)</f>
        <v>0.0163593902634173</v>
      </c>
      <c r="AK76" s="0" t="n">
        <f aca="false">IF(2_Utilité!AO76&gt;0,2_Utilité!AK76/2_Utilité!AO76,0)</f>
        <v>0</v>
      </c>
      <c r="AL76" s="0" t="n">
        <f aca="false">IF(2_Utilité!AO76&gt;0,2_Utilité!AL76/2_Utilité!AO76,0)</f>
        <v>0</v>
      </c>
      <c r="AM76" s="48" t="n">
        <f aca="false">IF(2_Utilité!AO76&gt;0,2_Utilité!AM76/2_Utilité!AO76,0)</f>
        <v>0.0481675023578716</v>
      </c>
      <c r="AN76" s="43" t="n">
        <f aca="false">IF(2_Utilité!AO76&gt;0,2_Utilité!AN76/2_Utilité!AO76,0)</f>
        <v>0</v>
      </c>
      <c r="AO76" s="43" t="n">
        <f aca="false">SUM(C76:AN76)</f>
        <v>1</v>
      </c>
      <c r="AP76" s="43" t="n">
        <f aca="false">COUNTIF(Matrice_OD!$C76:$AN76,"&lt;="&amp;Param!$B$2)</f>
        <v>30</v>
      </c>
    </row>
    <row r="77" customFormat="false" ht="15" hidden="false" customHeight="true" outlineLevel="0" collapsed="false">
      <c r="A77" s="0" t="s">
        <v>252</v>
      </c>
      <c r="B77" s="0" t="s">
        <v>253</v>
      </c>
      <c r="C77" s="0" t="n">
        <f aca="false">IF(2_Utilité!AO77&gt;0,2_Utilité!C77/2_Utilité!AO77,0)</f>
        <v>0.0121807387086524</v>
      </c>
      <c r="D77" s="0" t="n">
        <f aca="false">IF(2_Utilité!AO77&gt;0,2_Utilité!D77/2_Utilité!AO77,0)</f>
        <v>0.0111353498626952</v>
      </c>
      <c r="E77" s="0" t="n">
        <f aca="false">IF(2_Utilité!AO77&gt;0,2_Utilité!E77/2_Utilité!AO77,0)</f>
        <v>0.116541651060007</v>
      </c>
      <c r="F77" s="0" t="n">
        <f aca="false">IF(2_Utilité!AO77&gt;0,2_Utilité!F77/2_Utilité!AO77,0)</f>
        <v>0.02124174462844</v>
      </c>
      <c r="G77" s="0" t="n">
        <f aca="false">IF(2_Utilité!AO77&gt;0,2_Utilité!G77/2_Utilité!AO77,0)</f>
        <v>0.058214697934397</v>
      </c>
      <c r="H77" s="0" t="n">
        <f aca="false">IF(2_Utilité!AO77&gt;0,2_Utilité!H77/2_Utilité!AO77,0)</f>
        <v>0.0149859705001417</v>
      </c>
      <c r="I77" s="0" t="n">
        <f aca="false">IF(2_Utilité!AO77&gt;0,2_Utilité!I77/2_Utilité!AO77,0)</f>
        <v>0.032025284607308</v>
      </c>
      <c r="J77" s="0" t="n">
        <f aca="false">IF(2_Utilité!AO77&gt;0,2_Utilité!J77/2_Utilité!AO77,0)</f>
        <v>0.0250365789088969</v>
      </c>
      <c r="K77" s="0" t="n">
        <f aca="false">IF(2_Utilité!AO77&gt;0,2_Utilité!K77/2_Utilité!AO77,0)</f>
        <v>0.0155202753548604</v>
      </c>
      <c r="L77" s="0" t="n">
        <f aca="false">IF(2_Utilité!AO77&gt;0,2_Utilité!L77/2_Utilité!AO77,0)</f>
        <v>0.0160262127427362</v>
      </c>
      <c r="M77" s="0" t="n">
        <f aca="false">IF(2_Utilité!AO77&gt;0,2_Utilité!M77/2_Utilité!AO77,0)</f>
        <v>0.08948701092344</v>
      </c>
      <c r="N77" s="0" t="n">
        <f aca="false">IF(2_Utilité!AO77&gt;0,2_Utilité!N77/2_Utilité!AO77,0)</f>
        <v>0.0116978602426049</v>
      </c>
      <c r="O77" s="0" t="n">
        <f aca="false">IF(2_Utilité!AO77&gt;0,2_Utilité!O77/2_Utilité!AO77,0)</f>
        <v>0.0367788364115739</v>
      </c>
      <c r="P77" s="0" t="n">
        <f aca="false">IF(2_Utilité!AO77&gt;0,2_Utilité!P77/2_Utilité!AO77,0)</f>
        <v>0.0177952632793129</v>
      </c>
      <c r="Q77" s="0" t="n">
        <f aca="false">IF(2_Utilité!AO77&gt;0,2_Utilité!Q77/2_Utilité!AO77,0)</f>
        <v>0.154733723907535</v>
      </c>
      <c r="R77" s="0" t="n">
        <f aca="false">IF(2_Utilité!AO77&gt;0,2_Utilité!R77/2_Utilité!AO77,0)</f>
        <v>0.0205152202261438</v>
      </c>
      <c r="S77" s="0" t="n">
        <f aca="false">IF(2_Utilité!AO77&gt;0,2_Utilité!S77/2_Utilité!AO77,0)</f>
        <v>0.0151997867930939</v>
      </c>
      <c r="T77" s="0" t="n">
        <f aca="false">IF(2_Utilité!AO77&gt;0,2_Utilité!T77/2_Utilité!AO77,0)</f>
        <v>0.0313706365277208</v>
      </c>
      <c r="U77" s="0" t="n">
        <f aca="false">IF(2_Utilité!AO77&gt;0,2_Utilité!U77/2_Utilité!AO77,0)</f>
        <v>0.021286597666871</v>
      </c>
      <c r="V77" s="0" t="n">
        <f aca="false">IF(2_Utilité!AO77&gt;0,2_Utilité!V77/2_Utilité!AO77,0)</f>
        <v>0.057296450400508</v>
      </c>
      <c r="W77" s="0" t="n">
        <f aca="false">IF(2_Utilité!AO77&gt;0,2_Utilité!W77/2_Utilité!AO77,0)</f>
        <v>0.00979303458568726</v>
      </c>
      <c r="X77" s="0" t="n">
        <f aca="false">IF(2_Utilité!AO77&gt;0,2_Utilité!X77/2_Utilité!AO77,0)</f>
        <v>0.0132639876580348</v>
      </c>
      <c r="Y77" s="0" t="n">
        <f aca="false">IF(2_Utilité!AO77&gt;0,2_Utilité!Y77/2_Utilité!AO77,0)</f>
        <v>0.008831761731159</v>
      </c>
      <c r="Z77" s="0" t="n">
        <f aca="false">IF(2_Utilité!AO77&gt;0,2_Utilité!Z77/2_Utilité!AO77,0)</f>
        <v>0.0216870417487177</v>
      </c>
      <c r="AA77" s="0" t="n">
        <f aca="false">IF(2_Utilité!AO77&gt;0,2_Utilité!AA77/2_Utilité!AO77,0)</f>
        <v>0.0395979007728734</v>
      </c>
      <c r="AB77" s="0" t="n">
        <f aca="false">IF(2_Utilité!AO77&gt;0,2_Utilité!AB77/2_Utilité!AO77,0)</f>
        <v>0.0170159512379983</v>
      </c>
      <c r="AC77" s="0" t="n">
        <f aca="false">IF(2_Utilité!AO77&gt;0,2_Utilité!AC77/2_Utilité!AO77,0)</f>
        <v>0</v>
      </c>
      <c r="AD77" s="0" t="n">
        <f aca="false">IF(2_Utilité!AO77&gt;0,2_Utilité!AD77/2_Utilité!AO77,0)</f>
        <v>0</v>
      </c>
      <c r="AE77" s="0" t="n">
        <f aca="false">IF(2_Utilité!AO77&gt;0,2_Utilité!AE77/2_Utilité!AO77,0)</f>
        <v>0</v>
      </c>
      <c r="AF77" s="0" t="n">
        <f aca="false">IF(2_Utilité!AO77&gt;0,2_Utilité!AF77/2_Utilité!AO77,0)</f>
        <v>0</v>
      </c>
      <c r="AG77" s="0" t="n">
        <f aca="false">IF(2_Utilité!AO77&gt;0,2_Utilité!AG77/2_Utilité!AO77,0)</f>
        <v>0</v>
      </c>
      <c r="AH77" s="0" t="n">
        <f aca="false">IF(2_Utilité!AO77&gt;0,2_Utilité!AH77/2_Utilité!AO77,0)</f>
        <v>0.0484055815711807</v>
      </c>
      <c r="AI77" s="0" t="n">
        <f aca="false">IF(2_Utilité!AO77&gt;0,2_Utilité!AI77/2_Utilité!AO77,0)</f>
        <v>0.0141022642533566</v>
      </c>
      <c r="AJ77" s="0" t="n">
        <f aca="false">IF(2_Utilité!AO77&gt;0,2_Utilité!AJ77/2_Utilité!AO77,0)</f>
        <v>0.0191056136722273</v>
      </c>
      <c r="AK77" s="0" t="n">
        <f aca="false">IF(2_Utilité!AO77&gt;0,2_Utilité!AK77/2_Utilité!AO77,0)</f>
        <v>0</v>
      </c>
      <c r="AL77" s="0" t="n">
        <f aca="false">IF(2_Utilité!AO77&gt;0,2_Utilité!AL77/2_Utilité!AO77,0)</f>
        <v>0</v>
      </c>
      <c r="AM77" s="49" t="n">
        <f aca="false">IF(2_Utilité!AO77&gt;0,2_Utilité!AM77/2_Utilité!AO77,0)</f>
        <v>0.029126972081826</v>
      </c>
      <c r="AN77" s="43" t="n">
        <f aca="false">IF(2_Utilité!AO77&gt;0,2_Utilité!AN77/2_Utilité!AO77,0)</f>
        <v>0</v>
      </c>
      <c r="AO77" s="43" t="n">
        <f aca="false">SUM(C77:AN77)</f>
        <v>1</v>
      </c>
      <c r="AP77" s="43" t="n">
        <f aca="false">COUNTIF(Matrice_OD!$C77:$AN77,"&lt;="&amp;Param!$B$2)</f>
        <v>30</v>
      </c>
    </row>
    <row r="78" customFormat="false" ht="15" hidden="false" customHeight="true" outlineLevel="0" collapsed="false">
      <c r="A78" s="0" t="s">
        <v>254</v>
      </c>
      <c r="B78" s="0" t="s">
        <v>255</v>
      </c>
      <c r="C78" s="0" t="n">
        <f aca="false">IF(2_Utilité!AO78&gt;0,2_Utilité!C78/2_Utilité!AO78,0)</f>
        <v>0.0150848891733692</v>
      </c>
      <c r="D78" s="0" t="n">
        <f aca="false">IF(2_Utilité!AO78&gt;0,2_Utilité!D78/2_Utilité!AO78,0)</f>
        <v>0.0125744409099433</v>
      </c>
      <c r="E78" s="0" t="n">
        <f aca="false">IF(2_Utilité!AO78&gt;0,2_Utilité!E78/2_Utilité!AO78,0)</f>
        <v>0.134663281746526</v>
      </c>
      <c r="F78" s="0" t="n">
        <f aca="false">IF(2_Utilité!AO78&gt;0,2_Utilité!F78/2_Utilité!AO78,0)</f>
        <v>0.0244361553569688</v>
      </c>
      <c r="G78" s="0" t="n">
        <f aca="false">IF(2_Utilité!AO78&gt;0,2_Utilité!G78/2_Utilité!AO78,0)</f>
        <v>0.0679773811026947</v>
      </c>
      <c r="H78" s="0" t="n">
        <f aca="false">IF(2_Utilité!AO78&gt;0,2_Utilité!H78/2_Utilité!AO78,0)</f>
        <v>0.0166881600566524</v>
      </c>
      <c r="I78" s="0" t="n">
        <f aca="false">IF(2_Utilité!AO78&gt;0,2_Utilité!I78/2_Utilité!AO78,0)</f>
        <v>0.0367688450552796</v>
      </c>
      <c r="J78" s="0" t="n">
        <f aca="false">IF(2_Utilité!AO78&gt;0,2_Utilité!J78/2_Utilité!AO78,0)</f>
        <v>0.0290086805469163</v>
      </c>
      <c r="K78" s="0" t="n">
        <f aca="false">IF(2_Utilité!AO78&gt;0,2_Utilité!K78/2_Utilité!AO78,0)</f>
        <v>0.0180339949377434</v>
      </c>
      <c r="L78" s="0" t="n">
        <f aca="false">IF(2_Utilité!AO78&gt;0,2_Utilité!L78/2_Utilité!AO78,0)</f>
        <v>0.0183939616535614</v>
      </c>
      <c r="M78" s="0" t="n">
        <f aca="false">IF(2_Utilité!AO78&gt;0,2_Utilité!M78/2_Utilité!AO78,0)</f>
        <v>0.100869629223644</v>
      </c>
      <c r="N78" s="0" t="n">
        <f aca="false">IF(2_Utilité!AO78&gt;0,2_Utilité!N78/2_Utilité!AO78,0)</f>
        <v>0.0134539034840081</v>
      </c>
      <c r="O78" s="0" t="n">
        <f aca="false">IF(2_Utilité!AO78&gt;0,2_Utilité!O78/2_Utilité!AO78,0)</f>
        <v>0.0424838038871866</v>
      </c>
      <c r="P78" s="0" t="n">
        <f aca="false">IF(2_Utilité!AO78&gt;0,2_Utilité!P78/2_Utilité!AO78,0)</f>
        <v>0.0205859828082554</v>
      </c>
      <c r="Q78" s="0" t="n">
        <f aca="false">IF(2_Utilité!AO78&gt;0,2_Utilité!Q78/2_Utilité!AO78,0)</f>
        <v>0.180050062624812</v>
      </c>
      <c r="R78" s="0" t="n">
        <f aca="false">IF(2_Utilité!AO78&gt;0,2_Utilité!R78/2_Utilité!AO78,0)</f>
        <v>0.0239228070144526</v>
      </c>
      <c r="S78" s="0" t="n">
        <f aca="false">IF(2_Utilité!AO78&gt;0,2_Utilité!S78/2_Utilité!AO78,0)</f>
        <v>0.0178013456221231</v>
      </c>
      <c r="T78" s="0" t="n">
        <f aca="false">IF(2_Utilité!AO78&gt;0,2_Utilité!T78/2_Utilité!AO78,0)</f>
        <v>0.0198582653262093</v>
      </c>
      <c r="U78" s="0" t="n">
        <f aca="false">IF(2_Utilité!AO78&gt;0,2_Utilité!U78/2_Utilité!AO78,0)</f>
        <v>0.00623709633650309</v>
      </c>
      <c r="V78" s="0" t="n">
        <f aca="false">IF(2_Utilité!AO78&gt;0,2_Utilité!V78/2_Utilité!AO78,0)</f>
        <v>0.0305012228468903</v>
      </c>
      <c r="W78" s="0" t="n">
        <f aca="false">IF(2_Utilité!AO78&gt;0,2_Utilité!W78/2_Utilité!AO78,0)</f>
        <v>0.00515974254060697</v>
      </c>
      <c r="X78" s="0" t="n">
        <f aca="false">IF(2_Utilité!AO78&gt;0,2_Utilité!X78/2_Utilité!AO78,0)</f>
        <v>0.00698461674930835</v>
      </c>
      <c r="Y78" s="0" t="n">
        <f aca="false">IF(2_Utilité!AO78&gt;0,2_Utilité!Y78/2_Utilité!AO78,0)</f>
        <v>0.00465020144162399</v>
      </c>
      <c r="Z78" s="0" t="n">
        <f aca="false">IF(2_Utilité!AO78&gt;0,2_Utilité!Z78/2_Utilité!AO78,0)</f>
        <v>0.0114021308871714</v>
      </c>
      <c r="AA78" s="0" t="n">
        <f aca="false">IF(2_Utilité!AO78&gt;0,2_Utilité!AA78/2_Utilité!AO78,0)</f>
        <v>0.0206663742259202</v>
      </c>
      <c r="AB78" s="0" t="n">
        <f aca="false">IF(2_Utilité!AO78&gt;0,2_Utilité!AB78/2_Utilité!AO78,0)</f>
        <v>0.00884220502813281</v>
      </c>
      <c r="AC78" s="0" t="n">
        <f aca="false">IF(2_Utilité!AO78&gt;0,2_Utilité!AC78/2_Utilité!AO78,0)</f>
        <v>0</v>
      </c>
      <c r="AD78" s="0" t="n">
        <f aca="false">IF(2_Utilité!AO78&gt;0,2_Utilité!AD78/2_Utilité!AO78,0)</f>
        <v>0</v>
      </c>
      <c r="AE78" s="0" t="n">
        <f aca="false">IF(2_Utilité!AO78&gt;0,2_Utilité!AE78/2_Utilité!AO78,0)</f>
        <v>0</v>
      </c>
      <c r="AF78" s="0" t="n">
        <f aca="false">IF(2_Utilité!AO78&gt;0,2_Utilité!AF78/2_Utilité!AO78,0)</f>
        <v>0</v>
      </c>
      <c r="AG78" s="0" t="n">
        <f aca="false">IF(2_Utilité!AO78&gt;0,2_Utilité!AG78/2_Utilité!AO78,0)</f>
        <v>0</v>
      </c>
      <c r="AH78" s="0" t="n">
        <f aca="false">IF(2_Utilité!AO78&gt;0,2_Utilité!AH78/2_Utilité!AO78,0)</f>
        <v>0.0574374758872412</v>
      </c>
      <c r="AI78" s="0" t="n">
        <f aca="false">IF(2_Utilité!AO78&gt;0,2_Utilité!AI78/2_Utilité!AO78,0)</f>
        <v>0.008887278240259</v>
      </c>
      <c r="AJ78" s="0" t="n">
        <f aca="false">IF(2_Utilité!AO78&gt;0,2_Utilité!AJ78/2_Utilité!AO78,0)</f>
        <v>0.0100174541880431</v>
      </c>
      <c r="AK78" s="0" t="n">
        <f aca="false">IF(2_Utilité!AO78&gt;0,2_Utilité!AK78/2_Utilité!AO78,0)</f>
        <v>0</v>
      </c>
      <c r="AL78" s="0" t="n">
        <f aca="false">IF(2_Utilité!AO78&gt;0,2_Utilité!AL78/2_Utilité!AO78,0)</f>
        <v>0</v>
      </c>
      <c r="AM78" s="48" t="n">
        <f aca="false">IF(2_Utilité!AO78&gt;0,2_Utilité!AM78/2_Utilité!AO78,0)</f>
        <v>0.0365586110979539</v>
      </c>
      <c r="AN78" s="43" t="n">
        <f aca="false">IF(2_Utilité!AO78&gt;0,2_Utilité!AN78/2_Utilité!AO78,0)</f>
        <v>0</v>
      </c>
      <c r="AO78" s="43" t="n">
        <f aca="false">SUM(C78:AN78)</f>
        <v>1</v>
      </c>
      <c r="AP78" s="43" t="n">
        <f aca="false">COUNTIF(Matrice_OD!$C78:$AN78,"&lt;="&amp;Param!$B$2)</f>
        <v>30</v>
      </c>
    </row>
    <row r="79" customFormat="false" ht="15" hidden="false" customHeight="true" outlineLevel="0" collapsed="false">
      <c r="A79" s="0" t="s">
        <v>256</v>
      </c>
      <c r="B79" s="0" t="s">
        <v>257</v>
      </c>
      <c r="C79" s="0" t="n">
        <f aca="false">IF(2_Utilité!AO79&gt;0,2_Utilité!C79/2_Utilité!AO79,0)</f>
        <v>0.0409368298279909</v>
      </c>
      <c r="D79" s="0" t="n">
        <f aca="false">IF(2_Utilité!AO79&gt;0,2_Utilité!D79/2_Utilité!AO79,0)</f>
        <v>0.00759981447286049</v>
      </c>
      <c r="E79" s="0" t="n">
        <f aca="false">IF(2_Utilité!AO79&gt;0,2_Utilité!E79/2_Utilité!AO79,0)</f>
        <v>0.0761903197747899</v>
      </c>
      <c r="F79" s="0" t="n">
        <f aca="false">IF(2_Utilité!AO79&gt;0,2_Utilité!F79/2_Utilité!AO79,0)</f>
        <v>0.0140026901816098</v>
      </c>
      <c r="G79" s="0" t="n">
        <f aca="false">IF(2_Utilité!AO79&gt;0,2_Utilité!G79/2_Utilité!AO79,0)</f>
        <v>0.0373174211491542</v>
      </c>
      <c r="H79" s="0" t="n">
        <f aca="false">IF(2_Utilité!AO79&gt;0,2_Utilité!H79/2_Utilité!AO79,0)</f>
        <v>0.0104984630829808</v>
      </c>
      <c r="I79" s="0" t="n">
        <f aca="false">IF(2_Utilité!AO79&gt;0,2_Utilité!I79/2_Utilité!AO79,0)</f>
        <v>0.0211892448613148</v>
      </c>
      <c r="J79" s="0" t="n">
        <f aca="false">IF(2_Utilité!AO79&gt;0,2_Utilité!J79/2_Utilité!AO79,0)</f>
        <v>0.0162926652037495</v>
      </c>
      <c r="K79" s="0" t="n">
        <f aca="false">IF(2_Utilité!AO79&gt;0,2_Utilité!K79/2_Utilité!AO79,0)</f>
        <v>0.0100411015788049</v>
      </c>
      <c r="L79" s="0" t="n">
        <f aca="false">IF(2_Utilité!AO79&gt;0,2_Utilité!L79/2_Utilité!AO79,0)</f>
        <v>0.0106101188679109</v>
      </c>
      <c r="M79" s="0" t="n">
        <f aca="false">IF(2_Utilité!AO79&gt;0,2_Utilité!M79/2_Utilité!AO79,0)</f>
        <v>0.0612811460429031</v>
      </c>
      <c r="N79" s="0" t="n">
        <f aca="false">IF(2_Utilité!AO79&gt;0,2_Utilité!N79/2_Utilité!AO79,0)</f>
        <v>0.00771841314146496</v>
      </c>
      <c r="O79" s="0" t="n">
        <f aca="false">IF(2_Utilité!AO79&gt;0,2_Utilité!O79/2_Utilité!AO79,0)</f>
        <v>0.0240593272392387</v>
      </c>
      <c r="P79" s="0" t="n">
        <f aca="false">IF(2_Utilité!AO79&gt;0,2_Utilité!P79/2_Utilité!AO79,0)</f>
        <v>0.01160884527514</v>
      </c>
      <c r="Q79" s="0" t="n">
        <f aca="false">IF(2_Utilité!AO79&gt;0,2_Utilité!Q79/2_Utilité!AO79,0)</f>
        <v>0.0998925020945559</v>
      </c>
      <c r="R79" s="0" t="n">
        <f aca="false">IF(2_Utilité!AO79&gt;0,2_Utilité!R79/2_Utilité!AO79,0)</f>
        <v>0.0131913571819959</v>
      </c>
      <c r="S79" s="0" t="n">
        <f aca="false">IF(2_Utilité!AO79&gt;0,2_Utilité!S79/2_Utilité!AO79,0)</f>
        <v>0.00968979733811158</v>
      </c>
      <c r="T79" s="0" t="n">
        <f aca="false">IF(2_Utilité!AO79&gt;0,2_Utilité!T79/2_Utilité!AO79,0)</f>
        <v>0.0797099847660637</v>
      </c>
      <c r="U79" s="0" t="n">
        <f aca="false">IF(2_Utilité!AO79&gt;0,2_Utilité!U79/2_Utilité!AO79,0)</f>
        <v>0.0151159621278602</v>
      </c>
      <c r="V79" s="0" t="n">
        <f aca="false">IF(2_Utilité!AO79&gt;0,2_Utilité!V79/2_Utilité!AO79,0)</f>
        <v>0.0831326134854918</v>
      </c>
      <c r="W79" s="0" t="n">
        <f aca="false">IF(2_Utilité!AO79&gt;0,2_Utilité!W79/2_Utilité!AO79,0)</f>
        <v>0.013803705058152</v>
      </c>
      <c r="X79" s="0" t="n">
        <f aca="false">IF(2_Utilité!AO79&gt;0,2_Utilité!X79/2_Utilité!AO79,0)</f>
        <v>0.0186686361224054</v>
      </c>
      <c r="Y79" s="0" t="n">
        <f aca="false">IF(2_Utilité!AO79&gt;0,2_Utilité!Y79/2_Utilité!AO79,0)</f>
        <v>0.0124270910376786</v>
      </c>
      <c r="Z79" s="0" t="n">
        <f aca="false">IF(2_Utilité!AO79&gt;0,2_Utilité!Z79/2_Utilité!AO79,0)</f>
        <v>0.0303973300602345</v>
      </c>
      <c r="AA79" s="0" t="n">
        <f aca="false">IF(2_Utilité!AO79&gt;0,2_Utilité!AA79/2_Utilité!AO79,0)</f>
        <v>0.0544342476693702</v>
      </c>
      <c r="AB79" s="0" t="n">
        <f aca="false">IF(2_Utilité!AO79&gt;0,2_Utilité!AB79/2_Utilité!AO79,0)</f>
        <v>0.0231488649725161</v>
      </c>
      <c r="AC79" s="0" t="n">
        <f aca="false">IF(2_Utilité!AO79&gt;0,2_Utilité!AC79/2_Utilité!AO79,0)</f>
        <v>0</v>
      </c>
      <c r="AD79" s="0" t="n">
        <f aca="false">IF(2_Utilité!AO79&gt;0,2_Utilité!AD79/2_Utilité!AO79,0)</f>
        <v>0</v>
      </c>
      <c r="AE79" s="0" t="n">
        <f aca="false">IF(2_Utilité!AO79&gt;0,2_Utilité!AE79/2_Utilité!AO79,0)</f>
        <v>0</v>
      </c>
      <c r="AF79" s="0" t="n">
        <f aca="false">IF(2_Utilité!AO79&gt;0,2_Utilité!AF79/2_Utilité!AO79,0)</f>
        <v>0</v>
      </c>
      <c r="AG79" s="0" t="n">
        <f aca="false">IF(2_Utilité!AO79&gt;0,2_Utilité!AG79/2_Utilité!AO79,0)</f>
        <v>0</v>
      </c>
      <c r="AH79" s="0" t="n">
        <f aca="false">IF(2_Utilité!AO79&gt;0,2_Utilité!AH79/2_Utilité!AO79,0)</f>
        <v>0.0301276277298133</v>
      </c>
      <c r="AI79" s="0" t="n">
        <f aca="false">IF(2_Utilité!AO79&gt;0,2_Utilité!AI79/2_Utilité!AO79,0)</f>
        <v>0.0378850787440824</v>
      </c>
      <c r="AJ79" s="0" t="n">
        <f aca="false">IF(2_Utilité!AO79&gt;0,2_Utilité!AJ79/2_Utilité!AO79,0)</f>
        <v>0.0265861090694733</v>
      </c>
      <c r="AK79" s="0" t="n">
        <f aca="false">IF(2_Utilité!AO79&gt;0,2_Utilité!AK79/2_Utilité!AO79,0)</f>
        <v>0</v>
      </c>
      <c r="AL79" s="0" t="n">
        <f aca="false">IF(2_Utilité!AO79&gt;0,2_Utilité!AL79/2_Utilité!AO79,0)</f>
        <v>0</v>
      </c>
      <c r="AM79" s="49" t="n">
        <f aca="false">IF(2_Utilité!AO79&gt;0,2_Utilité!AM79/2_Utilité!AO79,0)</f>
        <v>0.102442691842282</v>
      </c>
      <c r="AN79" s="43" t="n">
        <f aca="false">IF(2_Utilité!AO79&gt;0,2_Utilité!AN79/2_Utilité!AO79,0)</f>
        <v>0</v>
      </c>
      <c r="AO79" s="43" t="n">
        <f aca="false">SUM(C79:AN79)</f>
        <v>1</v>
      </c>
      <c r="AP79" s="43" t="n">
        <f aca="false">COUNTIF(Matrice_OD!$C79:$AN79,"&lt;="&amp;Param!$B$2)</f>
        <v>30</v>
      </c>
    </row>
    <row r="80" customFormat="false" ht="15" hidden="false" customHeight="true" outlineLevel="0" collapsed="false">
      <c r="A80" s="0" t="s">
        <v>258</v>
      </c>
      <c r="B80" s="0" t="s">
        <v>259</v>
      </c>
      <c r="C80" s="0" t="n">
        <f aca="false">IF(2_Utilité!AO80&gt;0,2_Utilité!C80/2_Utilité!AO80,0)</f>
        <v>0.0164615941923826</v>
      </c>
      <c r="D80" s="0" t="n">
        <f aca="false">IF(2_Utilité!AO80&gt;0,2_Utilité!D80/2_Utilité!AO80,0)</f>
        <v>0.00633967428692955</v>
      </c>
      <c r="E80" s="0" t="n">
        <f aca="false">IF(2_Utilité!AO80&gt;0,2_Utilité!E80/2_Utilité!AO80,0)</f>
        <v>0.06416498139378</v>
      </c>
      <c r="F80" s="0" t="n">
        <f aca="false">IF(2_Utilité!AO80&gt;0,2_Utilité!F80/2_Utilité!AO80,0)</f>
        <v>0.01177879577827</v>
      </c>
      <c r="G80" s="0" t="n">
        <f aca="false">IF(2_Utilité!AO80&gt;0,2_Utilité!G80/2_Utilité!AO80,0)</f>
        <v>0.0315858696259352</v>
      </c>
      <c r="H80" s="0" t="n">
        <f aca="false">IF(2_Utilité!AO80&gt;0,2_Utilité!H80/2_Utilité!AO80,0)</f>
        <v>0.00870722079490797</v>
      </c>
      <c r="I80" s="0" t="n">
        <f aca="false">IF(2_Utilité!AO80&gt;0,2_Utilité!I80/2_Utilité!AO80,0)</f>
        <v>0.0177976250187278</v>
      </c>
      <c r="J80" s="0" t="n">
        <f aca="false">IF(2_Utilité!AO80&gt;0,2_Utilité!J80/2_Utilité!AO80,0)</f>
        <v>0.0137443408190117</v>
      </c>
      <c r="K80" s="0" t="n">
        <f aca="false">IF(2_Utilité!AO80&gt;0,2_Utilité!K80/2_Utilité!AO80,0)</f>
        <v>0.0084758582753443</v>
      </c>
      <c r="L80" s="0" t="n">
        <f aca="false">IF(2_Utilité!AO80&gt;0,2_Utilité!L80/2_Utilité!AO80,0)</f>
        <v>0.00891061665753763</v>
      </c>
      <c r="M80" s="0" t="n">
        <f aca="false">IF(2_Utilité!AO80&gt;0,2_Utilité!M80/2_Utilité!AO80,0)</f>
        <v>0.0510817767226642</v>
      </c>
      <c r="N80" s="0" t="n">
        <f aca="false">IF(2_Utilité!AO80&gt;0,2_Utilité!N80/2_Utilité!AO80,0)</f>
        <v>0.0064912553362051</v>
      </c>
      <c r="O80" s="0" t="n">
        <f aca="false">IF(2_Utilité!AO80&gt;0,2_Utilité!O80/2_Utilité!AO80,0)</f>
        <v>0.0202727375236229</v>
      </c>
      <c r="P80" s="0" t="n">
        <f aca="false">IF(2_Utilité!AO80&gt;0,2_Utilité!P80/2_Utilité!AO80,0)</f>
        <v>0.00978124225312066</v>
      </c>
      <c r="Q80" s="0" t="n">
        <f aca="false">IF(2_Utilité!AO80&gt;0,2_Utilité!Q80/2_Utilité!AO80,0)</f>
        <v>0.0844177476077686</v>
      </c>
      <c r="R80" s="0" t="n">
        <f aca="false">IF(2_Utilité!AO80&gt;0,2_Utilité!R80/2_Utilité!AO80,0)</f>
        <v>0.0111577054407618</v>
      </c>
      <c r="S80" s="0" t="n">
        <f aca="false">IF(2_Utilité!AO80&gt;0,2_Utilité!S80/2_Utilité!AO80,0)</f>
        <v>0.00821161071876575</v>
      </c>
      <c r="T80" s="0" t="n">
        <f aca="false">IF(2_Utilité!AO80&gt;0,2_Utilité!T80/2_Utilité!AO80,0)</f>
        <v>0.0488174262695908</v>
      </c>
      <c r="U80" s="0" t="n">
        <f aca="false">IF(2_Utilité!AO80&gt;0,2_Utilité!U80/2_Utilité!AO80,0)</f>
        <v>0.0176615719718729</v>
      </c>
      <c r="V80" s="0" t="n">
        <f aca="false">IF(2_Utilité!AO80&gt;0,2_Utilité!V80/2_Utilité!AO80,0)</f>
        <v>0.141066320906851</v>
      </c>
      <c r="W80" s="0" t="n">
        <f aca="false">IF(2_Utilité!AO80&gt;0,2_Utilité!W80/2_Utilité!AO80,0)</f>
        <v>0.0244953696114421</v>
      </c>
      <c r="X80" s="0" t="n">
        <f aca="false">IF(2_Utilité!AO80&gt;0,2_Utilité!X80/2_Utilité!AO80,0)</f>
        <v>0.0332031461841654</v>
      </c>
      <c r="Y80" s="0" t="n">
        <f aca="false">IF(2_Utilité!AO80&gt;0,2_Utilité!Y80/2_Utilité!AO80,0)</f>
        <v>0.0221112860557831</v>
      </c>
      <c r="Z80" s="0" t="n">
        <f aca="false">IF(2_Utilité!AO80&gt;0,2_Utilité!Z80/2_Utilité!AO80,0)</f>
        <v>0.0544075503068375</v>
      </c>
      <c r="AA80" s="0" t="n">
        <f aca="false">IF(2_Utilité!AO80&gt;0,2_Utilité!AA80/2_Utilité!AO80,0)</f>
        <v>0.10036724596638</v>
      </c>
      <c r="AB80" s="0" t="n">
        <f aca="false">IF(2_Utilité!AO80&gt;0,2_Utilité!AB80/2_Utilité!AO80,0)</f>
        <v>0.0433253398461248</v>
      </c>
      <c r="AC80" s="0" t="n">
        <f aca="false">IF(2_Utilité!AO80&gt;0,2_Utilité!AC80/2_Utilité!AO80,0)</f>
        <v>0</v>
      </c>
      <c r="AD80" s="0" t="n">
        <f aca="false">IF(2_Utilité!AO80&gt;0,2_Utilité!AD80/2_Utilité!AO80,0)</f>
        <v>0</v>
      </c>
      <c r="AE80" s="0" t="n">
        <f aca="false">IF(2_Utilité!AO80&gt;0,2_Utilité!AE80/2_Utilité!AO80,0)</f>
        <v>0</v>
      </c>
      <c r="AF80" s="0" t="n">
        <f aca="false">IF(2_Utilité!AO80&gt;0,2_Utilité!AF80/2_Utilité!AO80,0)</f>
        <v>0</v>
      </c>
      <c r="AG80" s="0" t="n">
        <f aca="false">IF(2_Utilité!AO80&gt;0,2_Utilité!AG80/2_Utilité!AO80,0)</f>
        <v>0</v>
      </c>
      <c r="AH80" s="0" t="n">
        <f aca="false">IF(2_Utilité!AO80&gt;0,2_Utilité!AH80/2_Utilité!AO80,0)</f>
        <v>0.0256676349877016</v>
      </c>
      <c r="AI80" s="0" t="n">
        <f aca="false">IF(2_Utilité!AO80&gt;0,2_Utilité!AI80/2_Utilité!AO80,0)</f>
        <v>0.0222702105210005</v>
      </c>
      <c r="AJ80" s="0" t="n">
        <f aca="false">IF(2_Utilité!AO80&gt;0,2_Utilité!AJ80/2_Utilité!AO80,0)</f>
        <v>0.0481150766407269</v>
      </c>
      <c r="AK80" s="0" t="n">
        <f aca="false">IF(2_Utilité!AO80&gt;0,2_Utilité!AK80/2_Utilité!AO80,0)</f>
        <v>0</v>
      </c>
      <c r="AL80" s="0" t="n">
        <f aca="false">IF(2_Utilité!AO80&gt;0,2_Utilité!AL80/2_Utilité!AO80,0)</f>
        <v>0</v>
      </c>
      <c r="AM80" s="48" t="n">
        <f aca="false">IF(2_Utilité!AO80&gt;0,2_Utilité!AM80/2_Utilité!AO80,0)</f>
        <v>0.0391111682857875</v>
      </c>
      <c r="AN80" s="43" t="n">
        <f aca="false">IF(2_Utilité!AO80&gt;0,2_Utilité!AN80/2_Utilité!AO80,0)</f>
        <v>0</v>
      </c>
      <c r="AO80" s="43" t="n">
        <f aca="false">SUM(C80:AN80)</f>
        <v>1</v>
      </c>
      <c r="AP80" s="43" t="n">
        <f aca="false">COUNTIF(Matrice_OD!$C80:$AN80,"&lt;="&amp;Param!$B$2)</f>
        <v>30</v>
      </c>
    </row>
    <row r="81" customFormat="false" ht="15" hidden="false" customHeight="true" outlineLevel="0" collapsed="false">
      <c r="A81" s="0" t="s">
        <v>260</v>
      </c>
      <c r="B81" s="0" t="s">
        <v>261</v>
      </c>
      <c r="C81" s="0" t="n">
        <f aca="false">IF(2_Utilité!AO81&gt;0,2_Utilité!C81/2_Utilité!AO81,0)</f>
        <v>0.0700080386020691</v>
      </c>
      <c r="D81" s="0" t="n">
        <f aca="false">IF(2_Utilité!AO81&gt;0,2_Utilité!D81/2_Utilité!AO81,0)</f>
        <v>0.00991852716022319</v>
      </c>
      <c r="E81" s="0" t="n">
        <f aca="false">IF(2_Utilité!AO81&gt;0,2_Utilité!E81/2_Utilité!AO81,0)</f>
        <v>0.0991576024972163</v>
      </c>
      <c r="F81" s="0" t="n">
        <f aca="false">IF(2_Utilité!AO81&gt;0,2_Utilité!F81/2_Utilité!AO81,0)</f>
        <v>0.0177330435783554</v>
      </c>
      <c r="G81" s="0" t="n">
        <f aca="false">IF(2_Utilité!AO81&gt;0,2_Utilité!G81/2_Utilité!AO81,0)</f>
        <v>0.0487401079828341</v>
      </c>
      <c r="H81" s="0" t="n">
        <f aca="false">IF(2_Utilité!AO81&gt;0,2_Utilité!H81/2_Utilité!AO81,0)</f>
        <v>0.0106282019617474</v>
      </c>
      <c r="I81" s="0" t="n">
        <f aca="false">IF(2_Utilité!AO81&gt;0,2_Utilité!I81/2_Utilité!AO81,0)</f>
        <v>0.0243060074571116</v>
      </c>
      <c r="J81" s="0" t="n">
        <f aca="false">IF(2_Utilité!AO81&gt;0,2_Utilité!J81/2_Utilité!AO81,0)</f>
        <v>0.0190288493293286</v>
      </c>
      <c r="K81" s="0" t="n">
        <f aca="false">IF(2_Utilité!AO81&gt;0,2_Utilité!K81/2_Utilité!AO81,0)</f>
        <v>0.0117358151615586</v>
      </c>
      <c r="L81" s="0" t="n">
        <f aca="false">IF(2_Utilité!AO81&gt;0,2_Utilité!L81/2_Utilité!AO81,0)</f>
        <v>0.0116700991195666</v>
      </c>
      <c r="M81" s="0" t="n">
        <f aca="false">IF(2_Utilité!AO81&gt;0,2_Utilité!M81/2_Utilité!AO81,0)</f>
        <v>0.0621094865953046</v>
      </c>
      <c r="N81" s="0" t="n">
        <f aca="false">IF(2_Utilité!AO81&gt;0,2_Utilité!N81/2_Utilité!AO81,0)</f>
        <v>0.00836738017362398</v>
      </c>
      <c r="O81" s="0" t="n">
        <f aca="false">IF(2_Utilité!AO81&gt;0,2_Utilité!O81/2_Utilité!AO81,0)</f>
        <v>0.0265108875928194</v>
      </c>
      <c r="P81" s="0" t="n">
        <f aca="false">IF(2_Utilité!AO81&gt;0,2_Utilité!P81/2_Utilité!AO81,0)</f>
        <v>0.0127859658570072</v>
      </c>
      <c r="Q81" s="0" t="n">
        <f aca="false">IF(2_Utilité!AO81&gt;0,2_Utilité!Q81/2_Utilité!AO81,0)</f>
        <v>0.110205823652044</v>
      </c>
      <c r="R81" s="0" t="n">
        <f aca="false">IF(2_Utilité!AO81&gt;0,2_Utilité!R81/2_Utilité!AO81,0)</f>
        <v>0.0145586674850843</v>
      </c>
      <c r="S81" s="0" t="n">
        <f aca="false">IF(2_Utilité!AO81&gt;0,2_Utilité!S81/2_Utilité!AO81,0)</f>
        <v>0.0107026794925194</v>
      </c>
      <c r="T81" s="0" t="n">
        <f aca="false">IF(2_Utilité!AO81&gt;0,2_Utilité!T81/2_Utilité!AO81,0)</f>
        <v>0.0562684493937962</v>
      </c>
      <c r="U81" s="0" t="n">
        <f aca="false">IF(2_Utilité!AO81&gt;0,2_Utilité!U81/2_Utilité!AO81,0)</f>
        <v>0.00748718066347539</v>
      </c>
      <c r="V81" s="0" t="n">
        <f aca="false">IF(2_Utilité!AO81&gt;0,2_Utilité!V81/2_Utilité!AO81,0)</f>
        <v>0.0423014313185256</v>
      </c>
      <c r="W81" s="0" t="n">
        <f aca="false">IF(2_Utilité!AO81&gt;0,2_Utilité!W81/2_Utilité!AO81,0)</f>
        <v>0.00689215918873956</v>
      </c>
      <c r="X81" s="0" t="n">
        <f aca="false">IF(2_Utilité!AO81&gt;0,2_Utilité!X81/2_Utilité!AO81,0)</f>
        <v>0.00931222379545488</v>
      </c>
      <c r="Y81" s="0" t="n">
        <f aca="false">IF(2_Utilité!AO81&gt;0,2_Utilité!Y81/2_Utilité!AO81,0)</f>
        <v>0.00620294842536045</v>
      </c>
      <c r="Z81" s="0" t="n">
        <f aca="false">IF(2_Utilité!AO81&gt;0,2_Utilité!Z81/2_Utilité!AO81,0)</f>
        <v>0.0151342677633133</v>
      </c>
      <c r="AA81" s="0" t="n">
        <f aca="false">IF(2_Utilité!AO81&gt;0,2_Utilité!AA81/2_Utilité!AO81,0)</f>
        <v>0.0267369584850989</v>
      </c>
      <c r="AB81" s="0" t="n">
        <f aca="false">IF(2_Utilité!AO81&gt;0,2_Utilité!AB81/2_Utilité!AO81,0)</f>
        <v>0.0113074921071592</v>
      </c>
      <c r="AC81" s="0" t="n">
        <f aca="false">IF(2_Utilité!AO81&gt;0,2_Utilité!AC81/2_Utilité!AO81,0)</f>
        <v>0</v>
      </c>
      <c r="AD81" s="0" t="n">
        <f aca="false">IF(2_Utilité!AO81&gt;0,2_Utilité!AD81/2_Utilité!AO81,0)</f>
        <v>0</v>
      </c>
      <c r="AE81" s="0" t="n">
        <f aca="false">IF(2_Utilité!AO81&gt;0,2_Utilité!AE81/2_Utilité!AO81,0)</f>
        <v>0</v>
      </c>
      <c r="AF81" s="0" t="n">
        <f aca="false">IF(2_Utilité!AO81&gt;0,2_Utilité!AF81/2_Utilité!AO81,0)</f>
        <v>0</v>
      </c>
      <c r="AG81" s="0" t="n">
        <f aca="false">IF(2_Utilité!AO81&gt;0,2_Utilité!AG81/2_Utilité!AO81,0)</f>
        <v>0</v>
      </c>
      <c r="AH81" s="0" t="n">
        <f aca="false">IF(2_Utilité!AO81&gt;0,2_Utilité!AH81/2_Utilité!AO81,0)</f>
        <v>0.0333507592610675</v>
      </c>
      <c r="AI81" s="0" t="n">
        <f aca="false">IF(2_Utilité!AO81&gt;0,2_Utilité!AI81/2_Utilité!AO81,0)</f>
        <v>0.0270359478876924</v>
      </c>
      <c r="AJ81" s="0" t="n">
        <f aca="false">IF(2_Utilité!AO81&gt;0,2_Utilité!AJ81/2_Utilité!AO81,0)</f>
        <v>0.0131742961860426</v>
      </c>
      <c r="AK81" s="0" t="n">
        <f aca="false">IF(2_Utilité!AO81&gt;0,2_Utilité!AK81/2_Utilité!AO81,0)</f>
        <v>0</v>
      </c>
      <c r="AL81" s="0" t="n">
        <f aca="false">IF(2_Utilité!AO81&gt;0,2_Utilité!AL81/2_Utilité!AO81,0)</f>
        <v>0</v>
      </c>
      <c r="AM81" s="49" t="n">
        <f aca="false">IF(2_Utilité!AO81&gt;0,2_Utilité!AM81/2_Utilité!AO81,0)</f>
        <v>0.17662870182586</v>
      </c>
      <c r="AN81" s="43" t="n">
        <f aca="false">IF(2_Utilité!AO81&gt;0,2_Utilité!AN81/2_Utilité!AO81,0)</f>
        <v>0</v>
      </c>
      <c r="AO81" s="43" t="n">
        <f aca="false">SUM(C81:AN81)</f>
        <v>1</v>
      </c>
      <c r="AP81" s="43" t="n">
        <f aca="false">COUNTIF(Matrice_OD!$C81:$AN81,"&lt;="&amp;Param!$B$2)</f>
        <v>30</v>
      </c>
    </row>
    <row r="82" customFormat="false" ht="15" hidden="false" customHeight="true" outlineLevel="0" collapsed="false">
      <c r="A82" s="0" t="s">
        <v>262</v>
      </c>
      <c r="B82" s="0" t="s">
        <v>263</v>
      </c>
      <c r="C82" s="0" t="n">
        <f aca="false">IF(2_Utilité!AO82&gt;0,2_Utilité!C82/2_Utilité!AO82,0)</f>
        <v>0.130473888407673</v>
      </c>
      <c r="D82" s="0" t="n">
        <f aca="false">IF(2_Utilité!AO82&gt;0,2_Utilité!D82/2_Utilité!AO82,0)</f>
        <v>0.0103384774736854</v>
      </c>
      <c r="E82" s="0" t="n">
        <f aca="false">IF(2_Utilité!AO82&gt;0,2_Utilité!E82/2_Utilité!AO82,0)</f>
        <v>0.100212816516505</v>
      </c>
      <c r="F82" s="0" t="n">
        <f aca="false">IF(2_Utilité!AO82&gt;0,2_Utilité!F82/2_Utilité!AO82,0)</f>
        <v>0.0178827705274597</v>
      </c>
      <c r="G82" s="0" t="n">
        <f aca="false">IF(2_Utilité!AO82&gt;0,2_Utilité!G82/2_Utilité!AO82,0)</f>
        <v>0.0486386282444708</v>
      </c>
      <c r="H82" s="0" t="n">
        <f aca="false">IF(2_Utilité!AO82&gt;0,2_Utilité!H82/2_Utilité!AO82,0)</f>
        <v>0.0104798174076201</v>
      </c>
      <c r="I82" s="0" t="n">
        <f aca="false">IF(2_Utilité!AO82&gt;0,2_Utilité!I82/2_Utilité!AO82,0)</f>
        <v>0.0239050968305082</v>
      </c>
      <c r="J82" s="0" t="n">
        <f aca="false">IF(2_Utilité!AO82&gt;0,2_Utilité!J82/2_Utilité!AO82,0)</f>
        <v>0.0186005464878825</v>
      </c>
      <c r="K82" s="0" t="n">
        <f aca="false">IF(2_Utilité!AO82&gt;0,2_Utilité!K82/2_Utilité!AO82,0)</f>
        <v>0.0114183474030507</v>
      </c>
      <c r="L82" s="0" t="n">
        <f aca="false">IF(2_Utilité!AO82&gt;0,2_Utilité!L82/2_Utilité!AO82,0)</f>
        <v>0.0113466516364703</v>
      </c>
      <c r="M82" s="0" t="n">
        <f aca="false">IF(2_Utilité!AO82&gt;0,2_Utilité!M82/2_Utilité!AO82,0)</f>
        <v>0.060352232283502</v>
      </c>
      <c r="N82" s="0" t="n">
        <f aca="false">IF(2_Utilité!AO82&gt;0,2_Utilité!N82/2_Utilité!AO82,0)</f>
        <v>0.00807682142352512</v>
      </c>
      <c r="O82" s="0" t="n">
        <f aca="false">IF(2_Utilité!AO82&gt;0,2_Utilité!O82/2_Utilité!AO82,0)</f>
        <v>0.0255599144326617</v>
      </c>
      <c r="P82" s="0" t="n">
        <f aca="false">IF(2_Utilité!AO82&gt;0,2_Utilité!P82/2_Utilité!AO82,0)</f>
        <v>0.0123140885603599</v>
      </c>
      <c r="Q82" s="0" t="n">
        <f aca="false">IF(2_Utilité!AO82&gt;0,2_Utilité!Q82/2_Utilité!AO82,0)</f>
        <v>0.10535198765192</v>
      </c>
      <c r="R82" s="0" t="n">
        <f aca="false">IF(2_Utilité!AO82&gt;0,2_Utilité!R82/2_Utilité!AO82,0)</f>
        <v>0.0138816834581818</v>
      </c>
      <c r="S82" s="0" t="n">
        <f aca="false">IF(2_Utilité!AO82&gt;0,2_Utilité!S82/2_Utilité!AO82,0)</f>
        <v>0.0101485903251834</v>
      </c>
      <c r="T82" s="0" t="n">
        <f aca="false">IF(2_Utilité!AO82&gt;0,2_Utilité!T82/2_Utilité!AO82,0)</f>
        <v>0.0336833888043663</v>
      </c>
      <c r="U82" s="0" t="n">
        <f aca="false">IF(2_Utilité!AO82&gt;0,2_Utilité!U82/2_Utilité!AO82,0)</f>
        <v>0</v>
      </c>
      <c r="V82" s="0" t="n">
        <f aca="false">IF(2_Utilité!AO82&gt;0,2_Utilité!V82/2_Utilité!AO82,0)</f>
        <v>0</v>
      </c>
      <c r="W82" s="0" t="n">
        <f aca="false">IF(2_Utilité!AO82&gt;0,2_Utilité!W82/2_Utilité!AO82,0)</f>
        <v>0</v>
      </c>
      <c r="X82" s="0" t="n">
        <f aca="false">IF(2_Utilité!AO82&gt;0,2_Utilité!X82/2_Utilité!AO82,0)</f>
        <v>0</v>
      </c>
      <c r="Y82" s="0" t="n">
        <f aca="false">IF(2_Utilité!AO82&gt;0,2_Utilité!Y82/2_Utilité!AO82,0)</f>
        <v>0</v>
      </c>
      <c r="Z82" s="0" t="n">
        <f aca="false">IF(2_Utilité!AO82&gt;0,2_Utilité!Z82/2_Utilité!AO82,0)</f>
        <v>0</v>
      </c>
      <c r="AA82" s="0" t="n">
        <f aca="false">IF(2_Utilité!AO82&gt;0,2_Utilité!AA82/2_Utilité!AO82,0)</f>
        <v>0</v>
      </c>
      <c r="AB82" s="0" t="n">
        <f aca="false">IF(2_Utilité!AO82&gt;0,2_Utilité!AB82/2_Utilité!AO82,0)</f>
        <v>0</v>
      </c>
      <c r="AC82" s="0" t="n">
        <f aca="false">IF(2_Utilité!AO82&gt;0,2_Utilité!AC82/2_Utilité!AO82,0)</f>
        <v>0</v>
      </c>
      <c r="AD82" s="0" t="n">
        <f aca="false">IF(2_Utilité!AO82&gt;0,2_Utilité!AD82/2_Utilité!AO82,0)</f>
        <v>0</v>
      </c>
      <c r="AE82" s="0" t="n">
        <f aca="false">IF(2_Utilité!AO82&gt;0,2_Utilité!AE82/2_Utilité!AO82,0)</f>
        <v>0</v>
      </c>
      <c r="AF82" s="0" t="n">
        <f aca="false">IF(2_Utilité!AO82&gt;0,2_Utilité!AF82/2_Utilité!AO82,0)</f>
        <v>0</v>
      </c>
      <c r="AG82" s="0" t="n">
        <f aca="false">IF(2_Utilité!AO82&gt;0,2_Utilité!AG82/2_Utilité!AO82,0)</f>
        <v>0</v>
      </c>
      <c r="AH82" s="0" t="n">
        <f aca="false">IF(2_Utilité!AO82&gt;0,2_Utilité!AH82/2_Utilité!AO82,0)</f>
        <v>0.0311395873228241</v>
      </c>
      <c r="AI82" s="0" t="n">
        <f aca="false">IF(2_Utilité!AO82&gt;0,2_Utilité!AI82/2_Utilité!AO82,0)</f>
        <v>0.0169364653266647</v>
      </c>
      <c r="AJ82" s="0" t="n">
        <f aca="false">IF(2_Utilité!AO82&gt;0,2_Utilité!AJ82/2_Utilité!AO82,0)</f>
        <v>0</v>
      </c>
      <c r="AK82" s="0" t="n">
        <f aca="false">IF(2_Utilité!AO82&gt;0,2_Utilité!AK82/2_Utilité!AO82,0)</f>
        <v>0</v>
      </c>
      <c r="AL82" s="0" t="n">
        <f aca="false">IF(2_Utilité!AO82&gt;0,2_Utilité!AL82/2_Utilité!AO82,0)</f>
        <v>0</v>
      </c>
      <c r="AM82" s="48" t="n">
        <f aca="false">IF(2_Utilité!AO82&gt;0,2_Utilité!AM82/2_Utilité!AO82,0)</f>
        <v>0.299258199475485</v>
      </c>
      <c r="AN82" s="43" t="n">
        <f aca="false">IF(2_Utilité!AO82&gt;0,2_Utilité!AN82/2_Utilité!AO82,0)</f>
        <v>0</v>
      </c>
      <c r="AO82" s="43" t="n">
        <f aca="false">SUM(C82:AN82)</f>
        <v>1</v>
      </c>
      <c r="AP82" s="43" t="n">
        <f aca="false">COUNTIF(Matrice_OD!$C82:$AN82,"&lt;="&amp;Param!$B$2)</f>
        <v>21</v>
      </c>
    </row>
    <row r="83" customFormat="false" ht="15" hidden="false" customHeight="true" outlineLevel="0" collapsed="false">
      <c r="A83" s="0" t="s">
        <v>264</v>
      </c>
      <c r="B83" s="0" t="s">
        <v>265</v>
      </c>
      <c r="C83" s="0" t="n">
        <f aca="false">IF(2_Utilité!AO83&gt;0,2_Utilité!C83/2_Utilité!AO83,0)</f>
        <v>0.0607166851681236</v>
      </c>
      <c r="D83" s="0" t="n">
        <f aca="false">IF(2_Utilité!AO83&gt;0,2_Utilité!D83/2_Utilité!AO83,0)</f>
        <v>0.0128385535009042</v>
      </c>
      <c r="E83" s="0" t="n">
        <f aca="false">IF(2_Utilité!AO83&gt;0,2_Utilité!E83/2_Utilité!AO83,0)</f>
        <v>0.131156871645518</v>
      </c>
      <c r="F83" s="0" t="n">
        <f aca="false">IF(2_Utilité!AO83&gt;0,2_Utilité!F83/2_Utilité!AO83,0)</f>
        <v>0.0234778200683201</v>
      </c>
      <c r="G83" s="0" t="n">
        <f aca="false">IF(2_Utilité!AO83&gt;0,2_Utilité!G83/2_Utilité!AO83,0)</f>
        <v>0.0650298131959105</v>
      </c>
      <c r="H83" s="0" t="n">
        <f aca="false">IF(2_Utilité!AO83&gt;0,2_Utilité!H83/2_Utilité!AO83,0)</f>
        <v>0.0143055833146</v>
      </c>
      <c r="I83" s="0" t="n">
        <f aca="false">IF(2_Utilité!AO83&gt;0,2_Utilité!I83/2_Utilité!AO83,0)</f>
        <v>0.0327735397106496</v>
      </c>
      <c r="J83" s="0" t="n">
        <f aca="false">IF(2_Utilité!AO83&gt;0,2_Utilité!J83/2_Utilité!AO83,0)</f>
        <v>0.0257658206189193</v>
      </c>
      <c r="K83" s="0" t="n">
        <f aca="false">IF(2_Utilité!AO83&gt;0,2_Utilité!K83/2_Utilité!AO83,0)</f>
        <v>0.0159226501987191</v>
      </c>
      <c r="L83" s="0" t="n">
        <f aca="false">IF(2_Utilité!AO83&gt;0,2_Utilité!L83/2_Utilité!AO83,0)</f>
        <v>0.0158596158228446</v>
      </c>
      <c r="M83" s="0" t="n">
        <f aca="false">IF(2_Utilité!AO83&gt;0,2_Utilité!M83/2_Utilité!AO83,0)</f>
        <v>0.0844408028438463</v>
      </c>
      <c r="N83" s="0" t="n">
        <f aca="false">IF(2_Utilité!AO83&gt;0,2_Utilité!N83/2_Utilité!AO83,0)</f>
        <v>0.0114140622606491</v>
      </c>
      <c r="O83" s="0" t="n">
        <f aca="false">IF(2_Utilité!AO83&gt;0,2_Utilité!O83/2_Utilité!AO83,0)</f>
        <v>0.0361932264501367</v>
      </c>
      <c r="P83" s="0" t="n">
        <f aca="false">IF(2_Utilité!AO83&gt;0,2_Utilité!P83/2_Utilité!AO83,0)</f>
        <v>0.0174892988686447</v>
      </c>
      <c r="Q83" s="0" t="n">
        <f aca="false">IF(2_Utilité!AO83&gt;0,2_Utilité!Q83/2_Utilité!AO83,0)</f>
        <v>0.151332555749807</v>
      </c>
      <c r="R83" s="0" t="n">
        <f aca="false">IF(2_Utilité!AO83&gt;0,2_Utilité!R83/2_Utilité!AO83,0)</f>
        <v>0.0200268551910751</v>
      </c>
      <c r="S83" s="0" t="n">
        <f aca="false">IF(2_Utilité!AO83&gt;0,2_Utilité!S83/2_Utilité!AO83,0)</f>
        <v>0.0147784096212089</v>
      </c>
      <c r="T83" s="0" t="n">
        <f aca="false">IF(2_Utilité!AO83&gt;0,2_Utilité!T83/2_Utilité!AO83,0)</f>
        <v>0.0235360757526521</v>
      </c>
      <c r="U83" s="0" t="n">
        <f aca="false">IF(2_Utilité!AO83&gt;0,2_Utilité!U83/2_Utilité!AO83,0)</f>
        <v>0.00201359344559923</v>
      </c>
      <c r="V83" s="0" t="n">
        <f aca="false">IF(2_Utilité!AO83&gt;0,2_Utilité!V83/2_Utilité!AO83,0)</f>
        <v>0.0117857736014688</v>
      </c>
      <c r="W83" s="0" t="n">
        <f aca="false">IF(2_Utilité!AO83&gt;0,2_Utilité!W83/2_Utilité!AO83,0)</f>
        <v>0.00187564365223847</v>
      </c>
      <c r="X83" s="0" t="n">
        <f aca="false">IF(2_Utilité!AO83&gt;0,2_Utilité!X83/2_Utilité!AO83,0)</f>
        <v>0.00253121237177556</v>
      </c>
      <c r="Y83" s="0" t="n">
        <f aca="false">IF(2_Utilité!AO83&gt;0,2_Utilité!Y83/2_Utilité!AO83,0)</f>
        <v>0.00168428199843425</v>
      </c>
      <c r="Z83" s="0" t="n">
        <f aca="false">IF(2_Utilité!AO83&gt;0,2_Utilité!Z83/2_Utilité!AO83,0)</f>
        <v>0.00409643529679291</v>
      </c>
      <c r="AA83" s="0" t="n">
        <f aca="false">IF(2_Utilité!AO83&gt;0,2_Utilité!AA83/2_Utilité!AO83,0)</f>
        <v>0.00712967202287166</v>
      </c>
      <c r="AB83" s="0" t="n">
        <f aca="false">IF(2_Utilité!AO83&gt;0,2_Utilité!AB83/2_Utilité!AO83,0)</f>
        <v>0.00298880578688659</v>
      </c>
      <c r="AC83" s="0" t="n">
        <f aca="false">IF(2_Utilité!AO83&gt;0,2_Utilité!AC83/2_Utilité!AO83,0)</f>
        <v>0</v>
      </c>
      <c r="AD83" s="0" t="n">
        <f aca="false">IF(2_Utilité!AO83&gt;0,2_Utilité!AD83/2_Utilité!AO83,0)</f>
        <v>0</v>
      </c>
      <c r="AE83" s="0" t="n">
        <f aca="false">IF(2_Utilité!AO83&gt;0,2_Utilité!AE83/2_Utilité!AO83,0)</f>
        <v>0</v>
      </c>
      <c r="AF83" s="0" t="n">
        <f aca="false">IF(2_Utilité!AO83&gt;0,2_Utilité!AF83/2_Utilité!AO83,0)</f>
        <v>0</v>
      </c>
      <c r="AG83" s="0" t="n">
        <f aca="false">IF(2_Utilité!AO83&gt;0,2_Utilité!AG83/2_Utilité!AO83,0)</f>
        <v>0</v>
      </c>
      <c r="AH83" s="0" t="n">
        <f aca="false">IF(2_Utilité!AO83&gt;0,2_Utilité!AH83/2_Utilité!AO83,0)</f>
        <v>0.0465393975712245</v>
      </c>
      <c r="AI83" s="0" t="n">
        <f aca="false">IF(2_Utilité!AO83&gt;0,2_Utilité!AI83/2_Utilité!AO83,0)</f>
        <v>0.0114733361757482</v>
      </c>
      <c r="AJ83" s="0" t="n">
        <f aca="false">IF(2_Utilité!AO83&gt;0,2_Utilité!AJ83/2_Utilité!AO83,0)</f>
        <v>0.00354500981963593</v>
      </c>
      <c r="AK83" s="0" t="n">
        <f aca="false">IF(2_Utilité!AO83&gt;0,2_Utilité!AK83/2_Utilité!AO83,0)</f>
        <v>0</v>
      </c>
      <c r="AL83" s="0" t="n">
        <f aca="false">IF(2_Utilité!AO83&gt;0,2_Utilité!AL83/2_Utilité!AO83,0)</f>
        <v>0</v>
      </c>
      <c r="AM83" s="49" t="n">
        <f aca="false">IF(2_Utilité!AO83&gt;0,2_Utilité!AM83/2_Utilité!AO83,0)</f>
        <v>0.147278598274795</v>
      </c>
      <c r="AN83" s="43" t="n">
        <f aca="false">IF(2_Utilité!AO83&gt;0,2_Utilité!AN83/2_Utilité!AO83,0)</f>
        <v>0</v>
      </c>
      <c r="AO83" s="43" t="n">
        <f aca="false">SUM(C83:AN83)</f>
        <v>1</v>
      </c>
      <c r="AP83" s="43" t="n">
        <f aca="false">COUNTIF(Matrice_OD!$C83:$AN83,"&lt;="&amp;Param!$B$2)</f>
        <v>30</v>
      </c>
    </row>
    <row r="84" customFormat="false" ht="15" hidden="false" customHeight="true" outlineLevel="0" collapsed="false">
      <c r="A84" s="0" t="s">
        <v>266</v>
      </c>
      <c r="B84" s="0" t="s">
        <v>267</v>
      </c>
      <c r="C84" s="0" t="n">
        <f aca="false">IF(2_Utilité!AO84&gt;0,2_Utilité!C84/2_Utilité!AO84,0)</f>
        <v>0</v>
      </c>
      <c r="D84" s="0" t="n">
        <f aca="false">IF(2_Utilité!AO84&gt;0,2_Utilité!D84/2_Utilité!AO84,0)</f>
        <v>0</v>
      </c>
      <c r="E84" s="0" t="n">
        <f aca="false">IF(2_Utilité!AO84&gt;0,2_Utilité!E84/2_Utilité!AO84,0)</f>
        <v>0</v>
      </c>
      <c r="F84" s="0" t="n">
        <f aca="false">IF(2_Utilité!AO84&gt;0,2_Utilité!F84/2_Utilité!AO84,0)</f>
        <v>0</v>
      </c>
      <c r="G84" s="0" t="n">
        <f aca="false">IF(2_Utilité!AO84&gt;0,2_Utilité!G84/2_Utilité!AO84,0)</f>
        <v>0</v>
      </c>
      <c r="H84" s="0" t="n">
        <f aca="false">IF(2_Utilité!AO84&gt;0,2_Utilité!H84/2_Utilité!AO84,0)</f>
        <v>0</v>
      </c>
      <c r="I84" s="0" t="n">
        <f aca="false">IF(2_Utilité!AO84&gt;0,2_Utilité!I84/2_Utilité!AO84,0)</f>
        <v>0</v>
      </c>
      <c r="J84" s="0" t="n">
        <f aca="false">IF(2_Utilité!AO84&gt;0,2_Utilité!J84/2_Utilité!AO84,0)</f>
        <v>0</v>
      </c>
      <c r="K84" s="0" t="n">
        <f aca="false">IF(2_Utilité!AO84&gt;0,2_Utilité!K84/2_Utilité!AO84,0)</f>
        <v>0</v>
      </c>
      <c r="L84" s="0" t="n">
        <f aca="false">IF(2_Utilité!AO84&gt;0,2_Utilité!L84/2_Utilité!AO84,0)</f>
        <v>0</v>
      </c>
      <c r="M84" s="0" t="n">
        <f aca="false">IF(2_Utilité!AO84&gt;0,2_Utilité!M84/2_Utilité!AO84,0)</f>
        <v>0</v>
      </c>
      <c r="N84" s="0" t="n">
        <f aca="false">IF(2_Utilité!AO84&gt;0,2_Utilité!N84/2_Utilité!AO84,0)</f>
        <v>0</v>
      </c>
      <c r="O84" s="0" t="n">
        <f aca="false">IF(2_Utilité!AO84&gt;0,2_Utilité!O84/2_Utilité!AO84,0)</f>
        <v>0</v>
      </c>
      <c r="P84" s="0" t="n">
        <f aca="false">IF(2_Utilité!AO84&gt;0,2_Utilité!P84/2_Utilité!AO84,0)</f>
        <v>0</v>
      </c>
      <c r="Q84" s="0" t="n">
        <f aca="false">IF(2_Utilité!AO84&gt;0,2_Utilité!Q84/2_Utilité!AO84,0)</f>
        <v>0</v>
      </c>
      <c r="R84" s="0" t="n">
        <f aca="false">IF(2_Utilité!AO84&gt;0,2_Utilité!R84/2_Utilité!AO84,0)</f>
        <v>0</v>
      </c>
      <c r="S84" s="0" t="n">
        <f aca="false">IF(2_Utilité!AO84&gt;0,2_Utilité!S84/2_Utilité!AO84,0)</f>
        <v>0</v>
      </c>
      <c r="T84" s="0" t="n">
        <f aca="false">IF(2_Utilité!AO84&gt;0,2_Utilité!T84/2_Utilité!AO84,0)</f>
        <v>0</v>
      </c>
      <c r="U84" s="0" t="n">
        <f aca="false">IF(2_Utilité!AO84&gt;0,2_Utilité!U84/2_Utilité!AO84,0)</f>
        <v>0</v>
      </c>
      <c r="V84" s="0" t="n">
        <f aca="false">IF(2_Utilité!AO84&gt;0,2_Utilité!V84/2_Utilité!AO84,0)</f>
        <v>0</v>
      </c>
      <c r="W84" s="0" t="n">
        <f aca="false">IF(2_Utilité!AO84&gt;0,2_Utilité!W84/2_Utilité!AO84,0)</f>
        <v>0</v>
      </c>
      <c r="X84" s="0" t="n">
        <f aca="false">IF(2_Utilité!AO84&gt;0,2_Utilité!X84/2_Utilité!AO84,0)</f>
        <v>0</v>
      </c>
      <c r="Y84" s="0" t="n">
        <f aca="false">IF(2_Utilité!AO84&gt;0,2_Utilité!Y84/2_Utilité!AO84,0)</f>
        <v>0</v>
      </c>
      <c r="Z84" s="0" t="n">
        <f aca="false">IF(2_Utilité!AO84&gt;0,2_Utilité!Z84/2_Utilité!AO84,0)</f>
        <v>0</v>
      </c>
      <c r="AA84" s="0" t="n">
        <f aca="false">IF(2_Utilité!AO84&gt;0,2_Utilité!AA84/2_Utilité!AO84,0)</f>
        <v>0</v>
      </c>
      <c r="AB84" s="0" t="n">
        <f aca="false">IF(2_Utilité!AO84&gt;0,2_Utilité!AB84/2_Utilité!AO84,0)</f>
        <v>0</v>
      </c>
      <c r="AC84" s="0" t="n">
        <f aca="false">IF(2_Utilité!AO84&gt;0,2_Utilité!AC84/2_Utilité!AO84,0)</f>
        <v>0.0357667859963976</v>
      </c>
      <c r="AD84" s="0" t="n">
        <f aca="false">IF(2_Utilité!AO84&gt;0,2_Utilité!AD84/2_Utilité!AO84,0)</f>
        <v>0.17893214367579</v>
      </c>
      <c r="AE84" s="0" t="n">
        <f aca="false">IF(2_Utilité!AO84&gt;0,2_Utilité!AE84/2_Utilité!AO84,0)</f>
        <v>0.107329503794153</v>
      </c>
      <c r="AF84" s="0" t="n">
        <f aca="false">IF(2_Utilité!AO84&gt;0,2_Utilité!AF84/2_Utilité!AO84,0)</f>
        <v>0.0714595914874867</v>
      </c>
      <c r="AG84" s="0" t="n">
        <f aca="false">IF(2_Utilité!AO84&gt;0,2_Utilité!AG84/2_Utilité!AO84,0)</f>
        <v>0</v>
      </c>
      <c r="AH84" s="0" t="n">
        <f aca="false">IF(2_Utilité!AO84&gt;0,2_Utilité!AH84/2_Utilité!AO84,0)</f>
        <v>0</v>
      </c>
      <c r="AI84" s="0" t="n">
        <f aca="false">IF(2_Utilité!AO84&gt;0,2_Utilité!AI84/2_Utilité!AO84,0)</f>
        <v>0</v>
      </c>
      <c r="AJ84" s="0" t="n">
        <f aca="false">IF(2_Utilité!AO84&gt;0,2_Utilité!AJ84/2_Utilité!AO84,0)</f>
        <v>0</v>
      </c>
      <c r="AK84" s="0" t="n">
        <f aca="false">IF(2_Utilité!AO84&gt;0,2_Utilité!AK84/2_Utilité!AO84,0)</f>
        <v>0.248392376448736</v>
      </c>
      <c r="AL84" s="0" t="n">
        <f aca="false">IF(2_Utilité!AO84&gt;0,2_Utilité!AL84/2_Utilité!AO84,0)</f>
        <v>0.358119598597436</v>
      </c>
      <c r="AM84" s="48" t="n">
        <f aca="false">IF(2_Utilité!AO84&gt;0,2_Utilité!AM84/2_Utilité!AO84,0)</f>
        <v>0</v>
      </c>
      <c r="AN84" s="43" t="n">
        <f aca="false">IF(2_Utilité!AO84&gt;0,2_Utilité!AN84/2_Utilité!AO84,0)</f>
        <v>0</v>
      </c>
      <c r="AO84" s="43" t="n">
        <f aca="false">SUM(C84:AN84)</f>
        <v>1</v>
      </c>
      <c r="AP84" s="43" t="n">
        <f aca="false">COUNTIF(Matrice_OD!$C84:$AN84,"&lt;="&amp;Param!$B$2)</f>
        <v>6</v>
      </c>
    </row>
    <row r="85" customFormat="false" ht="15" hidden="false" customHeight="true" outlineLevel="0" collapsed="false">
      <c r="A85" s="0" t="s">
        <v>268</v>
      </c>
      <c r="B85" s="0" t="s">
        <v>269</v>
      </c>
      <c r="C85" s="0" t="n">
        <f aca="false">IF(2_Utilité!AO85&gt;0,2_Utilité!C85/2_Utilité!AO85,0)</f>
        <v>0</v>
      </c>
      <c r="D85" s="0" t="n">
        <f aca="false">IF(2_Utilité!AO85&gt;0,2_Utilité!D85/2_Utilité!AO85,0)</f>
        <v>0</v>
      </c>
      <c r="E85" s="0" t="n">
        <f aca="false">IF(2_Utilité!AO85&gt;0,2_Utilité!E85/2_Utilité!AO85,0)</f>
        <v>0</v>
      </c>
      <c r="F85" s="0" t="n">
        <f aca="false">IF(2_Utilité!AO85&gt;0,2_Utilité!F85/2_Utilité!AO85,0)</f>
        <v>0</v>
      </c>
      <c r="G85" s="0" t="n">
        <f aca="false">IF(2_Utilité!AO85&gt;0,2_Utilité!G85/2_Utilité!AO85,0)</f>
        <v>0</v>
      </c>
      <c r="H85" s="0" t="n">
        <f aca="false">IF(2_Utilité!AO85&gt;0,2_Utilité!H85/2_Utilité!AO85,0)</f>
        <v>0</v>
      </c>
      <c r="I85" s="0" t="n">
        <f aca="false">IF(2_Utilité!AO85&gt;0,2_Utilité!I85/2_Utilité!AO85,0)</f>
        <v>0</v>
      </c>
      <c r="J85" s="0" t="n">
        <f aca="false">IF(2_Utilité!AO85&gt;0,2_Utilité!J85/2_Utilité!AO85,0)</f>
        <v>0</v>
      </c>
      <c r="K85" s="0" t="n">
        <f aca="false">IF(2_Utilité!AO85&gt;0,2_Utilité!K85/2_Utilité!AO85,0)</f>
        <v>0</v>
      </c>
      <c r="L85" s="0" t="n">
        <f aca="false">IF(2_Utilité!AO85&gt;0,2_Utilité!L85/2_Utilité!AO85,0)</f>
        <v>0</v>
      </c>
      <c r="M85" s="0" t="n">
        <f aca="false">IF(2_Utilité!AO85&gt;0,2_Utilité!M85/2_Utilité!AO85,0)</f>
        <v>0</v>
      </c>
      <c r="N85" s="0" t="n">
        <f aca="false">IF(2_Utilité!AO85&gt;0,2_Utilité!N85/2_Utilité!AO85,0)</f>
        <v>0</v>
      </c>
      <c r="O85" s="0" t="n">
        <f aca="false">IF(2_Utilité!AO85&gt;0,2_Utilité!O85/2_Utilité!AO85,0)</f>
        <v>0</v>
      </c>
      <c r="P85" s="0" t="n">
        <f aca="false">IF(2_Utilité!AO85&gt;0,2_Utilité!P85/2_Utilité!AO85,0)</f>
        <v>0</v>
      </c>
      <c r="Q85" s="0" t="n">
        <f aca="false">IF(2_Utilité!AO85&gt;0,2_Utilité!Q85/2_Utilité!AO85,0)</f>
        <v>0</v>
      </c>
      <c r="R85" s="0" t="n">
        <f aca="false">IF(2_Utilité!AO85&gt;0,2_Utilité!R85/2_Utilité!AO85,0)</f>
        <v>0</v>
      </c>
      <c r="S85" s="0" t="n">
        <f aca="false">IF(2_Utilité!AO85&gt;0,2_Utilité!S85/2_Utilité!AO85,0)</f>
        <v>0</v>
      </c>
      <c r="T85" s="0" t="n">
        <f aca="false">IF(2_Utilité!AO85&gt;0,2_Utilité!T85/2_Utilité!AO85,0)</f>
        <v>0</v>
      </c>
      <c r="U85" s="0" t="n">
        <f aca="false">IF(2_Utilité!AO85&gt;0,2_Utilité!U85/2_Utilité!AO85,0)</f>
        <v>0</v>
      </c>
      <c r="V85" s="0" t="n">
        <f aca="false">IF(2_Utilité!AO85&gt;0,2_Utilité!V85/2_Utilité!AO85,0)</f>
        <v>0</v>
      </c>
      <c r="W85" s="0" t="n">
        <f aca="false">IF(2_Utilité!AO85&gt;0,2_Utilité!W85/2_Utilité!AO85,0)</f>
        <v>0</v>
      </c>
      <c r="X85" s="0" t="n">
        <f aca="false">IF(2_Utilité!AO85&gt;0,2_Utilité!X85/2_Utilité!AO85,0)</f>
        <v>0</v>
      </c>
      <c r="Y85" s="0" t="n">
        <f aca="false">IF(2_Utilité!AO85&gt;0,2_Utilité!Y85/2_Utilité!AO85,0)</f>
        <v>0</v>
      </c>
      <c r="Z85" s="0" t="n">
        <f aca="false">IF(2_Utilité!AO85&gt;0,2_Utilité!Z85/2_Utilité!AO85,0)</f>
        <v>0</v>
      </c>
      <c r="AA85" s="0" t="n">
        <f aca="false">IF(2_Utilité!AO85&gt;0,2_Utilité!AA85/2_Utilité!AO85,0)</f>
        <v>0</v>
      </c>
      <c r="AB85" s="0" t="n">
        <f aca="false">IF(2_Utilité!AO85&gt;0,2_Utilité!AB85/2_Utilité!AO85,0)</f>
        <v>0</v>
      </c>
      <c r="AC85" s="0" t="n">
        <f aca="false">IF(2_Utilité!AO85&gt;0,2_Utilité!AC85/2_Utilité!AO85,0)</f>
        <v>0.0334841602981083</v>
      </c>
      <c r="AD85" s="0" t="n">
        <f aca="false">IF(2_Utilité!AO85&gt;0,2_Utilité!AD85/2_Utilité!AO85,0)</f>
        <v>0.16985450538638</v>
      </c>
      <c r="AE85" s="0" t="n">
        <f aca="false">IF(2_Utilité!AO85&gt;0,2_Utilité!AE85/2_Utilité!AO85,0)</f>
        <v>0.103801836539392</v>
      </c>
      <c r="AF85" s="0" t="n">
        <f aca="false">IF(2_Utilité!AO85&gt;0,2_Utilité!AF85/2_Utilité!AO85,0)</f>
        <v>0.0689438460190843</v>
      </c>
      <c r="AG85" s="0" t="n">
        <f aca="false">IF(2_Utilité!AO85&gt;0,2_Utilité!AG85/2_Utilité!AO85,0)</f>
        <v>0</v>
      </c>
      <c r="AH85" s="0" t="n">
        <f aca="false">IF(2_Utilité!AO85&gt;0,2_Utilité!AH85/2_Utilité!AO85,0)</f>
        <v>0</v>
      </c>
      <c r="AI85" s="0" t="n">
        <f aca="false">IF(2_Utilité!AO85&gt;0,2_Utilité!AI85/2_Utilité!AO85,0)</f>
        <v>0</v>
      </c>
      <c r="AJ85" s="0" t="n">
        <f aca="false">IF(2_Utilité!AO85&gt;0,2_Utilité!AJ85/2_Utilité!AO85,0)</f>
        <v>0</v>
      </c>
      <c r="AK85" s="0" t="n">
        <f aca="false">IF(2_Utilité!AO85&gt;0,2_Utilité!AK85/2_Utilité!AO85,0)</f>
        <v>0.290480192772322</v>
      </c>
      <c r="AL85" s="0" t="n">
        <f aca="false">IF(2_Utilité!AO85&gt;0,2_Utilité!AL85/2_Utilité!AO85,0)</f>
        <v>0.333435458984712</v>
      </c>
      <c r="AM85" s="49" t="n">
        <f aca="false">IF(2_Utilité!AO85&gt;0,2_Utilité!AM85/2_Utilité!AO85,0)</f>
        <v>0</v>
      </c>
      <c r="AN85" s="43" t="n">
        <f aca="false">IF(2_Utilité!AO85&gt;0,2_Utilité!AN85/2_Utilité!AO85,0)</f>
        <v>0</v>
      </c>
      <c r="AO85" s="43" t="n">
        <f aca="false">SUM(C85:AN85)</f>
        <v>1</v>
      </c>
      <c r="AP85" s="43" t="n">
        <f aca="false">COUNTIF(Matrice_OD!$C85:$AN85,"&lt;="&amp;Param!$B$2)</f>
        <v>6</v>
      </c>
    </row>
    <row r="86" customFormat="false" ht="15" hidden="false" customHeight="true" outlineLevel="0" collapsed="false">
      <c r="A86" s="0" t="s">
        <v>270</v>
      </c>
      <c r="B86" s="0" t="s">
        <v>271</v>
      </c>
      <c r="C86" s="0" t="n">
        <f aca="false">IF(2_Utilité!AO86&gt;0,2_Utilité!C86/2_Utilité!AO86,0)</f>
        <v>0</v>
      </c>
      <c r="D86" s="0" t="n">
        <f aca="false">IF(2_Utilité!AO86&gt;0,2_Utilité!D86/2_Utilité!AO86,0)</f>
        <v>0.00463005405722209</v>
      </c>
      <c r="E86" s="0" t="n">
        <f aca="false">IF(2_Utilité!AO86&gt;0,2_Utilité!E86/2_Utilité!AO86,0)</f>
        <v>0.0527845583559485</v>
      </c>
      <c r="F86" s="0" t="n">
        <f aca="false">IF(2_Utilité!AO86&gt;0,2_Utilité!F86/2_Utilité!AO86,0)</f>
        <v>0.00974932562019432</v>
      </c>
      <c r="G86" s="0" t="n">
        <f aca="false">IF(2_Utilité!AO86&gt;0,2_Utilité!G86/2_Utilité!AO86,0)</f>
        <v>0.0270557919425357</v>
      </c>
      <c r="H86" s="0" t="n">
        <f aca="false">IF(2_Utilité!AO86&gt;0,2_Utilité!H86/2_Utilité!AO86,0)</f>
        <v>0.00757375695791324</v>
      </c>
      <c r="I86" s="0" t="n">
        <f aca="false">IF(2_Utilité!AO86&gt;0,2_Utilité!I86/2_Utilité!AO86,0)</f>
        <v>0.01716787044904</v>
      </c>
      <c r="J86" s="0" t="n">
        <f aca="false">IF(2_Utilité!AO86&gt;0,2_Utilité!J86/2_Utilité!AO86,0)</f>
        <v>0.0128840767511996</v>
      </c>
      <c r="K86" s="0" t="n">
        <f aca="false">IF(2_Utilité!AO86&gt;0,2_Utilité!K86/2_Utilité!AO86,0)</f>
        <v>0.00754284352413668</v>
      </c>
      <c r="L86" s="0" t="n">
        <f aca="false">IF(2_Utilité!AO86&gt;0,2_Utilité!L86/2_Utilité!AO86,0)</f>
        <v>0.00859932978639584</v>
      </c>
      <c r="M86" s="0" t="n">
        <f aca="false">IF(2_Utilité!AO86&gt;0,2_Utilité!M86/2_Utilité!AO86,0)</f>
        <v>0.0510711112610879</v>
      </c>
      <c r="N86" s="0" t="n">
        <f aca="false">IF(2_Utilité!AO86&gt;0,2_Utilité!N86/2_Utilité!AO86,0)</f>
        <v>0.0060019766604454</v>
      </c>
      <c r="O86" s="0" t="n">
        <f aca="false">IF(2_Utilité!AO86&gt;0,2_Utilité!O86/2_Utilité!AO86,0)</f>
        <v>0.0193745395448701</v>
      </c>
      <c r="P86" s="0" t="n">
        <f aca="false">IF(2_Utilité!AO86&gt;0,2_Utilité!P86/2_Utilité!AO86,0)</f>
        <v>0.00972845992112267</v>
      </c>
      <c r="Q86" s="0" t="n">
        <f aca="false">IF(2_Utilité!AO86&gt;0,2_Utilité!Q86/2_Utilité!AO86,0)</f>
        <v>0.0866114522421561</v>
      </c>
      <c r="R86" s="0" t="n">
        <f aca="false">IF(2_Utilité!AO86&gt;0,2_Utilité!R86/2_Utilité!AO86,0)</f>
        <v>0.0113532694739885</v>
      </c>
      <c r="S86" s="0" t="n">
        <f aca="false">IF(2_Utilité!AO86&gt;0,2_Utilité!S86/2_Utilité!AO86,0)</f>
        <v>0.00807441420570096</v>
      </c>
      <c r="T86" s="0" t="n">
        <f aca="false">IF(2_Utilité!AO86&gt;0,2_Utilité!T86/2_Utilité!AO86,0)</f>
        <v>0.00348131960695273</v>
      </c>
      <c r="U86" s="0" t="n">
        <f aca="false">IF(2_Utilité!AO86&gt;0,2_Utilité!U86/2_Utilité!AO86,0)</f>
        <v>0.00551012071263415</v>
      </c>
      <c r="V86" s="0" t="n">
        <f aca="false">IF(2_Utilité!AO86&gt;0,2_Utilité!V86/2_Utilité!AO86,0)</f>
        <v>0</v>
      </c>
      <c r="W86" s="0" t="n">
        <f aca="false">IF(2_Utilité!AO86&gt;0,2_Utilité!W86/2_Utilité!AO86,0)</f>
        <v>0</v>
      </c>
      <c r="X86" s="0" t="n">
        <f aca="false">IF(2_Utilité!AO86&gt;0,2_Utilité!X86/2_Utilité!AO86,0)</f>
        <v>0</v>
      </c>
      <c r="Y86" s="0" t="n">
        <f aca="false">IF(2_Utilité!AO86&gt;0,2_Utilité!Y86/2_Utilité!AO86,0)</f>
        <v>0</v>
      </c>
      <c r="Z86" s="0" t="n">
        <f aca="false">IF(2_Utilité!AO86&gt;0,2_Utilité!Z86/2_Utilité!AO86,0)</f>
        <v>0</v>
      </c>
      <c r="AA86" s="0" t="n">
        <f aca="false">IF(2_Utilité!AO86&gt;0,2_Utilité!AA86/2_Utilité!AO86,0)</f>
        <v>0</v>
      </c>
      <c r="AB86" s="0" t="n">
        <f aca="false">IF(2_Utilité!AO86&gt;0,2_Utilité!AB86/2_Utilité!AO86,0)</f>
        <v>0</v>
      </c>
      <c r="AC86" s="0" t="n">
        <f aca="false">IF(2_Utilité!AO86&gt;0,2_Utilité!AC86/2_Utilité!AO86,0)</f>
        <v>0.024670805922392</v>
      </c>
      <c r="AD86" s="0" t="n">
        <f aca="false">IF(2_Utilité!AO86&gt;0,2_Utilité!AD86/2_Utilité!AO86,0)</f>
        <v>0.120592762072135</v>
      </c>
      <c r="AE86" s="0" t="n">
        <f aca="false">IF(2_Utilité!AO86&gt;0,2_Utilité!AE86/2_Utilité!AO86,0)</f>
        <v>0.0693621414406382</v>
      </c>
      <c r="AF86" s="0" t="n">
        <f aca="false">IF(2_Utilité!AO86&gt;0,2_Utilité!AF86/2_Utilité!AO86,0)</f>
        <v>0.0459984642884859</v>
      </c>
      <c r="AG86" s="0" t="n">
        <f aca="false">IF(2_Utilité!AO86&gt;0,2_Utilité!AG86/2_Utilité!AO86,0)</f>
        <v>0</v>
      </c>
      <c r="AH86" s="0" t="n">
        <f aca="false">IF(2_Utilité!AO86&gt;0,2_Utilité!AH86/2_Utilité!AO86,0)</f>
        <v>0.0305218477993843</v>
      </c>
      <c r="AI86" s="0" t="n">
        <f aca="false">IF(2_Utilité!AO86&gt;0,2_Utilité!AI86/2_Utilité!AO86,0)</f>
        <v>0.0014516611875692</v>
      </c>
      <c r="AJ86" s="0" t="n">
        <f aca="false">IF(2_Utilité!AO86&gt;0,2_Utilité!AJ86/2_Utilité!AO86,0)</f>
        <v>0</v>
      </c>
      <c r="AK86" s="0" t="n">
        <f aca="false">IF(2_Utilité!AO86&gt;0,2_Utilité!AK86/2_Utilité!AO86,0)</f>
        <v>0.127244173570101</v>
      </c>
      <c r="AL86" s="0" t="n">
        <f aca="false">IF(2_Utilité!AO86&gt;0,2_Utilité!AL86/2_Utilité!AO86,0)</f>
        <v>0.23096387264575</v>
      </c>
      <c r="AM86" s="48" t="n">
        <f aca="false">IF(2_Utilité!AO86&gt;0,2_Utilité!AM86/2_Utilité!AO86,0)</f>
        <v>0</v>
      </c>
      <c r="AN86" s="43" t="n">
        <f aca="false">IF(2_Utilité!AO86&gt;0,2_Utilité!AN86/2_Utilité!AO86,0)</f>
        <v>0</v>
      </c>
      <c r="AO86" s="43" t="n">
        <f aca="false">SUM(C86:AN86)</f>
        <v>1</v>
      </c>
      <c r="AP86" s="43" t="n">
        <f aca="false">COUNTIF(Matrice_OD!$C86:$AN86,"&lt;="&amp;Param!$B$2)</f>
        <v>26</v>
      </c>
    </row>
    <row r="87" customFormat="false" ht="15" hidden="false" customHeight="true" outlineLevel="0" collapsed="false">
      <c r="A87" s="0" t="s">
        <v>272</v>
      </c>
      <c r="B87" s="0" t="s">
        <v>273</v>
      </c>
      <c r="C87" s="0" t="n">
        <f aca="false">IF(2_Utilité!AO87&gt;0,2_Utilité!C87/2_Utilité!AO87,0)</f>
        <v>0</v>
      </c>
      <c r="D87" s="0" t="n">
        <f aca="false">IF(2_Utilité!AO87&gt;0,2_Utilité!D87/2_Utilité!AO87,0)</f>
        <v>0.0020770454296992</v>
      </c>
      <c r="E87" s="0" t="n">
        <f aca="false">IF(2_Utilité!AO87&gt;0,2_Utilité!E87/2_Utilité!AO87,0)</f>
        <v>0.0237453394197989</v>
      </c>
      <c r="F87" s="0" t="n">
        <f aca="false">IF(2_Utilité!AO87&gt;0,2_Utilité!F87/2_Utilité!AO87,0)</f>
        <v>0.00439717819183086</v>
      </c>
      <c r="G87" s="0" t="n">
        <f aca="false">IF(2_Utilité!AO87&gt;0,2_Utilité!G87/2_Utilité!AO87,0)</f>
        <v>0.0121688120855855</v>
      </c>
      <c r="H87" s="0" t="n">
        <f aca="false">IF(2_Utilité!AO87&gt;0,2_Utilité!H87/2_Utilité!AO87,0)</f>
        <v>0.00348129700403706</v>
      </c>
      <c r="I87" s="0" t="n">
        <f aca="false">IF(2_Utilité!AO87&gt;0,2_Utilité!I87/2_Utilité!AO87,0)</f>
        <v>0.00787608843174898</v>
      </c>
      <c r="J87" s="0" t="n">
        <f aca="false">IF(2_Utilité!AO87&gt;0,2_Utilité!J87/2_Utilité!AO87,0)</f>
        <v>0.0058705830641362</v>
      </c>
      <c r="K87" s="0" t="n">
        <f aca="false">IF(2_Utilité!AO87&gt;0,2_Utilité!K87/2_Utilité!AO87,0)</f>
        <v>0.00341659092576972</v>
      </c>
      <c r="L87" s="0" t="n">
        <f aca="false">IF(2_Utilité!AO87&gt;0,2_Utilité!L87/2_Utilité!AO87,0)</f>
        <v>0.00394586585214188</v>
      </c>
      <c r="M87" s="0" t="n">
        <f aca="false">IF(2_Utilité!AO87&gt;0,2_Utilité!M87/2_Utilité!AO87,0)</f>
        <v>0.0237087212618444</v>
      </c>
      <c r="N87" s="0" t="n">
        <f aca="false">IF(2_Utilité!AO87&gt;0,2_Utilité!N87/2_Utilité!AO87,0)</f>
        <v>0.00273951849232204</v>
      </c>
      <c r="O87" s="0" t="n">
        <f aca="false">IF(2_Utilité!AO87&gt;0,2_Utilité!O87/2_Utilité!AO87,0)</f>
        <v>0.00885685976613635</v>
      </c>
      <c r="P87" s="0" t="n">
        <f aca="false">IF(2_Utilité!AO87&gt;0,2_Utilité!P87/2_Utilité!AO87,0)</f>
        <v>0.00446311677799109</v>
      </c>
      <c r="Q87" s="0" t="n">
        <f aca="false">IF(2_Utilité!AO87&gt;0,2_Utilité!Q87/2_Utilité!AO87,0)</f>
        <v>0.0398123349989733</v>
      </c>
      <c r="R87" s="0" t="n">
        <f aca="false">IF(2_Utilité!AO87&gt;0,2_Utilité!R87/2_Utilité!AO87,0)</f>
        <v>0.00520402174293867</v>
      </c>
      <c r="S87" s="0" t="n">
        <f aca="false">IF(2_Utilité!AO87&gt;0,2_Utilité!S87/2_Utilité!AO87,0)</f>
        <v>0.00368013958737592</v>
      </c>
      <c r="T87" s="0" t="n">
        <f aca="false">IF(2_Utilité!AO87&gt;0,2_Utilité!T87/2_Utilité!AO87,0)</f>
        <v>0</v>
      </c>
      <c r="U87" s="0" t="n">
        <f aca="false">IF(2_Utilité!AO87&gt;0,2_Utilité!U87/2_Utilité!AO87,0)</f>
        <v>0</v>
      </c>
      <c r="V87" s="0" t="n">
        <f aca="false">IF(2_Utilité!AO87&gt;0,2_Utilité!V87/2_Utilité!AO87,0)</f>
        <v>0</v>
      </c>
      <c r="W87" s="0" t="n">
        <f aca="false">IF(2_Utilité!AO87&gt;0,2_Utilité!W87/2_Utilité!AO87,0)</f>
        <v>0</v>
      </c>
      <c r="X87" s="0" t="n">
        <f aca="false">IF(2_Utilité!AO87&gt;0,2_Utilité!X87/2_Utilité!AO87,0)</f>
        <v>0</v>
      </c>
      <c r="Y87" s="0" t="n">
        <f aca="false">IF(2_Utilité!AO87&gt;0,2_Utilité!Y87/2_Utilité!AO87,0)</f>
        <v>0</v>
      </c>
      <c r="Z87" s="0" t="n">
        <f aca="false">IF(2_Utilité!AO87&gt;0,2_Utilité!Z87/2_Utilité!AO87,0)</f>
        <v>0</v>
      </c>
      <c r="AA87" s="0" t="n">
        <f aca="false">IF(2_Utilité!AO87&gt;0,2_Utilité!AA87/2_Utilité!AO87,0)</f>
        <v>0</v>
      </c>
      <c r="AB87" s="0" t="n">
        <f aca="false">IF(2_Utilité!AO87&gt;0,2_Utilité!AB87/2_Utilité!AO87,0)</f>
        <v>0</v>
      </c>
      <c r="AC87" s="0" t="n">
        <f aca="false">IF(2_Utilité!AO87&gt;0,2_Utilité!AC87/2_Utilité!AO87,0)</f>
        <v>0.0327417909596734</v>
      </c>
      <c r="AD87" s="0" t="n">
        <f aca="false">IF(2_Utilité!AO87&gt;0,2_Utilité!AD87/2_Utilité!AO87,0)</f>
        <v>0.160483745989883</v>
      </c>
      <c r="AE87" s="0" t="n">
        <f aca="false">IF(2_Utilité!AO87&gt;0,2_Utilité!AE87/2_Utilité!AO87,0)</f>
        <v>0.0927305417979622</v>
      </c>
      <c r="AF87" s="0" t="n">
        <f aca="false">IF(2_Utilité!AO87&gt;0,2_Utilité!AF87/2_Utilité!AO87,0)</f>
        <v>0.0615624309058993</v>
      </c>
      <c r="AG87" s="0" t="n">
        <f aca="false">IF(2_Utilité!AO87&gt;0,2_Utilité!AG87/2_Utilité!AO87,0)</f>
        <v>0</v>
      </c>
      <c r="AH87" s="0" t="n">
        <f aca="false">IF(2_Utilité!AO87&gt;0,2_Utilité!AH87/2_Utilité!AO87,0)</f>
        <v>0.0141174445231419</v>
      </c>
      <c r="AI87" s="0" t="n">
        <f aca="false">IF(2_Utilité!AO87&gt;0,2_Utilité!AI87/2_Utilité!AO87,0)</f>
        <v>0</v>
      </c>
      <c r="AJ87" s="0" t="n">
        <f aca="false">IF(2_Utilité!AO87&gt;0,2_Utilité!AJ87/2_Utilité!AO87,0)</f>
        <v>0</v>
      </c>
      <c r="AK87" s="0" t="n">
        <f aca="false">IF(2_Utilité!AO87&gt;0,2_Utilité!AK87/2_Utilité!AO87,0)</f>
        <v>0.175108378261614</v>
      </c>
      <c r="AL87" s="0" t="n">
        <f aca="false">IF(2_Utilité!AO87&gt;0,2_Utilité!AL87/2_Utilité!AO87,0)</f>
        <v>0.307812154529496</v>
      </c>
      <c r="AM87" s="49" t="n">
        <f aca="false">IF(2_Utilité!AO87&gt;0,2_Utilité!AM87/2_Utilité!AO87,0)</f>
        <v>0</v>
      </c>
      <c r="AN87" s="43" t="n">
        <f aca="false">IF(2_Utilité!AO87&gt;0,2_Utilité!AN87/2_Utilité!AO87,0)</f>
        <v>0</v>
      </c>
      <c r="AO87" s="43" t="n">
        <f aca="false">SUM(C87:AN87)</f>
        <v>1</v>
      </c>
      <c r="AP87" s="43" t="n">
        <f aca="false">COUNTIF(Matrice_OD!$C87:$AN87,"&lt;="&amp;Param!$B$2)</f>
        <v>23</v>
      </c>
    </row>
    <row r="88" customFormat="false" ht="15" hidden="false" customHeight="true" outlineLevel="0" collapsed="false">
      <c r="A88" s="0" t="s">
        <v>274</v>
      </c>
      <c r="B88" s="0" t="s">
        <v>275</v>
      </c>
      <c r="C88" s="0" t="n">
        <f aca="false">IF(2_Utilité!AO88&gt;0,2_Utilité!C88/2_Utilité!AO88,0)</f>
        <v>0</v>
      </c>
      <c r="D88" s="0" t="n">
        <f aca="false">IF(2_Utilité!AO88&gt;0,2_Utilité!D88/2_Utilité!AO88,0)</f>
        <v>0</v>
      </c>
      <c r="E88" s="0" t="n">
        <f aca="false">IF(2_Utilité!AO88&gt;0,2_Utilité!E88/2_Utilité!AO88,0)</f>
        <v>0</v>
      </c>
      <c r="F88" s="0" t="n">
        <f aca="false">IF(2_Utilité!AO88&gt;0,2_Utilité!F88/2_Utilité!AO88,0)</f>
        <v>0</v>
      </c>
      <c r="G88" s="0" t="n">
        <f aca="false">IF(2_Utilité!AO88&gt;0,2_Utilité!G88/2_Utilité!AO88,0)</f>
        <v>0</v>
      </c>
      <c r="H88" s="0" t="n">
        <f aca="false">IF(2_Utilité!AO88&gt;0,2_Utilité!H88/2_Utilité!AO88,0)</f>
        <v>0</v>
      </c>
      <c r="I88" s="0" t="n">
        <f aca="false">IF(2_Utilité!AO88&gt;0,2_Utilité!I88/2_Utilité!AO88,0)</f>
        <v>0</v>
      </c>
      <c r="J88" s="0" t="n">
        <f aca="false">IF(2_Utilité!AO88&gt;0,2_Utilité!J88/2_Utilité!AO88,0)</f>
        <v>0</v>
      </c>
      <c r="K88" s="0" t="n">
        <f aca="false">IF(2_Utilité!AO88&gt;0,2_Utilité!K88/2_Utilité!AO88,0)</f>
        <v>0</v>
      </c>
      <c r="L88" s="0" t="n">
        <f aca="false">IF(2_Utilité!AO88&gt;0,2_Utilité!L88/2_Utilité!AO88,0)</f>
        <v>0</v>
      </c>
      <c r="M88" s="0" t="n">
        <f aca="false">IF(2_Utilité!AO88&gt;0,2_Utilité!M88/2_Utilité!AO88,0)</f>
        <v>0</v>
      </c>
      <c r="N88" s="0" t="n">
        <f aca="false">IF(2_Utilité!AO88&gt;0,2_Utilité!N88/2_Utilité!AO88,0)</f>
        <v>0</v>
      </c>
      <c r="O88" s="0" t="n">
        <f aca="false">IF(2_Utilité!AO88&gt;0,2_Utilité!O88/2_Utilité!AO88,0)</f>
        <v>0</v>
      </c>
      <c r="P88" s="0" t="n">
        <f aca="false">IF(2_Utilité!AO88&gt;0,2_Utilité!P88/2_Utilité!AO88,0)</f>
        <v>0</v>
      </c>
      <c r="Q88" s="0" t="n">
        <f aca="false">IF(2_Utilité!AO88&gt;0,2_Utilité!Q88/2_Utilité!AO88,0)</f>
        <v>0</v>
      </c>
      <c r="R88" s="0" t="n">
        <f aca="false">IF(2_Utilité!AO88&gt;0,2_Utilité!R88/2_Utilité!AO88,0)</f>
        <v>0</v>
      </c>
      <c r="S88" s="0" t="n">
        <f aca="false">IF(2_Utilité!AO88&gt;0,2_Utilité!S88/2_Utilité!AO88,0)</f>
        <v>0</v>
      </c>
      <c r="T88" s="0" t="n">
        <f aca="false">IF(2_Utilité!AO88&gt;0,2_Utilité!T88/2_Utilité!AO88,0)</f>
        <v>0</v>
      </c>
      <c r="U88" s="0" t="n">
        <f aca="false">IF(2_Utilité!AO88&gt;0,2_Utilité!U88/2_Utilité!AO88,0)</f>
        <v>0</v>
      </c>
      <c r="V88" s="0" t="n">
        <f aca="false">IF(2_Utilité!AO88&gt;0,2_Utilité!V88/2_Utilité!AO88,0)</f>
        <v>0</v>
      </c>
      <c r="W88" s="0" t="n">
        <f aca="false">IF(2_Utilité!AO88&gt;0,2_Utilité!W88/2_Utilité!AO88,0)</f>
        <v>0</v>
      </c>
      <c r="X88" s="0" t="n">
        <f aca="false">IF(2_Utilité!AO88&gt;0,2_Utilité!X88/2_Utilité!AO88,0)</f>
        <v>0</v>
      </c>
      <c r="Y88" s="0" t="n">
        <f aca="false">IF(2_Utilité!AO88&gt;0,2_Utilité!Y88/2_Utilité!AO88,0)</f>
        <v>0</v>
      </c>
      <c r="Z88" s="0" t="n">
        <f aca="false">IF(2_Utilité!AO88&gt;0,2_Utilité!Z88/2_Utilité!AO88,0)</f>
        <v>0</v>
      </c>
      <c r="AA88" s="0" t="n">
        <f aca="false">IF(2_Utilité!AO88&gt;0,2_Utilité!AA88/2_Utilité!AO88,0)</f>
        <v>0</v>
      </c>
      <c r="AB88" s="0" t="n">
        <f aca="false">IF(2_Utilité!AO88&gt;0,2_Utilité!AB88/2_Utilité!AO88,0)</f>
        <v>0</v>
      </c>
      <c r="AC88" s="0" t="n">
        <f aca="false">IF(2_Utilité!AO88&gt;0,2_Utilité!AC88/2_Utilité!AO88,0)</f>
        <v>0.040688915088464</v>
      </c>
      <c r="AD88" s="0" t="n">
        <f aca="false">IF(2_Utilité!AO88&gt;0,2_Utilité!AD88/2_Utilité!AO88,0)</f>
        <v>0.198030615235714</v>
      </c>
      <c r="AE88" s="0" t="n">
        <f aca="false">IF(2_Utilité!AO88&gt;0,2_Utilité!AE88/2_Utilité!AO88,0)</f>
        <v>0.112997695665054</v>
      </c>
      <c r="AF88" s="0" t="n">
        <f aca="false">IF(2_Utilité!AO88&gt;0,2_Utilité!AF88/2_Utilité!AO88,0)</f>
        <v>0.0748622321963244</v>
      </c>
      <c r="AG88" s="0" t="n">
        <f aca="false">IF(2_Utilité!AO88&gt;0,2_Utilité!AG88/2_Utilité!AO88,0)</f>
        <v>0</v>
      </c>
      <c r="AH88" s="0" t="n">
        <f aca="false">IF(2_Utilité!AO88&gt;0,2_Utilité!AH88/2_Utilité!AO88,0)</f>
        <v>0</v>
      </c>
      <c r="AI88" s="0" t="n">
        <f aca="false">IF(2_Utilité!AO88&gt;0,2_Utilité!AI88/2_Utilité!AO88,0)</f>
        <v>0</v>
      </c>
      <c r="AJ88" s="0" t="n">
        <f aca="false">IF(2_Utilité!AO88&gt;0,2_Utilité!AJ88/2_Utilité!AO88,0)</f>
        <v>0</v>
      </c>
      <c r="AK88" s="0" t="n">
        <f aca="false">IF(2_Utilité!AO88&gt;0,2_Utilité!AK88/2_Utilité!AO88,0)</f>
        <v>0.198171500268463</v>
      </c>
      <c r="AL88" s="0" t="n">
        <f aca="false">IF(2_Utilité!AO88&gt;0,2_Utilité!AL88/2_Utilité!AO88,0)</f>
        <v>0.375249041545981</v>
      </c>
      <c r="AM88" s="48" t="n">
        <f aca="false">IF(2_Utilité!AO88&gt;0,2_Utilité!AM88/2_Utilité!AO88,0)</f>
        <v>0</v>
      </c>
      <c r="AN88" s="43" t="n">
        <f aca="false">IF(2_Utilité!AO88&gt;0,2_Utilité!AN88/2_Utilité!AO88,0)</f>
        <v>0</v>
      </c>
      <c r="AO88" s="43" t="n">
        <f aca="false">SUM(C88:AN88)</f>
        <v>1</v>
      </c>
      <c r="AP88" s="43" t="n">
        <f aca="false">COUNTIF(Matrice_OD!$C88:$AN88,"&lt;="&amp;Param!$B$2)</f>
        <v>6</v>
      </c>
    </row>
    <row r="89" customFormat="false" ht="15" hidden="false" customHeight="true" outlineLevel="0" collapsed="false">
      <c r="A89" s="0" t="s">
        <v>276</v>
      </c>
      <c r="B89" s="0" t="s">
        <v>277</v>
      </c>
      <c r="C89" s="0" t="n">
        <f aca="false">IF(2_Utilité!AO89&gt;0,2_Utilité!C89/2_Utilité!AO89,0)</f>
        <v>0</v>
      </c>
      <c r="D89" s="0" t="n">
        <f aca="false">IF(2_Utilité!AO89&gt;0,2_Utilité!D89/2_Utilité!AO89,0)</f>
        <v>0</v>
      </c>
      <c r="E89" s="0" t="n">
        <f aca="false">IF(2_Utilité!AO89&gt;0,2_Utilité!E89/2_Utilité!AO89,0)</f>
        <v>0</v>
      </c>
      <c r="F89" s="0" t="n">
        <f aca="false">IF(2_Utilité!AO89&gt;0,2_Utilité!F89/2_Utilité!AO89,0)</f>
        <v>0</v>
      </c>
      <c r="G89" s="0" t="n">
        <f aca="false">IF(2_Utilité!AO89&gt;0,2_Utilité!G89/2_Utilité!AO89,0)</f>
        <v>0</v>
      </c>
      <c r="H89" s="0" t="n">
        <f aca="false">IF(2_Utilité!AO89&gt;0,2_Utilité!H89/2_Utilité!AO89,0)</f>
        <v>0</v>
      </c>
      <c r="I89" s="0" t="n">
        <f aca="false">IF(2_Utilité!AO89&gt;0,2_Utilité!I89/2_Utilité!AO89,0)</f>
        <v>0</v>
      </c>
      <c r="J89" s="0" t="n">
        <f aca="false">IF(2_Utilité!AO89&gt;0,2_Utilité!J89/2_Utilité!AO89,0)</f>
        <v>0</v>
      </c>
      <c r="K89" s="0" t="n">
        <f aca="false">IF(2_Utilité!AO89&gt;0,2_Utilité!K89/2_Utilité!AO89,0)</f>
        <v>0</v>
      </c>
      <c r="L89" s="0" t="n">
        <f aca="false">IF(2_Utilité!AO89&gt;0,2_Utilité!L89/2_Utilité!AO89,0)</f>
        <v>0</v>
      </c>
      <c r="M89" s="0" t="n">
        <f aca="false">IF(2_Utilité!AO89&gt;0,2_Utilité!M89/2_Utilité!AO89,0)</f>
        <v>0</v>
      </c>
      <c r="N89" s="0" t="n">
        <f aca="false">IF(2_Utilité!AO89&gt;0,2_Utilité!N89/2_Utilité!AO89,0)</f>
        <v>0</v>
      </c>
      <c r="O89" s="0" t="n">
        <f aca="false">IF(2_Utilité!AO89&gt;0,2_Utilité!O89/2_Utilité!AO89,0)</f>
        <v>0</v>
      </c>
      <c r="P89" s="0" t="n">
        <f aca="false">IF(2_Utilité!AO89&gt;0,2_Utilité!P89/2_Utilité!AO89,0)</f>
        <v>0</v>
      </c>
      <c r="Q89" s="0" t="n">
        <f aca="false">IF(2_Utilité!AO89&gt;0,2_Utilité!Q89/2_Utilité!AO89,0)</f>
        <v>0</v>
      </c>
      <c r="R89" s="0" t="n">
        <f aca="false">IF(2_Utilité!AO89&gt;0,2_Utilité!R89/2_Utilité!AO89,0)</f>
        <v>0</v>
      </c>
      <c r="S89" s="0" t="n">
        <f aca="false">IF(2_Utilité!AO89&gt;0,2_Utilité!S89/2_Utilité!AO89,0)</f>
        <v>0</v>
      </c>
      <c r="T89" s="0" t="n">
        <f aca="false">IF(2_Utilité!AO89&gt;0,2_Utilité!T89/2_Utilité!AO89,0)</f>
        <v>0</v>
      </c>
      <c r="U89" s="0" t="n">
        <f aca="false">IF(2_Utilité!AO89&gt;0,2_Utilité!U89/2_Utilité!AO89,0)</f>
        <v>0</v>
      </c>
      <c r="V89" s="0" t="n">
        <f aca="false">IF(2_Utilité!AO89&gt;0,2_Utilité!V89/2_Utilité!AO89,0)</f>
        <v>0</v>
      </c>
      <c r="W89" s="0" t="n">
        <f aca="false">IF(2_Utilité!AO89&gt;0,2_Utilité!W89/2_Utilité!AO89,0)</f>
        <v>0</v>
      </c>
      <c r="X89" s="0" t="n">
        <f aca="false">IF(2_Utilité!AO89&gt;0,2_Utilité!X89/2_Utilité!AO89,0)</f>
        <v>0</v>
      </c>
      <c r="Y89" s="0" t="n">
        <f aca="false">IF(2_Utilité!AO89&gt;0,2_Utilité!Y89/2_Utilité!AO89,0)</f>
        <v>0</v>
      </c>
      <c r="Z89" s="0" t="n">
        <f aca="false">IF(2_Utilité!AO89&gt;0,2_Utilité!Z89/2_Utilité!AO89,0)</f>
        <v>0</v>
      </c>
      <c r="AA89" s="0" t="n">
        <f aca="false">IF(2_Utilité!AO89&gt;0,2_Utilité!AA89/2_Utilité!AO89,0)</f>
        <v>0</v>
      </c>
      <c r="AB89" s="0" t="n">
        <f aca="false">IF(2_Utilité!AO89&gt;0,2_Utilité!AB89/2_Utilité!AO89,0)</f>
        <v>0</v>
      </c>
      <c r="AC89" s="0" t="n">
        <f aca="false">IF(2_Utilité!AO89&gt;0,2_Utilité!AC89/2_Utilité!AO89,0)</f>
        <v>0.042818370708298</v>
      </c>
      <c r="AD89" s="0" t="n">
        <f aca="false">IF(2_Utilité!AO89&gt;0,2_Utilité!AD89/2_Utilité!AO89,0)</f>
        <v>0.206140594826682</v>
      </c>
      <c r="AE89" s="0" t="n">
        <f aca="false">IF(2_Utilité!AO89&gt;0,2_Utilité!AE89/2_Utilité!AO89,0)</f>
        <v>0.115005190562861</v>
      </c>
      <c r="AF89" s="0" t="n">
        <f aca="false">IF(2_Utilité!AO89&gt;0,2_Utilité!AF89/2_Utilité!AO89,0)</f>
        <v>0.0760567845231369</v>
      </c>
      <c r="AG89" s="0" t="n">
        <f aca="false">IF(2_Utilité!AO89&gt;0,2_Utilité!AG89/2_Utilité!AO89,0)</f>
        <v>0</v>
      </c>
      <c r="AH89" s="0" t="n">
        <f aca="false">IF(2_Utilité!AO89&gt;0,2_Utilité!AH89/2_Utilité!AO89,0)</f>
        <v>0</v>
      </c>
      <c r="AI89" s="0" t="n">
        <f aca="false">IF(2_Utilité!AO89&gt;0,2_Utilité!AI89/2_Utilité!AO89,0)</f>
        <v>0</v>
      </c>
      <c r="AJ89" s="0" t="n">
        <f aca="false">IF(2_Utilité!AO89&gt;0,2_Utilité!AJ89/2_Utilité!AO89,0)</f>
        <v>0</v>
      </c>
      <c r="AK89" s="0" t="n">
        <f aca="false">IF(2_Utilité!AO89&gt;0,2_Utilité!AK89/2_Utilité!AO89,0)</f>
        <v>0.178675244638682</v>
      </c>
      <c r="AL89" s="0" t="n">
        <f aca="false">IF(2_Utilité!AO89&gt;0,2_Utilité!AL89/2_Utilité!AO89,0)</f>
        <v>0.381303814740341</v>
      </c>
      <c r="AM89" s="49" t="n">
        <f aca="false">IF(2_Utilité!AO89&gt;0,2_Utilité!AM89/2_Utilité!AO89,0)</f>
        <v>0</v>
      </c>
      <c r="AN89" s="43" t="n">
        <f aca="false">IF(2_Utilité!AO89&gt;0,2_Utilité!AN89/2_Utilité!AO89,0)</f>
        <v>0</v>
      </c>
      <c r="AO89" s="43" t="n">
        <f aca="false">SUM(C89:AN89)</f>
        <v>1</v>
      </c>
      <c r="AP89" s="43" t="n">
        <f aca="false">COUNTIF(Matrice_OD!$C89:$AN89,"&lt;="&amp;Param!$B$2)</f>
        <v>6</v>
      </c>
    </row>
    <row r="90" customFormat="false" ht="15" hidden="false" customHeight="true" outlineLevel="0" collapsed="false">
      <c r="A90" s="0" t="s">
        <v>278</v>
      </c>
      <c r="B90" s="0" t="s">
        <v>279</v>
      </c>
      <c r="C90" s="0" t="n">
        <f aca="false">IF(2_Utilité!AO90&gt;0,2_Utilité!C90/2_Utilité!AO90,0)</f>
        <v>0</v>
      </c>
      <c r="D90" s="0" t="n">
        <f aca="false">IF(2_Utilité!AO90&gt;0,2_Utilité!D90/2_Utilité!AO90,0)</f>
        <v>0</v>
      </c>
      <c r="E90" s="0" t="n">
        <f aca="false">IF(2_Utilité!AO90&gt;0,2_Utilité!E90/2_Utilité!AO90,0)</f>
        <v>0</v>
      </c>
      <c r="F90" s="0" t="n">
        <f aca="false">IF(2_Utilité!AO90&gt;0,2_Utilité!F90/2_Utilité!AO90,0)</f>
        <v>0</v>
      </c>
      <c r="G90" s="0" t="n">
        <f aca="false">IF(2_Utilité!AO90&gt;0,2_Utilité!G90/2_Utilité!AO90,0)</f>
        <v>0</v>
      </c>
      <c r="H90" s="0" t="n">
        <f aca="false">IF(2_Utilité!AO90&gt;0,2_Utilité!H90/2_Utilité!AO90,0)</f>
        <v>0</v>
      </c>
      <c r="I90" s="0" t="n">
        <f aca="false">IF(2_Utilité!AO90&gt;0,2_Utilité!I90/2_Utilité!AO90,0)</f>
        <v>0</v>
      </c>
      <c r="J90" s="0" t="n">
        <f aca="false">IF(2_Utilité!AO90&gt;0,2_Utilité!J90/2_Utilité!AO90,0)</f>
        <v>0</v>
      </c>
      <c r="K90" s="0" t="n">
        <f aca="false">IF(2_Utilité!AO90&gt;0,2_Utilité!K90/2_Utilité!AO90,0)</f>
        <v>0</v>
      </c>
      <c r="L90" s="0" t="n">
        <f aca="false">IF(2_Utilité!AO90&gt;0,2_Utilité!L90/2_Utilité!AO90,0)</f>
        <v>0</v>
      </c>
      <c r="M90" s="0" t="n">
        <f aca="false">IF(2_Utilité!AO90&gt;0,2_Utilité!M90/2_Utilité!AO90,0)</f>
        <v>0</v>
      </c>
      <c r="N90" s="0" t="n">
        <f aca="false">IF(2_Utilité!AO90&gt;0,2_Utilité!N90/2_Utilité!AO90,0)</f>
        <v>0</v>
      </c>
      <c r="O90" s="0" t="n">
        <f aca="false">IF(2_Utilité!AO90&gt;0,2_Utilité!O90/2_Utilité!AO90,0)</f>
        <v>0</v>
      </c>
      <c r="P90" s="0" t="n">
        <f aca="false">IF(2_Utilité!AO90&gt;0,2_Utilité!P90/2_Utilité!AO90,0)</f>
        <v>0</v>
      </c>
      <c r="Q90" s="0" t="n">
        <f aca="false">IF(2_Utilité!AO90&gt;0,2_Utilité!Q90/2_Utilité!AO90,0)</f>
        <v>0</v>
      </c>
      <c r="R90" s="0" t="n">
        <f aca="false">IF(2_Utilité!AO90&gt;0,2_Utilité!R90/2_Utilité!AO90,0)</f>
        <v>0</v>
      </c>
      <c r="S90" s="0" t="n">
        <f aca="false">IF(2_Utilité!AO90&gt;0,2_Utilité!S90/2_Utilité!AO90,0)</f>
        <v>0</v>
      </c>
      <c r="T90" s="0" t="n">
        <f aca="false">IF(2_Utilité!AO90&gt;0,2_Utilité!T90/2_Utilité!AO90,0)</f>
        <v>0</v>
      </c>
      <c r="U90" s="0" t="n">
        <f aca="false">IF(2_Utilité!AO90&gt;0,2_Utilité!U90/2_Utilité!AO90,0)</f>
        <v>0</v>
      </c>
      <c r="V90" s="0" t="n">
        <f aca="false">IF(2_Utilité!AO90&gt;0,2_Utilité!V90/2_Utilité!AO90,0)</f>
        <v>0</v>
      </c>
      <c r="W90" s="0" t="n">
        <f aca="false">IF(2_Utilité!AO90&gt;0,2_Utilité!W90/2_Utilité!AO90,0)</f>
        <v>0</v>
      </c>
      <c r="X90" s="0" t="n">
        <f aca="false">IF(2_Utilité!AO90&gt;0,2_Utilité!X90/2_Utilité!AO90,0)</f>
        <v>0</v>
      </c>
      <c r="Y90" s="0" t="n">
        <f aca="false">IF(2_Utilité!AO90&gt;0,2_Utilité!Y90/2_Utilité!AO90,0)</f>
        <v>0</v>
      </c>
      <c r="Z90" s="0" t="n">
        <f aca="false">IF(2_Utilité!AO90&gt;0,2_Utilité!Z90/2_Utilité!AO90,0)</f>
        <v>0</v>
      </c>
      <c r="AA90" s="0" t="n">
        <f aca="false">IF(2_Utilité!AO90&gt;0,2_Utilité!AA90/2_Utilité!AO90,0)</f>
        <v>0</v>
      </c>
      <c r="AB90" s="0" t="n">
        <f aca="false">IF(2_Utilité!AO90&gt;0,2_Utilité!AB90/2_Utilité!AO90,0)</f>
        <v>0</v>
      </c>
      <c r="AC90" s="0" t="n">
        <f aca="false">IF(2_Utilité!AO90&gt;0,2_Utilité!AC90/2_Utilité!AO90,0)</f>
        <v>0.0419241434129834</v>
      </c>
      <c r="AD90" s="0" t="n">
        <f aca="false">IF(2_Utilité!AO90&gt;0,2_Utilité!AD90/2_Utilité!AO90,0)</f>
        <v>0.202740516214052</v>
      </c>
      <c r="AE90" s="0" t="n">
        <f aca="false">IF(2_Utilité!AO90&gt;0,2_Utilité!AE90/2_Utilité!AO90,0)</f>
        <v>0.114077409405976</v>
      </c>
      <c r="AF90" s="0" t="n">
        <f aca="false">IF(2_Utilité!AO90&gt;0,2_Utilité!AF90/2_Utilité!AO90,0)</f>
        <v>0.0754543346004728</v>
      </c>
      <c r="AG90" s="0" t="n">
        <f aca="false">IF(2_Utilité!AO90&gt;0,2_Utilité!AG90/2_Utilité!AO90,0)</f>
        <v>0</v>
      </c>
      <c r="AH90" s="0" t="n">
        <f aca="false">IF(2_Utilité!AO90&gt;0,2_Utilité!AH90/2_Utilité!AO90,0)</f>
        <v>0</v>
      </c>
      <c r="AI90" s="0" t="n">
        <f aca="false">IF(2_Utilité!AO90&gt;0,2_Utilité!AI90/2_Utilité!AO90,0)</f>
        <v>0</v>
      </c>
      <c r="AJ90" s="0" t="n">
        <f aca="false">IF(2_Utilité!AO90&gt;0,2_Utilité!AJ90/2_Utilité!AO90,0)</f>
        <v>0</v>
      </c>
      <c r="AK90" s="0" t="n">
        <f aca="false">IF(2_Utilité!AO90&gt;0,2_Utilité!AK90/2_Utilité!AO90,0)</f>
        <v>0.185845067110736</v>
      </c>
      <c r="AL90" s="0" t="n">
        <f aca="false">IF(2_Utilité!AO90&gt;0,2_Utilité!AL90/2_Utilité!AO90,0)</f>
        <v>0.37995852925578</v>
      </c>
      <c r="AM90" s="48" t="n">
        <f aca="false">IF(2_Utilité!AO90&gt;0,2_Utilité!AM90/2_Utilité!AO90,0)</f>
        <v>0</v>
      </c>
      <c r="AN90" s="43" t="n">
        <f aca="false">IF(2_Utilité!AO90&gt;0,2_Utilité!AN90/2_Utilité!AO90,0)</f>
        <v>0</v>
      </c>
      <c r="AO90" s="43" t="n">
        <f aca="false">SUM(C90:AN90)</f>
        <v>1</v>
      </c>
      <c r="AP90" s="43" t="n">
        <f aca="false">COUNTIF(Matrice_OD!$C90:$AN90,"&lt;="&amp;Param!$B$2)</f>
        <v>6</v>
      </c>
    </row>
    <row r="91" customFormat="false" ht="15" hidden="false" customHeight="true" outlineLevel="0" collapsed="false">
      <c r="A91" s="0" t="s">
        <v>280</v>
      </c>
      <c r="B91" s="0" t="s">
        <v>281</v>
      </c>
      <c r="C91" s="0" t="n">
        <f aca="false">IF(2_Utilité!AO91&gt;0,2_Utilité!C91/2_Utilité!AO91,0)</f>
        <v>0</v>
      </c>
      <c r="D91" s="0" t="n">
        <f aca="false">IF(2_Utilité!AO91&gt;0,2_Utilité!D91/2_Utilité!AO91,0)</f>
        <v>0</v>
      </c>
      <c r="E91" s="0" t="n">
        <f aca="false">IF(2_Utilité!AO91&gt;0,2_Utilité!E91/2_Utilité!AO91,0)</f>
        <v>0</v>
      </c>
      <c r="F91" s="0" t="n">
        <f aca="false">IF(2_Utilité!AO91&gt;0,2_Utilité!F91/2_Utilité!AO91,0)</f>
        <v>0</v>
      </c>
      <c r="G91" s="0" t="n">
        <f aca="false">IF(2_Utilité!AO91&gt;0,2_Utilité!G91/2_Utilité!AO91,0)</f>
        <v>0</v>
      </c>
      <c r="H91" s="0" t="n">
        <f aca="false">IF(2_Utilité!AO91&gt;0,2_Utilité!H91/2_Utilité!AO91,0)</f>
        <v>0</v>
      </c>
      <c r="I91" s="0" t="n">
        <f aca="false">IF(2_Utilité!AO91&gt;0,2_Utilité!I91/2_Utilité!AO91,0)</f>
        <v>0</v>
      </c>
      <c r="J91" s="0" t="n">
        <f aca="false">IF(2_Utilité!AO91&gt;0,2_Utilité!J91/2_Utilité!AO91,0)</f>
        <v>0</v>
      </c>
      <c r="K91" s="0" t="n">
        <f aca="false">IF(2_Utilité!AO91&gt;0,2_Utilité!K91/2_Utilité!AO91,0)</f>
        <v>0</v>
      </c>
      <c r="L91" s="0" t="n">
        <f aca="false">IF(2_Utilité!AO91&gt;0,2_Utilité!L91/2_Utilité!AO91,0)</f>
        <v>0</v>
      </c>
      <c r="M91" s="0" t="n">
        <f aca="false">IF(2_Utilité!AO91&gt;0,2_Utilité!M91/2_Utilité!AO91,0)</f>
        <v>0</v>
      </c>
      <c r="N91" s="0" t="n">
        <f aca="false">IF(2_Utilité!AO91&gt;0,2_Utilité!N91/2_Utilité!AO91,0)</f>
        <v>0</v>
      </c>
      <c r="O91" s="0" t="n">
        <f aca="false">IF(2_Utilité!AO91&gt;0,2_Utilité!O91/2_Utilité!AO91,0)</f>
        <v>0</v>
      </c>
      <c r="P91" s="0" t="n">
        <f aca="false">IF(2_Utilité!AO91&gt;0,2_Utilité!P91/2_Utilité!AO91,0)</f>
        <v>0</v>
      </c>
      <c r="Q91" s="0" t="n">
        <f aca="false">IF(2_Utilité!AO91&gt;0,2_Utilité!Q91/2_Utilité!AO91,0)</f>
        <v>0</v>
      </c>
      <c r="R91" s="0" t="n">
        <f aca="false">IF(2_Utilité!AO91&gt;0,2_Utilité!R91/2_Utilité!AO91,0)</f>
        <v>0</v>
      </c>
      <c r="S91" s="0" t="n">
        <f aca="false">IF(2_Utilité!AO91&gt;0,2_Utilité!S91/2_Utilité!AO91,0)</f>
        <v>0</v>
      </c>
      <c r="T91" s="0" t="n">
        <f aca="false">IF(2_Utilité!AO91&gt;0,2_Utilité!T91/2_Utilité!AO91,0)</f>
        <v>0</v>
      </c>
      <c r="U91" s="0" t="n">
        <f aca="false">IF(2_Utilité!AO91&gt;0,2_Utilité!U91/2_Utilité!AO91,0)</f>
        <v>0</v>
      </c>
      <c r="V91" s="0" t="n">
        <f aca="false">IF(2_Utilité!AO91&gt;0,2_Utilité!V91/2_Utilité!AO91,0)</f>
        <v>0</v>
      </c>
      <c r="W91" s="0" t="n">
        <f aca="false">IF(2_Utilité!AO91&gt;0,2_Utilité!W91/2_Utilité!AO91,0)</f>
        <v>0</v>
      </c>
      <c r="X91" s="0" t="n">
        <f aca="false">IF(2_Utilité!AO91&gt;0,2_Utilité!X91/2_Utilité!AO91,0)</f>
        <v>0</v>
      </c>
      <c r="Y91" s="0" t="n">
        <f aca="false">IF(2_Utilité!AO91&gt;0,2_Utilité!Y91/2_Utilité!AO91,0)</f>
        <v>0</v>
      </c>
      <c r="Z91" s="0" t="n">
        <f aca="false">IF(2_Utilité!AO91&gt;0,2_Utilité!Z91/2_Utilité!AO91,0)</f>
        <v>0</v>
      </c>
      <c r="AA91" s="0" t="n">
        <f aca="false">IF(2_Utilité!AO91&gt;0,2_Utilité!AA91/2_Utilité!AO91,0)</f>
        <v>0</v>
      </c>
      <c r="AB91" s="0" t="n">
        <f aca="false">IF(2_Utilité!AO91&gt;0,2_Utilité!AB91/2_Utilité!AO91,0)</f>
        <v>0</v>
      </c>
      <c r="AC91" s="0" t="n">
        <f aca="false">IF(2_Utilité!AO91&gt;0,2_Utilité!AC91/2_Utilité!AO91,0)</f>
        <v>0.0416152544218572</v>
      </c>
      <c r="AD91" s="0" t="n">
        <f aca="false">IF(2_Utilité!AO91&gt;0,2_Utilité!AD91/2_Utilité!AO91,0)</f>
        <v>0.201645671588295</v>
      </c>
      <c r="AE91" s="0" t="n">
        <f aca="false">IF(2_Utilité!AO91&gt;0,2_Utilité!AE91/2_Utilité!AO91,0)</f>
        <v>0.113890632897514</v>
      </c>
      <c r="AF91" s="0" t="n">
        <f aca="false">IF(2_Utilité!AO91&gt;0,2_Utilité!AF91/2_Utilité!AO91,0)</f>
        <v>0.0754215045579089</v>
      </c>
      <c r="AG91" s="0" t="n">
        <f aca="false">IF(2_Utilité!AO91&gt;0,2_Utilité!AG91/2_Utilité!AO91,0)</f>
        <v>0</v>
      </c>
      <c r="AH91" s="0" t="n">
        <f aca="false">IF(2_Utilité!AO91&gt;0,2_Utilité!AH91/2_Utilité!AO91,0)</f>
        <v>0</v>
      </c>
      <c r="AI91" s="0" t="n">
        <f aca="false">IF(2_Utilité!AO91&gt;0,2_Utilité!AI91/2_Utilité!AO91,0)</f>
        <v>0</v>
      </c>
      <c r="AJ91" s="0" t="n">
        <f aca="false">IF(2_Utilité!AO91&gt;0,2_Utilité!AJ91/2_Utilité!AO91,0)</f>
        <v>0</v>
      </c>
      <c r="AK91" s="0" t="n">
        <f aca="false">IF(2_Utilité!AO91&gt;0,2_Utilité!AK91/2_Utilité!AO91,0)</f>
        <v>0.189478262779334</v>
      </c>
      <c r="AL91" s="0" t="n">
        <f aca="false">IF(2_Utilité!AO91&gt;0,2_Utilité!AL91/2_Utilité!AO91,0)</f>
        <v>0.377948673755091</v>
      </c>
      <c r="AM91" s="49" t="n">
        <f aca="false">IF(2_Utilité!AO91&gt;0,2_Utilité!AM91/2_Utilité!AO91,0)</f>
        <v>0</v>
      </c>
      <c r="AN91" s="43" t="n">
        <f aca="false">IF(2_Utilité!AO91&gt;0,2_Utilité!AN91/2_Utilité!AO91,0)</f>
        <v>0</v>
      </c>
      <c r="AO91" s="43" t="n">
        <f aca="false">SUM(C91:AN91)</f>
        <v>1</v>
      </c>
      <c r="AP91" s="43" t="n">
        <f aca="false">COUNTIF(Matrice_OD!$C91:$AN91,"&lt;="&amp;Param!$B$2)</f>
        <v>6</v>
      </c>
    </row>
    <row r="92" customFormat="false" ht="15" hidden="false" customHeight="true" outlineLevel="0" collapsed="false">
      <c r="A92" s="0" t="s">
        <v>282</v>
      </c>
      <c r="B92" s="0" t="s">
        <v>283</v>
      </c>
      <c r="C92" s="0" t="n">
        <f aca="false">IF(2_Utilité!AO92&gt;0,2_Utilité!C92/2_Utilité!AO92,0)</f>
        <v>0</v>
      </c>
      <c r="D92" s="0" t="n">
        <f aca="false">IF(2_Utilité!AO92&gt;0,2_Utilité!D92/2_Utilité!AO92,0)</f>
        <v>0</v>
      </c>
      <c r="E92" s="0" t="n">
        <f aca="false">IF(2_Utilité!AO92&gt;0,2_Utilité!E92/2_Utilité!AO92,0)</f>
        <v>0</v>
      </c>
      <c r="F92" s="0" t="n">
        <f aca="false">IF(2_Utilité!AO92&gt;0,2_Utilité!F92/2_Utilité!AO92,0)</f>
        <v>0</v>
      </c>
      <c r="G92" s="0" t="n">
        <f aca="false">IF(2_Utilité!AO92&gt;0,2_Utilité!G92/2_Utilité!AO92,0)</f>
        <v>0</v>
      </c>
      <c r="H92" s="0" t="n">
        <f aca="false">IF(2_Utilité!AO92&gt;0,2_Utilité!H92/2_Utilité!AO92,0)</f>
        <v>0</v>
      </c>
      <c r="I92" s="0" t="n">
        <f aca="false">IF(2_Utilité!AO92&gt;0,2_Utilité!I92/2_Utilité!AO92,0)</f>
        <v>0</v>
      </c>
      <c r="J92" s="0" t="n">
        <f aca="false">IF(2_Utilité!AO92&gt;0,2_Utilité!J92/2_Utilité!AO92,0)</f>
        <v>0</v>
      </c>
      <c r="K92" s="0" t="n">
        <f aca="false">IF(2_Utilité!AO92&gt;0,2_Utilité!K92/2_Utilité!AO92,0)</f>
        <v>0</v>
      </c>
      <c r="L92" s="0" t="n">
        <f aca="false">IF(2_Utilité!AO92&gt;0,2_Utilité!L92/2_Utilité!AO92,0)</f>
        <v>0</v>
      </c>
      <c r="M92" s="0" t="n">
        <f aca="false">IF(2_Utilité!AO92&gt;0,2_Utilité!M92/2_Utilité!AO92,0)</f>
        <v>0</v>
      </c>
      <c r="N92" s="0" t="n">
        <f aca="false">IF(2_Utilité!AO92&gt;0,2_Utilité!N92/2_Utilité!AO92,0)</f>
        <v>0</v>
      </c>
      <c r="O92" s="0" t="n">
        <f aca="false">IF(2_Utilité!AO92&gt;0,2_Utilité!O92/2_Utilité!AO92,0)</f>
        <v>0</v>
      </c>
      <c r="P92" s="0" t="n">
        <f aca="false">IF(2_Utilité!AO92&gt;0,2_Utilité!P92/2_Utilité!AO92,0)</f>
        <v>0</v>
      </c>
      <c r="Q92" s="0" t="n">
        <f aca="false">IF(2_Utilité!AO92&gt;0,2_Utilité!Q92/2_Utilité!AO92,0)</f>
        <v>0</v>
      </c>
      <c r="R92" s="0" t="n">
        <f aca="false">IF(2_Utilité!AO92&gt;0,2_Utilité!R92/2_Utilité!AO92,0)</f>
        <v>0</v>
      </c>
      <c r="S92" s="0" t="n">
        <f aca="false">IF(2_Utilité!AO92&gt;0,2_Utilité!S92/2_Utilité!AO92,0)</f>
        <v>0</v>
      </c>
      <c r="T92" s="0" t="n">
        <f aca="false">IF(2_Utilité!AO92&gt;0,2_Utilité!T92/2_Utilité!AO92,0)</f>
        <v>0</v>
      </c>
      <c r="U92" s="0" t="n">
        <f aca="false">IF(2_Utilité!AO92&gt;0,2_Utilité!U92/2_Utilité!AO92,0)</f>
        <v>0</v>
      </c>
      <c r="V92" s="0" t="n">
        <f aca="false">IF(2_Utilité!AO92&gt;0,2_Utilité!V92/2_Utilité!AO92,0)</f>
        <v>0</v>
      </c>
      <c r="W92" s="0" t="n">
        <f aca="false">IF(2_Utilité!AO92&gt;0,2_Utilité!W92/2_Utilité!AO92,0)</f>
        <v>0</v>
      </c>
      <c r="X92" s="0" t="n">
        <f aca="false">IF(2_Utilité!AO92&gt;0,2_Utilité!X92/2_Utilité!AO92,0)</f>
        <v>0</v>
      </c>
      <c r="Y92" s="0" t="n">
        <f aca="false">IF(2_Utilité!AO92&gt;0,2_Utilité!Y92/2_Utilité!AO92,0)</f>
        <v>0</v>
      </c>
      <c r="Z92" s="0" t="n">
        <f aca="false">IF(2_Utilité!AO92&gt;0,2_Utilité!Z92/2_Utilité!AO92,0)</f>
        <v>0</v>
      </c>
      <c r="AA92" s="0" t="n">
        <f aca="false">IF(2_Utilité!AO92&gt;0,2_Utilité!AA92/2_Utilité!AO92,0)</f>
        <v>0</v>
      </c>
      <c r="AB92" s="0" t="n">
        <f aca="false">IF(2_Utilité!AO92&gt;0,2_Utilité!AB92/2_Utilité!AO92,0)</f>
        <v>0</v>
      </c>
      <c r="AC92" s="0" t="n">
        <f aca="false">IF(2_Utilité!AO92&gt;0,2_Utilité!AC92/2_Utilité!AO92,0)</f>
        <v>0.04130103460379</v>
      </c>
      <c r="AD92" s="0" t="n">
        <f aca="false">IF(2_Utilité!AO92&gt;0,2_Utilité!AD92/2_Utilité!AO92,0)</f>
        <v>0.200337087214887</v>
      </c>
      <c r="AE92" s="0" t="n">
        <f aca="false">IF(2_Utilité!AO92&gt;0,2_Utilité!AE92/2_Utilité!AO92,0)</f>
        <v>0.11361053513315</v>
      </c>
      <c r="AF92" s="0" t="n">
        <f aca="false">IF(2_Utilité!AO92&gt;0,2_Utilité!AF92/2_Utilité!AO92,0)</f>
        <v>0.0752109244252002</v>
      </c>
      <c r="AG92" s="0" t="n">
        <f aca="false">IF(2_Utilité!AO92&gt;0,2_Utilité!AG92/2_Utilité!AO92,0)</f>
        <v>0</v>
      </c>
      <c r="AH92" s="0" t="n">
        <f aca="false">IF(2_Utilité!AO92&gt;0,2_Utilité!AH92/2_Utilité!AO92,0)</f>
        <v>0</v>
      </c>
      <c r="AI92" s="0" t="n">
        <f aca="false">IF(2_Utilité!AO92&gt;0,2_Utilité!AI92/2_Utilité!AO92,0)</f>
        <v>0</v>
      </c>
      <c r="AJ92" s="0" t="n">
        <f aca="false">IF(2_Utilité!AO92&gt;0,2_Utilité!AJ92/2_Utilité!AO92,0)</f>
        <v>0</v>
      </c>
      <c r="AK92" s="0" t="n">
        <f aca="false">IF(2_Utilité!AO92&gt;0,2_Utilité!AK92/2_Utilité!AO92,0)</f>
        <v>0.192428645013114</v>
      </c>
      <c r="AL92" s="0" t="n">
        <f aca="false">IF(2_Utilité!AO92&gt;0,2_Utilité!AL92/2_Utilité!AO92,0)</f>
        <v>0.377111773609859</v>
      </c>
      <c r="AM92" s="48" t="n">
        <f aca="false">IF(2_Utilité!AO92&gt;0,2_Utilité!AM92/2_Utilité!AO92,0)</f>
        <v>0</v>
      </c>
      <c r="AN92" s="43" t="n">
        <f aca="false">IF(2_Utilité!AO92&gt;0,2_Utilité!AN92/2_Utilité!AO92,0)</f>
        <v>0</v>
      </c>
      <c r="AO92" s="43" t="n">
        <f aca="false">SUM(C92:AN92)</f>
        <v>1</v>
      </c>
      <c r="AP92" s="43" t="n">
        <f aca="false">COUNTIF(Matrice_OD!$C92:$AN92,"&lt;="&amp;Param!$B$2)</f>
        <v>6</v>
      </c>
    </row>
    <row r="93" customFormat="false" ht="15" hidden="false" customHeight="true" outlineLevel="0" collapsed="false">
      <c r="A93" s="0" t="s">
        <v>284</v>
      </c>
      <c r="B93" s="0" t="s">
        <v>285</v>
      </c>
      <c r="C93" s="0" t="n">
        <f aca="false">IF(2_Utilité!AO93&gt;0,2_Utilité!C93/2_Utilité!AO93,0)</f>
        <v>0</v>
      </c>
      <c r="D93" s="0" t="n">
        <f aca="false">IF(2_Utilité!AO93&gt;0,2_Utilité!D93/2_Utilité!AO93,0)</f>
        <v>0</v>
      </c>
      <c r="E93" s="0" t="n">
        <f aca="false">IF(2_Utilité!AO93&gt;0,2_Utilité!E93/2_Utilité!AO93,0)</f>
        <v>0</v>
      </c>
      <c r="F93" s="0" t="n">
        <f aca="false">IF(2_Utilité!AO93&gt;0,2_Utilité!F93/2_Utilité!AO93,0)</f>
        <v>0</v>
      </c>
      <c r="G93" s="0" t="n">
        <f aca="false">IF(2_Utilité!AO93&gt;0,2_Utilité!G93/2_Utilité!AO93,0)</f>
        <v>0</v>
      </c>
      <c r="H93" s="0" t="n">
        <f aca="false">IF(2_Utilité!AO93&gt;0,2_Utilité!H93/2_Utilité!AO93,0)</f>
        <v>0</v>
      </c>
      <c r="I93" s="0" t="n">
        <f aca="false">IF(2_Utilité!AO93&gt;0,2_Utilité!I93/2_Utilité!AO93,0)</f>
        <v>0</v>
      </c>
      <c r="J93" s="0" t="n">
        <f aca="false">IF(2_Utilité!AO93&gt;0,2_Utilité!J93/2_Utilité!AO93,0)</f>
        <v>0</v>
      </c>
      <c r="K93" s="0" t="n">
        <f aca="false">IF(2_Utilité!AO93&gt;0,2_Utilité!K93/2_Utilité!AO93,0)</f>
        <v>0</v>
      </c>
      <c r="L93" s="0" t="n">
        <f aca="false">IF(2_Utilité!AO93&gt;0,2_Utilité!L93/2_Utilité!AO93,0)</f>
        <v>0</v>
      </c>
      <c r="M93" s="0" t="n">
        <f aca="false">IF(2_Utilité!AO93&gt;0,2_Utilité!M93/2_Utilité!AO93,0)</f>
        <v>0</v>
      </c>
      <c r="N93" s="0" t="n">
        <f aca="false">IF(2_Utilité!AO93&gt;0,2_Utilité!N93/2_Utilité!AO93,0)</f>
        <v>0</v>
      </c>
      <c r="O93" s="0" t="n">
        <f aca="false">IF(2_Utilité!AO93&gt;0,2_Utilité!O93/2_Utilité!AO93,0)</f>
        <v>0</v>
      </c>
      <c r="P93" s="0" t="n">
        <f aca="false">IF(2_Utilité!AO93&gt;0,2_Utilité!P93/2_Utilité!AO93,0)</f>
        <v>0</v>
      </c>
      <c r="Q93" s="0" t="n">
        <f aca="false">IF(2_Utilité!AO93&gt;0,2_Utilité!Q93/2_Utilité!AO93,0)</f>
        <v>0</v>
      </c>
      <c r="R93" s="0" t="n">
        <f aca="false">IF(2_Utilité!AO93&gt;0,2_Utilité!R93/2_Utilité!AO93,0)</f>
        <v>0</v>
      </c>
      <c r="S93" s="0" t="n">
        <f aca="false">IF(2_Utilité!AO93&gt;0,2_Utilité!S93/2_Utilité!AO93,0)</f>
        <v>0</v>
      </c>
      <c r="T93" s="0" t="n">
        <f aca="false">IF(2_Utilité!AO93&gt;0,2_Utilité!T93/2_Utilité!AO93,0)</f>
        <v>0</v>
      </c>
      <c r="U93" s="0" t="n">
        <f aca="false">IF(2_Utilité!AO93&gt;0,2_Utilité!U93/2_Utilité!AO93,0)</f>
        <v>0</v>
      </c>
      <c r="V93" s="0" t="n">
        <f aca="false">IF(2_Utilité!AO93&gt;0,2_Utilité!V93/2_Utilité!AO93,0)</f>
        <v>0</v>
      </c>
      <c r="W93" s="0" t="n">
        <f aca="false">IF(2_Utilité!AO93&gt;0,2_Utilité!W93/2_Utilité!AO93,0)</f>
        <v>0</v>
      </c>
      <c r="X93" s="0" t="n">
        <f aca="false">IF(2_Utilité!AO93&gt;0,2_Utilité!X93/2_Utilité!AO93,0)</f>
        <v>0</v>
      </c>
      <c r="Y93" s="0" t="n">
        <f aca="false">IF(2_Utilité!AO93&gt;0,2_Utilité!Y93/2_Utilité!AO93,0)</f>
        <v>0</v>
      </c>
      <c r="Z93" s="0" t="n">
        <f aca="false">IF(2_Utilité!AO93&gt;0,2_Utilité!Z93/2_Utilité!AO93,0)</f>
        <v>0</v>
      </c>
      <c r="AA93" s="0" t="n">
        <f aca="false">IF(2_Utilité!AO93&gt;0,2_Utilité!AA93/2_Utilité!AO93,0)</f>
        <v>0</v>
      </c>
      <c r="AB93" s="0" t="n">
        <f aca="false">IF(2_Utilité!AO93&gt;0,2_Utilité!AB93/2_Utilité!AO93,0)</f>
        <v>0</v>
      </c>
      <c r="AC93" s="0" t="n">
        <f aca="false">IF(2_Utilité!AO93&gt;0,2_Utilité!AC93/2_Utilité!AO93,0)</f>
        <v>0.0367122807013898</v>
      </c>
      <c r="AD93" s="0" t="n">
        <f aca="false">IF(2_Utilité!AO93&gt;0,2_Utilité!AD93/2_Utilité!AO93,0)</f>
        <v>0.185664100360422</v>
      </c>
      <c r="AE93" s="0" t="n">
        <f aca="false">IF(2_Utilité!AO93&gt;0,2_Utilité!AE93/2_Utilité!AO93,0)</f>
        <v>0.111332156142968</v>
      </c>
      <c r="AF93" s="0" t="n">
        <f aca="false">IF(2_Utilité!AO93&gt;0,2_Utilité!AF93/2_Utilité!AO93,0)</f>
        <v>0.0726921987634359</v>
      </c>
      <c r="AG93" s="0" t="n">
        <f aca="false">IF(2_Utilité!AO93&gt;0,2_Utilité!AG93/2_Utilité!AO93,0)</f>
        <v>0</v>
      </c>
      <c r="AH93" s="0" t="n">
        <f aca="false">IF(2_Utilité!AO93&gt;0,2_Utilité!AH93/2_Utilité!AO93,0)</f>
        <v>0</v>
      </c>
      <c r="AI93" s="0" t="n">
        <f aca="false">IF(2_Utilité!AO93&gt;0,2_Utilité!AI93/2_Utilité!AO93,0)</f>
        <v>0</v>
      </c>
      <c r="AJ93" s="0" t="n">
        <f aca="false">IF(2_Utilité!AO93&gt;0,2_Utilité!AJ93/2_Utilité!AO93,0)</f>
        <v>0</v>
      </c>
      <c r="AK93" s="0" t="n">
        <f aca="false">IF(2_Utilité!AO93&gt;0,2_Utilité!AK93/2_Utilité!AO93,0)</f>
        <v>0.228139858806084</v>
      </c>
      <c r="AL93" s="0" t="n">
        <f aca="false">IF(2_Utilité!AO93&gt;0,2_Utilité!AL93/2_Utilité!AO93,0)</f>
        <v>0.3654594052257</v>
      </c>
      <c r="AM93" s="49" t="n">
        <f aca="false">IF(2_Utilité!AO93&gt;0,2_Utilité!AM93/2_Utilité!AO93,0)</f>
        <v>0</v>
      </c>
      <c r="AN93" s="43" t="n">
        <f aca="false">IF(2_Utilité!AO93&gt;0,2_Utilité!AN93/2_Utilité!AO93,0)</f>
        <v>0</v>
      </c>
      <c r="AO93" s="43" t="n">
        <f aca="false">SUM(C93:AN93)</f>
        <v>1</v>
      </c>
      <c r="AP93" s="43" t="n">
        <f aca="false">COUNTIF(Matrice_OD!$C93:$AN93,"&lt;="&amp;Param!$B$2)</f>
        <v>6</v>
      </c>
    </row>
    <row r="94" customFormat="false" ht="15" hidden="false" customHeight="true" outlineLevel="0" collapsed="false">
      <c r="A94" s="0" t="s">
        <v>286</v>
      </c>
      <c r="B94" s="0" t="s">
        <v>287</v>
      </c>
      <c r="C94" s="0" t="n">
        <f aca="false">IF(2_Utilité!AO94&gt;0,2_Utilité!C94/2_Utilité!AO94,0)</f>
        <v>0</v>
      </c>
      <c r="D94" s="0" t="n">
        <f aca="false">IF(2_Utilité!AO94&gt;0,2_Utilité!D94/2_Utilité!AO94,0)</f>
        <v>0</v>
      </c>
      <c r="E94" s="0" t="n">
        <f aca="false">IF(2_Utilité!AO94&gt;0,2_Utilité!E94/2_Utilité!AO94,0)</f>
        <v>0</v>
      </c>
      <c r="F94" s="0" t="n">
        <f aca="false">IF(2_Utilité!AO94&gt;0,2_Utilité!F94/2_Utilité!AO94,0)</f>
        <v>0</v>
      </c>
      <c r="G94" s="0" t="n">
        <f aca="false">IF(2_Utilité!AO94&gt;0,2_Utilité!G94/2_Utilité!AO94,0)</f>
        <v>0</v>
      </c>
      <c r="H94" s="0" t="n">
        <f aca="false">IF(2_Utilité!AO94&gt;0,2_Utilité!H94/2_Utilité!AO94,0)</f>
        <v>0</v>
      </c>
      <c r="I94" s="0" t="n">
        <f aca="false">IF(2_Utilité!AO94&gt;0,2_Utilité!I94/2_Utilité!AO94,0)</f>
        <v>0</v>
      </c>
      <c r="J94" s="0" t="n">
        <f aca="false">IF(2_Utilité!AO94&gt;0,2_Utilité!J94/2_Utilité!AO94,0)</f>
        <v>0</v>
      </c>
      <c r="K94" s="0" t="n">
        <f aca="false">IF(2_Utilité!AO94&gt;0,2_Utilité!K94/2_Utilité!AO94,0)</f>
        <v>0</v>
      </c>
      <c r="L94" s="0" t="n">
        <f aca="false">IF(2_Utilité!AO94&gt;0,2_Utilité!L94/2_Utilité!AO94,0)</f>
        <v>0</v>
      </c>
      <c r="M94" s="0" t="n">
        <f aca="false">IF(2_Utilité!AO94&gt;0,2_Utilité!M94/2_Utilité!AO94,0)</f>
        <v>0</v>
      </c>
      <c r="N94" s="0" t="n">
        <f aca="false">IF(2_Utilité!AO94&gt;0,2_Utilité!N94/2_Utilité!AO94,0)</f>
        <v>0</v>
      </c>
      <c r="O94" s="0" t="n">
        <f aca="false">IF(2_Utilité!AO94&gt;0,2_Utilité!O94/2_Utilité!AO94,0)</f>
        <v>0</v>
      </c>
      <c r="P94" s="0" t="n">
        <f aca="false">IF(2_Utilité!AO94&gt;0,2_Utilité!P94/2_Utilité!AO94,0)</f>
        <v>0</v>
      </c>
      <c r="Q94" s="0" t="n">
        <f aca="false">IF(2_Utilité!AO94&gt;0,2_Utilité!Q94/2_Utilité!AO94,0)</f>
        <v>0</v>
      </c>
      <c r="R94" s="0" t="n">
        <f aca="false">IF(2_Utilité!AO94&gt;0,2_Utilité!R94/2_Utilité!AO94,0)</f>
        <v>0</v>
      </c>
      <c r="S94" s="0" t="n">
        <f aca="false">IF(2_Utilité!AO94&gt;0,2_Utilité!S94/2_Utilité!AO94,0)</f>
        <v>0</v>
      </c>
      <c r="T94" s="0" t="n">
        <f aca="false">IF(2_Utilité!AO94&gt;0,2_Utilité!T94/2_Utilité!AO94,0)</f>
        <v>0</v>
      </c>
      <c r="U94" s="0" t="n">
        <f aca="false">IF(2_Utilité!AO94&gt;0,2_Utilité!U94/2_Utilité!AO94,0)</f>
        <v>0.0166218802353778</v>
      </c>
      <c r="V94" s="0" t="n">
        <f aca="false">IF(2_Utilité!AO94&gt;0,2_Utilité!V94/2_Utilité!AO94,0)</f>
        <v>0</v>
      </c>
      <c r="W94" s="0" t="n">
        <f aca="false">IF(2_Utilité!AO94&gt;0,2_Utilité!W94/2_Utilité!AO94,0)</f>
        <v>0</v>
      </c>
      <c r="X94" s="0" t="n">
        <f aca="false">IF(2_Utilité!AO94&gt;0,2_Utilité!X94/2_Utilité!AO94,0)</f>
        <v>0</v>
      </c>
      <c r="Y94" s="0" t="n">
        <f aca="false">IF(2_Utilité!AO94&gt;0,2_Utilité!Y94/2_Utilité!AO94,0)</f>
        <v>0</v>
      </c>
      <c r="Z94" s="0" t="n">
        <f aca="false">IF(2_Utilité!AO94&gt;0,2_Utilité!Z94/2_Utilité!AO94,0)</f>
        <v>0</v>
      </c>
      <c r="AA94" s="0" t="n">
        <f aca="false">IF(2_Utilité!AO94&gt;0,2_Utilité!AA94/2_Utilité!AO94,0)</f>
        <v>0</v>
      </c>
      <c r="AB94" s="0" t="n">
        <f aca="false">IF(2_Utilité!AO94&gt;0,2_Utilité!AB94/2_Utilité!AO94,0)</f>
        <v>0</v>
      </c>
      <c r="AC94" s="0" t="n">
        <f aca="false">IF(2_Utilité!AO94&gt;0,2_Utilité!AC94/2_Utilité!AO94,0)</f>
        <v>0.0367164695830862</v>
      </c>
      <c r="AD94" s="0" t="n">
        <f aca="false">IF(2_Utilité!AO94&gt;0,2_Utilité!AD94/2_Utilité!AO94,0)</f>
        <v>0.186929420956574</v>
      </c>
      <c r="AE94" s="0" t="n">
        <f aca="false">IF(2_Utilité!AO94&gt;0,2_Utilité!AE94/2_Utilité!AO94,0)</f>
        <v>0.112048614637112</v>
      </c>
      <c r="AF94" s="0" t="n">
        <f aca="false">IF(2_Utilité!AO94&gt;0,2_Utilité!AF94/2_Utilité!AO94,0)</f>
        <v>0.0722138979345471</v>
      </c>
      <c r="AG94" s="0" t="n">
        <f aca="false">IF(2_Utilité!AO94&gt;0,2_Utilité!AG94/2_Utilité!AO94,0)</f>
        <v>0</v>
      </c>
      <c r="AH94" s="0" t="n">
        <f aca="false">IF(2_Utilité!AO94&gt;0,2_Utilité!AH94/2_Utilité!AO94,0)</f>
        <v>0</v>
      </c>
      <c r="AI94" s="0" t="n">
        <f aca="false">IF(2_Utilité!AO94&gt;0,2_Utilité!AI94/2_Utilité!AO94,0)</f>
        <v>0</v>
      </c>
      <c r="AJ94" s="0" t="n">
        <f aca="false">IF(2_Utilité!AO94&gt;0,2_Utilité!AJ94/2_Utilité!AO94,0)</f>
        <v>0</v>
      </c>
      <c r="AK94" s="0" t="n">
        <f aca="false">IF(2_Utilité!AO94&gt;0,2_Utilité!AK94/2_Utilité!AO94,0)</f>
        <v>0.211359395533334</v>
      </c>
      <c r="AL94" s="0" t="n">
        <f aca="false">IF(2_Utilité!AO94&gt;0,2_Utilité!AL94/2_Utilité!AO94,0)</f>
        <v>0.364110321119969</v>
      </c>
      <c r="AM94" s="48" t="n">
        <f aca="false">IF(2_Utilité!AO94&gt;0,2_Utilité!AM94/2_Utilité!AO94,0)</f>
        <v>0</v>
      </c>
      <c r="AN94" s="43" t="n">
        <f aca="false">IF(2_Utilité!AO94&gt;0,2_Utilité!AN94/2_Utilité!AO94,0)</f>
        <v>0</v>
      </c>
      <c r="AO94" s="43" t="n">
        <f aca="false">SUM(C94:AN94)</f>
        <v>1</v>
      </c>
      <c r="AP94" s="43" t="n">
        <f aca="false">COUNTIF(Matrice_OD!$C94:$AN94,"&lt;="&amp;Param!$B$2)</f>
        <v>7</v>
      </c>
    </row>
    <row r="95" customFormat="false" ht="15" hidden="false" customHeight="true" outlineLevel="0" collapsed="false">
      <c r="A95" s="0" t="s">
        <v>288</v>
      </c>
      <c r="B95" s="0" t="s">
        <v>289</v>
      </c>
      <c r="C95" s="0" t="n">
        <f aca="false">IF(2_Utilité!AO95&gt;0,2_Utilité!C95/2_Utilité!AO95,0)</f>
        <v>0</v>
      </c>
      <c r="D95" s="0" t="n">
        <f aca="false">IF(2_Utilité!AO95&gt;0,2_Utilité!D95/2_Utilité!AO95,0)</f>
        <v>0</v>
      </c>
      <c r="E95" s="0" t="n">
        <f aca="false">IF(2_Utilité!AO95&gt;0,2_Utilité!E95/2_Utilité!AO95,0)</f>
        <v>0</v>
      </c>
      <c r="F95" s="0" t="n">
        <f aca="false">IF(2_Utilité!AO95&gt;0,2_Utilité!F95/2_Utilité!AO95,0)</f>
        <v>0</v>
      </c>
      <c r="G95" s="0" t="n">
        <f aca="false">IF(2_Utilité!AO95&gt;0,2_Utilité!G95/2_Utilité!AO95,0)</f>
        <v>0</v>
      </c>
      <c r="H95" s="0" t="n">
        <f aca="false">IF(2_Utilité!AO95&gt;0,2_Utilité!H95/2_Utilité!AO95,0)</f>
        <v>0</v>
      </c>
      <c r="I95" s="0" t="n">
        <f aca="false">IF(2_Utilité!AO95&gt;0,2_Utilité!I95/2_Utilité!AO95,0)</f>
        <v>0</v>
      </c>
      <c r="J95" s="0" t="n">
        <f aca="false">IF(2_Utilité!AO95&gt;0,2_Utilité!J95/2_Utilité!AO95,0)</f>
        <v>0</v>
      </c>
      <c r="K95" s="0" t="n">
        <f aca="false">IF(2_Utilité!AO95&gt;0,2_Utilité!K95/2_Utilité!AO95,0)</f>
        <v>0</v>
      </c>
      <c r="L95" s="0" t="n">
        <f aca="false">IF(2_Utilité!AO95&gt;0,2_Utilité!L95/2_Utilité!AO95,0)</f>
        <v>0</v>
      </c>
      <c r="M95" s="0" t="n">
        <f aca="false">IF(2_Utilité!AO95&gt;0,2_Utilité!M95/2_Utilité!AO95,0)</f>
        <v>0</v>
      </c>
      <c r="N95" s="0" t="n">
        <f aca="false">IF(2_Utilité!AO95&gt;0,2_Utilité!N95/2_Utilité!AO95,0)</f>
        <v>0</v>
      </c>
      <c r="O95" s="0" t="n">
        <f aca="false">IF(2_Utilité!AO95&gt;0,2_Utilité!O95/2_Utilité!AO95,0)</f>
        <v>0</v>
      </c>
      <c r="P95" s="0" t="n">
        <f aca="false">IF(2_Utilité!AO95&gt;0,2_Utilité!P95/2_Utilité!AO95,0)</f>
        <v>0</v>
      </c>
      <c r="Q95" s="0" t="n">
        <f aca="false">IF(2_Utilité!AO95&gt;0,2_Utilité!Q95/2_Utilité!AO95,0)</f>
        <v>0</v>
      </c>
      <c r="R95" s="0" t="n">
        <f aca="false">IF(2_Utilité!AO95&gt;0,2_Utilité!R95/2_Utilité!AO95,0)</f>
        <v>0</v>
      </c>
      <c r="S95" s="0" t="n">
        <f aca="false">IF(2_Utilité!AO95&gt;0,2_Utilité!S95/2_Utilité!AO95,0)</f>
        <v>0</v>
      </c>
      <c r="T95" s="0" t="n">
        <f aca="false">IF(2_Utilité!AO95&gt;0,2_Utilité!T95/2_Utilité!AO95,0)</f>
        <v>0</v>
      </c>
      <c r="U95" s="0" t="n">
        <f aca="false">IF(2_Utilité!AO95&gt;0,2_Utilité!U95/2_Utilité!AO95,0)</f>
        <v>0</v>
      </c>
      <c r="V95" s="0" t="n">
        <f aca="false">IF(2_Utilité!AO95&gt;0,2_Utilité!V95/2_Utilité!AO95,0)</f>
        <v>0</v>
      </c>
      <c r="W95" s="0" t="n">
        <f aca="false">IF(2_Utilité!AO95&gt;0,2_Utilité!W95/2_Utilité!AO95,0)</f>
        <v>0</v>
      </c>
      <c r="X95" s="0" t="n">
        <f aca="false">IF(2_Utilité!AO95&gt;0,2_Utilité!X95/2_Utilité!AO95,0)</f>
        <v>0</v>
      </c>
      <c r="Y95" s="0" t="n">
        <f aca="false">IF(2_Utilité!AO95&gt;0,2_Utilité!Y95/2_Utilité!AO95,0)</f>
        <v>0</v>
      </c>
      <c r="Z95" s="0" t="n">
        <f aca="false">IF(2_Utilité!AO95&gt;0,2_Utilité!Z95/2_Utilité!AO95,0)</f>
        <v>0</v>
      </c>
      <c r="AA95" s="0" t="n">
        <f aca="false">IF(2_Utilité!AO95&gt;0,2_Utilité!AA95/2_Utilité!AO95,0)</f>
        <v>0</v>
      </c>
      <c r="AB95" s="0" t="n">
        <f aca="false">IF(2_Utilité!AO95&gt;0,2_Utilité!AB95/2_Utilité!AO95,0)</f>
        <v>0</v>
      </c>
      <c r="AC95" s="0" t="n">
        <f aca="false">IF(2_Utilité!AO95&gt;0,2_Utilité!AC95/2_Utilité!AO95,0)</f>
        <v>0.034704839133542</v>
      </c>
      <c r="AD95" s="0" t="n">
        <f aca="false">IF(2_Utilité!AO95&gt;0,2_Utilité!AD95/2_Utilité!AO95,0)</f>
        <v>0.174713657250001</v>
      </c>
      <c r="AE95" s="0" t="n">
        <f aca="false">IF(2_Utilité!AO95&gt;0,2_Utilité!AE95/2_Utilité!AO95,0)</f>
        <v>0.105730059248243</v>
      </c>
      <c r="AF95" s="0" t="n">
        <f aca="false">IF(2_Utilité!AO95&gt;0,2_Utilité!AF95/2_Utilité!AO95,0)</f>
        <v>0.0703651449907634</v>
      </c>
      <c r="AG95" s="0" t="n">
        <f aca="false">IF(2_Utilité!AO95&gt;0,2_Utilité!AG95/2_Utilité!AO95,0)</f>
        <v>0</v>
      </c>
      <c r="AH95" s="0" t="n">
        <f aca="false">IF(2_Utilité!AO95&gt;0,2_Utilité!AH95/2_Utilité!AO95,0)</f>
        <v>0</v>
      </c>
      <c r="AI95" s="0" t="n">
        <f aca="false">IF(2_Utilité!AO95&gt;0,2_Utilité!AI95/2_Utilité!AO95,0)</f>
        <v>0</v>
      </c>
      <c r="AJ95" s="0" t="n">
        <f aca="false">IF(2_Utilité!AO95&gt;0,2_Utilité!AJ95/2_Utilité!AO95,0)</f>
        <v>0</v>
      </c>
      <c r="AK95" s="0" t="n">
        <f aca="false">IF(2_Utilité!AO95&gt;0,2_Utilité!AK95/2_Utilité!AO95,0)</f>
        <v>0.268070697881985</v>
      </c>
      <c r="AL95" s="0" t="n">
        <f aca="false">IF(2_Utilité!AO95&gt;0,2_Utilité!AL95/2_Utilité!AO95,0)</f>
        <v>0.346415601495465</v>
      </c>
      <c r="AM95" s="49" t="n">
        <f aca="false">IF(2_Utilité!AO95&gt;0,2_Utilité!AM95/2_Utilité!AO95,0)</f>
        <v>0</v>
      </c>
      <c r="AN95" s="43" t="n">
        <f aca="false">IF(2_Utilité!AO95&gt;0,2_Utilité!AN95/2_Utilité!AO95,0)</f>
        <v>0</v>
      </c>
      <c r="AO95" s="43" t="n">
        <f aca="false">SUM(C95:AN95)</f>
        <v>1</v>
      </c>
      <c r="AP95" s="43" t="n">
        <f aca="false">COUNTIF(Matrice_OD!$C95:$AN95,"&lt;="&amp;Param!$B$2)</f>
        <v>6</v>
      </c>
    </row>
    <row r="96" customFormat="false" ht="15" hidden="false" customHeight="true" outlineLevel="0" collapsed="false">
      <c r="A96" s="0" t="s">
        <v>290</v>
      </c>
      <c r="B96" s="0" t="s">
        <v>291</v>
      </c>
      <c r="C96" s="0" t="n">
        <f aca="false">IF(2_Utilité!AO96&gt;0,2_Utilité!C96/2_Utilité!AO96,0)</f>
        <v>0</v>
      </c>
      <c r="D96" s="0" t="n">
        <f aca="false">IF(2_Utilité!AO96&gt;0,2_Utilité!D96/2_Utilité!AO96,0)</f>
        <v>0</v>
      </c>
      <c r="E96" s="0" t="n">
        <f aca="false">IF(2_Utilité!AO96&gt;0,2_Utilité!E96/2_Utilité!AO96,0)</f>
        <v>0</v>
      </c>
      <c r="F96" s="0" t="n">
        <f aca="false">IF(2_Utilité!AO96&gt;0,2_Utilité!F96/2_Utilité!AO96,0)</f>
        <v>0</v>
      </c>
      <c r="G96" s="0" t="n">
        <f aca="false">IF(2_Utilité!AO96&gt;0,2_Utilité!G96/2_Utilité!AO96,0)</f>
        <v>0</v>
      </c>
      <c r="H96" s="0" t="n">
        <f aca="false">IF(2_Utilité!AO96&gt;0,2_Utilité!H96/2_Utilité!AO96,0)</f>
        <v>0</v>
      </c>
      <c r="I96" s="0" t="n">
        <f aca="false">IF(2_Utilité!AO96&gt;0,2_Utilité!I96/2_Utilité!AO96,0)</f>
        <v>0</v>
      </c>
      <c r="J96" s="0" t="n">
        <f aca="false">IF(2_Utilité!AO96&gt;0,2_Utilité!J96/2_Utilité!AO96,0)</f>
        <v>0</v>
      </c>
      <c r="K96" s="0" t="n">
        <f aca="false">IF(2_Utilité!AO96&gt;0,2_Utilité!K96/2_Utilité!AO96,0)</f>
        <v>0</v>
      </c>
      <c r="L96" s="0" t="n">
        <f aca="false">IF(2_Utilité!AO96&gt;0,2_Utilité!L96/2_Utilité!AO96,0)</f>
        <v>0</v>
      </c>
      <c r="M96" s="0" t="n">
        <f aca="false">IF(2_Utilité!AO96&gt;0,2_Utilité!M96/2_Utilité!AO96,0)</f>
        <v>0</v>
      </c>
      <c r="N96" s="0" t="n">
        <f aca="false">IF(2_Utilité!AO96&gt;0,2_Utilité!N96/2_Utilité!AO96,0)</f>
        <v>0</v>
      </c>
      <c r="O96" s="0" t="n">
        <f aca="false">IF(2_Utilité!AO96&gt;0,2_Utilité!O96/2_Utilité!AO96,0)</f>
        <v>0</v>
      </c>
      <c r="P96" s="0" t="n">
        <f aca="false">IF(2_Utilité!AO96&gt;0,2_Utilité!P96/2_Utilité!AO96,0)</f>
        <v>0</v>
      </c>
      <c r="Q96" s="0" t="n">
        <f aca="false">IF(2_Utilité!AO96&gt;0,2_Utilité!Q96/2_Utilité!AO96,0)</f>
        <v>0</v>
      </c>
      <c r="R96" s="0" t="n">
        <f aca="false">IF(2_Utilité!AO96&gt;0,2_Utilité!R96/2_Utilité!AO96,0)</f>
        <v>0</v>
      </c>
      <c r="S96" s="0" t="n">
        <f aca="false">IF(2_Utilité!AO96&gt;0,2_Utilité!S96/2_Utilité!AO96,0)</f>
        <v>0</v>
      </c>
      <c r="T96" s="0" t="n">
        <f aca="false">IF(2_Utilité!AO96&gt;0,2_Utilité!T96/2_Utilité!AO96,0)</f>
        <v>0</v>
      </c>
      <c r="U96" s="0" t="n">
        <f aca="false">IF(2_Utilité!AO96&gt;0,2_Utilité!U96/2_Utilité!AO96,0)</f>
        <v>0</v>
      </c>
      <c r="V96" s="0" t="n">
        <f aca="false">IF(2_Utilité!AO96&gt;0,2_Utilité!V96/2_Utilité!AO96,0)</f>
        <v>0</v>
      </c>
      <c r="W96" s="0" t="n">
        <f aca="false">IF(2_Utilité!AO96&gt;0,2_Utilité!W96/2_Utilité!AO96,0)</f>
        <v>0</v>
      </c>
      <c r="X96" s="0" t="n">
        <f aca="false">IF(2_Utilité!AO96&gt;0,2_Utilité!X96/2_Utilité!AO96,0)</f>
        <v>0</v>
      </c>
      <c r="Y96" s="0" t="n">
        <f aca="false">IF(2_Utilité!AO96&gt;0,2_Utilité!Y96/2_Utilité!AO96,0)</f>
        <v>0</v>
      </c>
      <c r="Z96" s="0" t="n">
        <f aca="false">IF(2_Utilité!AO96&gt;0,2_Utilité!Z96/2_Utilité!AO96,0)</f>
        <v>0</v>
      </c>
      <c r="AA96" s="0" t="n">
        <f aca="false">IF(2_Utilité!AO96&gt;0,2_Utilité!AA96/2_Utilité!AO96,0)</f>
        <v>0</v>
      </c>
      <c r="AB96" s="0" t="n">
        <f aca="false">IF(2_Utilité!AO96&gt;0,2_Utilité!AB96/2_Utilité!AO96,0)</f>
        <v>0</v>
      </c>
      <c r="AC96" s="0" t="n">
        <f aca="false">IF(2_Utilité!AO96&gt;0,2_Utilité!AC96/2_Utilité!AO96,0)</f>
        <v>0.0359337043997724</v>
      </c>
      <c r="AD96" s="0" t="n">
        <f aca="false">IF(2_Utilité!AO96&gt;0,2_Utilité!AD96/2_Utilité!AO96,0)</f>
        <v>0.180135702543067</v>
      </c>
      <c r="AE96" s="0" t="n">
        <f aca="false">IF(2_Utilité!AO96&gt;0,2_Utilité!AE96/2_Utilité!AO96,0)</f>
        <v>0.108059910525715</v>
      </c>
      <c r="AF96" s="0" t="n">
        <f aca="false">IF(2_Utilité!AO96&gt;0,2_Utilité!AF96/2_Utilité!AO96,0)</f>
        <v>0.071690639703371</v>
      </c>
      <c r="AG96" s="0" t="n">
        <f aca="false">IF(2_Utilité!AO96&gt;0,2_Utilité!AG96/2_Utilité!AO96,0)</f>
        <v>0</v>
      </c>
      <c r="AH96" s="0" t="n">
        <f aca="false">IF(2_Utilité!AO96&gt;0,2_Utilité!AH96/2_Utilité!AO96,0)</f>
        <v>0</v>
      </c>
      <c r="AI96" s="0" t="n">
        <f aca="false">IF(2_Utilité!AO96&gt;0,2_Utilité!AI96/2_Utilité!AO96,0)</f>
        <v>0</v>
      </c>
      <c r="AJ96" s="0" t="n">
        <f aca="false">IF(2_Utilité!AO96&gt;0,2_Utilité!AJ96/2_Utilité!AO96,0)</f>
        <v>0</v>
      </c>
      <c r="AK96" s="0" t="n">
        <f aca="false">IF(2_Utilité!AO96&gt;0,2_Utilité!AK96/2_Utilité!AO96,0)</f>
        <v>0.245098279751041</v>
      </c>
      <c r="AL96" s="0" t="n">
        <f aca="false">IF(2_Utilité!AO96&gt;0,2_Utilité!AL96/2_Utilité!AO96,0)</f>
        <v>0.359081763077034</v>
      </c>
      <c r="AM96" s="48" t="n">
        <f aca="false">IF(2_Utilité!AO96&gt;0,2_Utilité!AM96/2_Utilité!AO96,0)</f>
        <v>0</v>
      </c>
      <c r="AN96" s="43" t="n">
        <f aca="false">IF(2_Utilité!AO96&gt;0,2_Utilité!AN96/2_Utilité!AO96,0)</f>
        <v>0</v>
      </c>
      <c r="AO96" s="43" t="n">
        <f aca="false">SUM(C96:AN96)</f>
        <v>1</v>
      </c>
      <c r="AP96" s="43" t="n">
        <f aca="false">COUNTIF(Matrice_OD!$C96:$AN96,"&lt;="&amp;Param!$B$2)</f>
        <v>6</v>
      </c>
    </row>
    <row r="97" customFormat="false" ht="15" hidden="false" customHeight="true" outlineLevel="0" collapsed="false">
      <c r="A97" s="0" t="s">
        <v>292</v>
      </c>
      <c r="B97" s="0" t="s">
        <v>293</v>
      </c>
      <c r="C97" s="0" t="n">
        <f aca="false">IF(2_Utilité!AO97&gt;0,2_Utilité!C97/2_Utilité!AO97,0)</f>
        <v>0</v>
      </c>
      <c r="D97" s="0" t="n">
        <f aca="false">IF(2_Utilité!AO97&gt;0,2_Utilité!D97/2_Utilité!AO97,0)</f>
        <v>0</v>
      </c>
      <c r="E97" s="0" t="n">
        <f aca="false">IF(2_Utilité!AO97&gt;0,2_Utilité!E97/2_Utilité!AO97,0)</f>
        <v>0</v>
      </c>
      <c r="F97" s="0" t="n">
        <f aca="false">IF(2_Utilité!AO97&gt;0,2_Utilité!F97/2_Utilité!AO97,0)</f>
        <v>0</v>
      </c>
      <c r="G97" s="0" t="n">
        <f aca="false">IF(2_Utilité!AO97&gt;0,2_Utilité!G97/2_Utilité!AO97,0)</f>
        <v>0</v>
      </c>
      <c r="H97" s="0" t="n">
        <f aca="false">IF(2_Utilité!AO97&gt;0,2_Utilité!H97/2_Utilité!AO97,0)</f>
        <v>0</v>
      </c>
      <c r="I97" s="0" t="n">
        <f aca="false">IF(2_Utilité!AO97&gt;0,2_Utilité!I97/2_Utilité!AO97,0)</f>
        <v>0</v>
      </c>
      <c r="J97" s="0" t="n">
        <f aca="false">IF(2_Utilité!AO97&gt;0,2_Utilité!J97/2_Utilité!AO97,0)</f>
        <v>0</v>
      </c>
      <c r="K97" s="0" t="n">
        <f aca="false">IF(2_Utilité!AO97&gt;0,2_Utilité!K97/2_Utilité!AO97,0)</f>
        <v>0</v>
      </c>
      <c r="L97" s="0" t="n">
        <f aca="false">IF(2_Utilité!AO97&gt;0,2_Utilité!L97/2_Utilité!AO97,0)</f>
        <v>0</v>
      </c>
      <c r="M97" s="0" t="n">
        <f aca="false">IF(2_Utilité!AO97&gt;0,2_Utilité!M97/2_Utilité!AO97,0)</f>
        <v>0</v>
      </c>
      <c r="N97" s="0" t="n">
        <f aca="false">IF(2_Utilité!AO97&gt;0,2_Utilité!N97/2_Utilité!AO97,0)</f>
        <v>0</v>
      </c>
      <c r="O97" s="0" t="n">
        <f aca="false">IF(2_Utilité!AO97&gt;0,2_Utilité!O97/2_Utilité!AO97,0)</f>
        <v>0</v>
      </c>
      <c r="P97" s="0" t="n">
        <f aca="false">IF(2_Utilité!AO97&gt;0,2_Utilité!P97/2_Utilité!AO97,0)</f>
        <v>0</v>
      </c>
      <c r="Q97" s="0" t="n">
        <f aca="false">IF(2_Utilité!AO97&gt;0,2_Utilité!Q97/2_Utilité!AO97,0)</f>
        <v>0</v>
      </c>
      <c r="R97" s="0" t="n">
        <f aca="false">IF(2_Utilité!AO97&gt;0,2_Utilité!R97/2_Utilité!AO97,0)</f>
        <v>0</v>
      </c>
      <c r="S97" s="0" t="n">
        <f aca="false">IF(2_Utilité!AO97&gt;0,2_Utilité!S97/2_Utilité!AO97,0)</f>
        <v>0</v>
      </c>
      <c r="T97" s="0" t="n">
        <f aca="false">IF(2_Utilité!AO97&gt;0,2_Utilité!T97/2_Utilité!AO97,0)</f>
        <v>0</v>
      </c>
      <c r="U97" s="0" t="n">
        <f aca="false">IF(2_Utilité!AO97&gt;0,2_Utilité!U97/2_Utilité!AO97,0)</f>
        <v>0</v>
      </c>
      <c r="V97" s="0" t="n">
        <f aca="false">IF(2_Utilité!AO97&gt;0,2_Utilité!V97/2_Utilité!AO97,0)</f>
        <v>0</v>
      </c>
      <c r="W97" s="0" t="n">
        <f aca="false">IF(2_Utilité!AO97&gt;0,2_Utilité!W97/2_Utilité!AO97,0)</f>
        <v>0</v>
      </c>
      <c r="X97" s="0" t="n">
        <f aca="false">IF(2_Utilité!AO97&gt;0,2_Utilité!X97/2_Utilité!AO97,0)</f>
        <v>0</v>
      </c>
      <c r="Y97" s="0" t="n">
        <f aca="false">IF(2_Utilité!AO97&gt;0,2_Utilité!Y97/2_Utilité!AO97,0)</f>
        <v>0</v>
      </c>
      <c r="Z97" s="0" t="n">
        <f aca="false">IF(2_Utilité!AO97&gt;0,2_Utilité!Z97/2_Utilité!AO97,0)</f>
        <v>0</v>
      </c>
      <c r="AA97" s="0" t="n">
        <f aca="false">IF(2_Utilité!AO97&gt;0,2_Utilité!AA97/2_Utilité!AO97,0)</f>
        <v>0</v>
      </c>
      <c r="AB97" s="0" t="n">
        <f aca="false">IF(2_Utilité!AO97&gt;0,2_Utilité!AB97/2_Utilité!AO97,0)</f>
        <v>0</v>
      </c>
      <c r="AC97" s="0" t="n">
        <f aca="false">IF(2_Utilité!AO97&gt;0,2_Utilité!AC97/2_Utilité!AO97,0)</f>
        <v>0.0364802239773604</v>
      </c>
      <c r="AD97" s="0" t="n">
        <f aca="false">IF(2_Utilité!AO97&gt;0,2_Utilité!AD97/2_Utilité!AO97,0)</f>
        <v>0.179751996450333</v>
      </c>
      <c r="AE97" s="0" t="n">
        <f aca="false">IF(2_Utilité!AO97&gt;0,2_Utilité!AE97/2_Utilité!AO97,0)</f>
        <v>0.114205176113615</v>
      </c>
      <c r="AF97" s="0" t="n">
        <f aca="false">IF(2_Utilité!AO97&gt;0,2_Utilité!AF97/2_Utilité!AO97,0)</f>
        <v>0.0758681754584149</v>
      </c>
      <c r="AG97" s="0" t="n">
        <f aca="false">IF(2_Utilité!AO97&gt;0,2_Utilité!AG97/2_Utilité!AO97,0)</f>
        <v>0</v>
      </c>
      <c r="AH97" s="0" t="n">
        <f aca="false">IF(2_Utilité!AO97&gt;0,2_Utilité!AH97/2_Utilité!AO97,0)</f>
        <v>0</v>
      </c>
      <c r="AI97" s="0" t="n">
        <f aca="false">IF(2_Utilité!AO97&gt;0,2_Utilité!AI97/2_Utilité!AO97,0)</f>
        <v>0</v>
      </c>
      <c r="AJ97" s="0" t="n">
        <f aca="false">IF(2_Utilité!AO97&gt;0,2_Utilité!AJ97/2_Utilité!AO97,0)</f>
        <v>0</v>
      </c>
      <c r="AK97" s="0" t="n">
        <f aca="false">IF(2_Utilité!AO97&gt;0,2_Utilité!AK97/2_Utilité!AO97,0)</f>
        <v>0.232427043114555</v>
      </c>
      <c r="AL97" s="0" t="n">
        <f aca="false">IF(2_Utilité!AO97&gt;0,2_Utilité!AL97/2_Utilité!AO97,0)</f>
        <v>0.361267384885721</v>
      </c>
      <c r="AM97" s="49" t="n">
        <f aca="false">IF(2_Utilité!AO97&gt;0,2_Utilité!AM97/2_Utilité!AO97,0)</f>
        <v>0</v>
      </c>
      <c r="AN97" s="43" t="n">
        <f aca="false">IF(2_Utilité!AO97&gt;0,2_Utilité!AN97/2_Utilité!AO97,0)</f>
        <v>0</v>
      </c>
      <c r="AO97" s="43" t="n">
        <f aca="false">SUM(C97:AN97)</f>
        <v>1</v>
      </c>
      <c r="AP97" s="43" t="n">
        <f aca="false">COUNTIF(Matrice_OD!$C97:$AN97,"&lt;="&amp;Param!$B$2)</f>
        <v>6</v>
      </c>
    </row>
    <row r="98" customFormat="false" ht="15" hidden="false" customHeight="true" outlineLevel="0" collapsed="false">
      <c r="A98" s="0" t="s">
        <v>294</v>
      </c>
      <c r="B98" s="0" t="s">
        <v>295</v>
      </c>
      <c r="C98" s="0" t="n">
        <f aca="false">IF(2_Utilité!AO98&gt;0,2_Utilité!C98/2_Utilité!AO98,0)</f>
        <v>0</v>
      </c>
      <c r="D98" s="0" t="n">
        <f aca="false">IF(2_Utilité!AO98&gt;0,2_Utilité!D98/2_Utilité!AO98,0)</f>
        <v>0</v>
      </c>
      <c r="E98" s="0" t="n">
        <f aca="false">IF(2_Utilité!AO98&gt;0,2_Utilité!E98/2_Utilité!AO98,0)</f>
        <v>0</v>
      </c>
      <c r="F98" s="0" t="n">
        <f aca="false">IF(2_Utilité!AO98&gt;0,2_Utilité!F98/2_Utilité!AO98,0)</f>
        <v>0</v>
      </c>
      <c r="G98" s="0" t="n">
        <f aca="false">IF(2_Utilité!AO98&gt;0,2_Utilité!G98/2_Utilité!AO98,0)</f>
        <v>0</v>
      </c>
      <c r="H98" s="0" t="n">
        <f aca="false">IF(2_Utilité!AO98&gt;0,2_Utilité!H98/2_Utilité!AO98,0)</f>
        <v>0</v>
      </c>
      <c r="I98" s="0" t="n">
        <f aca="false">IF(2_Utilité!AO98&gt;0,2_Utilité!I98/2_Utilité!AO98,0)</f>
        <v>0</v>
      </c>
      <c r="J98" s="0" t="n">
        <f aca="false">IF(2_Utilité!AO98&gt;0,2_Utilité!J98/2_Utilité!AO98,0)</f>
        <v>0</v>
      </c>
      <c r="K98" s="0" t="n">
        <f aca="false">IF(2_Utilité!AO98&gt;0,2_Utilité!K98/2_Utilité!AO98,0)</f>
        <v>0</v>
      </c>
      <c r="L98" s="0" t="n">
        <f aca="false">IF(2_Utilité!AO98&gt;0,2_Utilité!L98/2_Utilité!AO98,0)</f>
        <v>0</v>
      </c>
      <c r="M98" s="0" t="n">
        <f aca="false">IF(2_Utilité!AO98&gt;0,2_Utilité!M98/2_Utilité!AO98,0)</f>
        <v>0</v>
      </c>
      <c r="N98" s="0" t="n">
        <f aca="false">IF(2_Utilité!AO98&gt;0,2_Utilité!N98/2_Utilité!AO98,0)</f>
        <v>0</v>
      </c>
      <c r="O98" s="0" t="n">
        <f aca="false">IF(2_Utilité!AO98&gt;0,2_Utilité!O98/2_Utilité!AO98,0)</f>
        <v>0</v>
      </c>
      <c r="P98" s="0" t="n">
        <f aca="false">IF(2_Utilité!AO98&gt;0,2_Utilité!P98/2_Utilité!AO98,0)</f>
        <v>0</v>
      </c>
      <c r="Q98" s="0" t="n">
        <f aca="false">IF(2_Utilité!AO98&gt;0,2_Utilité!Q98/2_Utilité!AO98,0)</f>
        <v>0</v>
      </c>
      <c r="R98" s="0" t="n">
        <f aca="false">IF(2_Utilité!AO98&gt;0,2_Utilité!R98/2_Utilité!AO98,0)</f>
        <v>0</v>
      </c>
      <c r="S98" s="0" t="n">
        <f aca="false">IF(2_Utilité!AO98&gt;0,2_Utilité!S98/2_Utilité!AO98,0)</f>
        <v>0</v>
      </c>
      <c r="T98" s="0" t="n">
        <f aca="false">IF(2_Utilité!AO98&gt;0,2_Utilité!T98/2_Utilité!AO98,0)</f>
        <v>0</v>
      </c>
      <c r="U98" s="0" t="n">
        <f aca="false">IF(2_Utilité!AO98&gt;0,2_Utilité!U98/2_Utilité!AO98,0)</f>
        <v>0</v>
      </c>
      <c r="V98" s="0" t="n">
        <f aca="false">IF(2_Utilité!AO98&gt;0,2_Utilité!V98/2_Utilité!AO98,0)</f>
        <v>0</v>
      </c>
      <c r="W98" s="0" t="n">
        <f aca="false">IF(2_Utilité!AO98&gt;0,2_Utilité!W98/2_Utilité!AO98,0)</f>
        <v>0</v>
      </c>
      <c r="X98" s="0" t="n">
        <f aca="false">IF(2_Utilité!AO98&gt;0,2_Utilité!X98/2_Utilité!AO98,0)</f>
        <v>0</v>
      </c>
      <c r="Y98" s="0" t="n">
        <f aca="false">IF(2_Utilité!AO98&gt;0,2_Utilité!Y98/2_Utilité!AO98,0)</f>
        <v>0</v>
      </c>
      <c r="Z98" s="0" t="n">
        <f aca="false">IF(2_Utilité!AO98&gt;0,2_Utilité!Z98/2_Utilité!AO98,0)</f>
        <v>0</v>
      </c>
      <c r="AA98" s="0" t="n">
        <f aca="false">IF(2_Utilité!AO98&gt;0,2_Utilité!AA98/2_Utilité!AO98,0)</f>
        <v>0</v>
      </c>
      <c r="AB98" s="0" t="n">
        <f aca="false">IF(2_Utilité!AO98&gt;0,2_Utilité!AB98/2_Utilité!AO98,0)</f>
        <v>0</v>
      </c>
      <c r="AC98" s="0" t="n">
        <f aca="false">IF(2_Utilité!AO98&gt;0,2_Utilité!AC98/2_Utilité!AO98,0)</f>
        <v>0.0377305064005329</v>
      </c>
      <c r="AD98" s="0" t="n">
        <f aca="false">IF(2_Utilité!AO98&gt;0,2_Utilité!AD98/2_Utilité!AO98,0)</f>
        <v>0.186655561618576</v>
      </c>
      <c r="AE98" s="0" t="n">
        <f aca="false">IF(2_Utilité!AO98&gt;0,2_Utilité!AE98/2_Utilité!AO98,0)</f>
        <v>0.10967953921865</v>
      </c>
      <c r="AF98" s="0" t="n">
        <f aca="false">IF(2_Utilité!AO98&gt;0,2_Utilité!AF98/2_Utilité!AO98,0)</f>
        <v>0.0729489465824428</v>
      </c>
      <c r="AG98" s="0" t="n">
        <f aca="false">IF(2_Utilité!AO98&gt;0,2_Utilité!AG98/2_Utilité!AO98,0)</f>
        <v>0</v>
      </c>
      <c r="AH98" s="0" t="n">
        <f aca="false">IF(2_Utilité!AO98&gt;0,2_Utilité!AH98/2_Utilité!AO98,0)</f>
        <v>0</v>
      </c>
      <c r="AI98" s="0" t="n">
        <f aca="false">IF(2_Utilité!AO98&gt;0,2_Utilité!AI98/2_Utilité!AO98,0)</f>
        <v>0</v>
      </c>
      <c r="AJ98" s="0" t="n">
        <f aca="false">IF(2_Utilité!AO98&gt;0,2_Utilité!AJ98/2_Utilité!AO98,0)</f>
        <v>0</v>
      </c>
      <c r="AK98" s="0" t="n">
        <f aca="false">IF(2_Utilité!AO98&gt;0,2_Utilité!AK98/2_Utilité!AO98,0)</f>
        <v>0.227386982117633</v>
      </c>
      <c r="AL98" s="0" t="n">
        <f aca="false">IF(2_Utilité!AO98&gt;0,2_Utilité!AL98/2_Utilité!AO98,0)</f>
        <v>0.365598464062165</v>
      </c>
      <c r="AM98" s="48" t="n">
        <f aca="false">IF(2_Utilité!AO98&gt;0,2_Utilité!AM98/2_Utilité!AO98,0)</f>
        <v>0</v>
      </c>
      <c r="AN98" s="43" t="n">
        <f aca="false">IF(2_Utilité!AO98&gt;0,2_Utilité!AN98/2_Utilité!AO98,0)</f>
        <v>0</v>
      </c>
      <c r="AO98" s="43" t="n">
        <f aca="false">SUM(C98:AN98)</f>
        <v>1</v>
      </c>
      <c r="AP98" s="43" t="n">
        <f aca="false">COUNTIF(Matrice_OD!$C98:$AN98,"&lt;="&amp;Param!$B$2)</f>
        <v>6</v>
      </c>
    </row>
    <row r="99" customFormat="false" ht="15" hidden="false" customHeight="true" outlineLevel="0" collapsed="false">
      <c r="A99" s="0" t="s">
        <v>296</v>
      </c>
      <c r="B99" s="0" t="s">
        <v>297</v>
      </c>
      <c r="C99" s="0" t="n">
        <f aca="false">IF(2_Utilité!AO99&gt;0,2_Utilité!C99/2_Utilité!AO99,0)</f>
        <v>0</v>
      </c>
      <c r="D99" s="0" t="n">
        <f aca="false">IF(2_Utilité!AO99&gt;0,2_Utilité!D99/2_Utilité!AO99,0)</f>
        <v>0</v>
      </c>
      <c r="E99" s="0" t="n">
        <f aca="false">IF(2_Utilité!AO99&gt;0,2_Utilité!E99/2_Utilité!AO99,0)</f>
        <v>0</v>
      </c>
      <c r="F99" s="0" t="n">
        <f aca="false">IF(2_Utilité!AO99&gt;0,2_Utilité!F99/2_Utilité!AO99,0)</f>
        <v>0</v>
      </c>
      <c r="G99" s="0" t="n">
        <f aca="false">IF(2_Utilité!AO99&gt;0,2_Utilité!G99/2_Utilité!AO99,0)</f>
        <v>0</v>
      </c>
      <c r="H99" s="0" t="n">
        <f aca="false">IF(2_Utilité!AO99&gt;0,2_Utilité!H99/2_Utilité!AO99,0)</f>
        <v>0</v>
      </c>
      <c r="I99" s="0" t="n">
        <f aca="false">IF(2_Utilité!AO99&gt;0,2_Utilité!I99/2_Utilité!AO99,0)</f>
        <v>0</v>
      </c>
      <c r="J99" s="0" t="n">
        <f aca="false">IF(2_Utilité!AO99&gt;0,2_Utilité!J99/2_Utilité!AO99,0)</f>
        <v>0</v>
      </c>
      <c r="K99" s="0" t="n">
        <f aca="false">IF(2_Utilité!AO99&gt;0,2_Utilité!K99/2_Utilité!AO99,0)</f>
        <v>0</v>
      </c>
      <c r="L99" s="0" t="n">
        <f aca="false">IF(2_Utilité!AO99&gt;0,2_Utilité!L99/2_Utilité!AO99,0)</f>
        <v>0</v>
      </c>
      <c r="M99" s="0" t="n">
        <f aca="false">IF(2_Utilité!AO99&gt;0,2_Utilité!M99/2_Utilité!AO99,0)</f>
        <v>0</v>
      </c>
      <c r="N99" s="0" t="n">
        <f aca="false">IF(2_Utilité!AO99&gt;0,2_Utilité!N99/2_Utilité!AO99,0)</f>
        <v>0</v>
      </c>
      <c r="O99" s="0" t="n">
        <f aca="false">IF(2_Utilité!AO99&gt;0,2_Utilité!O99/2_Utilité!AO99,0)</f>
        <v>0</v>
      </c>
      <c r="P99" s="0" t="n">
        <f aca="false">IF(2_Utilité!AO99&gt;0,2_Utilité!P99/2_Utilité!AO99,0)</f>
        <v>0</v>
      </c>
      <c r="Q99" s="0" t="n">
        <f aca="false">IF(2_Utilité!AO99&gt;0,2_Utilité!Q99/2_Utilité!AO99,0)</f>
        <v>0</v>
      </c>
      <c r="R99" s="0" t="n">
        <f aca="false">IF(2_Utilité!AO99&gt;0,2_Utilité!R99/2_Utilité!AO99,0)</f>
        <v>0</v>
      </c>
      <c r="S99" s="0" t="n">
        <f aca="false">IF(2_Utilité!AO99&gt;0,2_Utilité!S99/2_Utilité!AO99,0)</f>
        <v>0</v>
      </c>
      <c r="T99" s="0" t="n">
        <f aca="false">IF(2_Utilité!AO99&gt;0,2_Utilité!T99/2_Utilité!AO99,0)</f>
        <v>0</v>
      </c>
      <c r="U99" s="0" t="n">
        <f aca="false">IF(2_Utilité!AO99&gt;0,2_Utilité!U99/2_Utilité!AO99,0)</f>
        <v>0</v>
      </c>
      <c r="V99" s="0" t="n">
        <f aca="false">IF(2_Utilité!AO99&gt;0,2_Utilité!V99/2_Utilité!AO99,0)</f>
        <v>0</v>
      </c>
      <c r="W99" s="0" t="n">
        <f aca="false">IF(2_Utilité!AO99&gt;0,2_Utilité!W99/2_Utilité!AO99,0)</f>
        <v>0</v>
      </c>
      <c r="X99" s="0" t="n">
        <f aca="false">IF(2_Utilité!AO99&gt;0,2_Utilité!X99/2_Utilité!AO99,0)</f>
        <v>0</v>
      </c>
      <c r="Y99" s="0" t="n">
        <f aca="false">IF(2_Utilité!AO99&gt;0,2_Utilité!Y99/2_Utilité!AO99,0)</f>
        <v>0</v>
      </c>
      <c r="Z99" s="0" t="n">
        <f aca="false">IF(2_Utilité!AO99&gt;0,2_Utilité!Z99/2_Utilité!AO99,0)</f>
        <v>0</v>
      </c>
      <c r="AA99" s="0" t="n">
        <f aca="false">IF(2_Utilité!AO99&gt;0,2_Utilité!AA99/2_Utilité!AO99,0)</f>
        <v>0</v>
      </c>
      <c r="AB99" s="0" t="n">
        <f aca="false">IF(2_Utilité!AO99&gt;0,2_Utilité!AB99/2_Utilité!AO99,0)</f>
        <v>0</v>
      </c>
      <c r="AC99" s="0" t="n">
        <f aca="false">IF(2_Utilité!AO99&gt;0,2_Utilité!AC99/2_Utilité!AO99,0)</f>
        <v>0.0382671537133306</v>
      </c>
      <c r="AD99" s="0" t="n">
        <f aca="false">IF(2_Utilité!AO99&gt;0,2_Utilité!AD99/2_Utilité!AO99,0)</f>
        <v>0.19735458792429</v>
      </c>
      <c r="AE99" s="0" t="n">
        <f aca="false">IF(2_Utilité!AO99&gt;0,2_Utilité!AE99/2_Utilité!AO99,0)</f>
        <v>0.118220367342733</v>
      </c>
      <c r="AF99" s="0" t="n">
        <f aca="false">IF(2_Utilité!AO99&gt;0,2_Utilité!AF99/2_Utilité!AO99,0)</f>
        <v>0.0744932838538466</v>
      </c>
      <c r="AG99" s="0" t="n">
        <f aca="false">IF(2_Utilité!AO99&gt;0,2_Utilité!AG99/2_Utilité!AO99,0)</f>
        <v>0</v>
      </c>
      <c r="AH99" s="0" t="n">
        <f aca="false">IF(2_Utilité!AO99&gt;0,2_Utilité!AH99/2_Utilité!AO99,0)</f>
        <v>0</v>
      </c>
      <c r="AI99" s="0" t="n">
        <f aca="false">IF(2_Utilité!AO99&gt;0,2_Utilité!AI99/2_Utilité!AO99,0)</f>
        <v>0</v>
      </c>
      <c r="AJ99" s="0" t="n">
        <f aca="false">IF(2_Utilité!AO99&gt;0,2_Utilité!AJ99/2_Utilité!AO99,0)</f>
        <v>0</v>
      </c>
      <c r="AK99" s="0" t="n">
        <f aca="false">IF(2_Utilité!AO99&gt;0,2_Utilité!AK99/2_Utilité!AO99,0)</f>
        <v>0.193040631414733</v>
      </c>
      <c r="AL99" s="0" t="n">
        <f aca="false">IF(2_Utilité!AO99&gt;0,2_Utilité!AL99/2_Utilité!AO99,0)</f>
        <v>0.378623975751067</v>
      </c>
      <c r="AM99" s="49" t="n">
        <f aca="false">IF(2_Utilité!AO99&gt;0,2_Utilité!AM99/2_Utilité!AO99,0)</f>
        <v>0</v>
      </c>
      <c r="AN99" s="43" t="n">
        <f aca="false">IF(2_Utilité!AO99&gt;0,2_Utilité!AN99/2_Utilité!AO99,0)</f>
        <v>0</v>
      </c>
      <c r="AO99" s="43" t="n">
        <f aca="false">SUM(C99:AN99)</f>
        <v>1</v>
      </c>
      <c r="AP99" s="43" t="n">
        <f aca="false">COUNTIF(Matrice_OD!$C99:$AN99,"&lt;="&amp;Param!$B$2)</f>
        <v>6</v>
      </c>
    </row>
    <row r="100" customFormat="false" ht="15" hidden="false" customHeight="true" outlineLevel="0" collapsed="false">
      <c r="A100" s="0" t="s">
        <v>298</v>
      </c>
      <c r="B100" s="0" t="s">
        <v>299</v>
      </c>
      <c r="C100" s="0" t="n">
        <f aca="false">IF(2_Utilité!AO100&gt;0,2_Utilité!C100/2_Utilité!AO100,0)</f>
        <v>0</v>
      </c>
      <c r="D100" s="0" t="n">
        <f aca="false">IF(2_Utilité!AO100&gt;0,2_Utilité!D100/2_Utilité!AO100,0)</f>
        <v>0</v>
      </c>
      <c r="E100" s="0" t="n">
        <f aca="false">IF(2_Utilité!AO100&gt;0,2_Utilité!E100/2_Utilité!AO100,0)</f>
        <v>0</v>
      </c>
      <c r="F100" s="0" t="n">
        <f aca="false">IF(2_Utilité!AO100&gt;0,2_Utilité!F100/2_Utilité!AO100,0)</f>
        <v>0</v>
      </c>
      <c r="G100" s="0" t="n">
        <f aca="false">IF(2_Utilité!AO100&gt;0,2_Utilité!G100/2_Utilité!AO100,0)</f>
        <v>0</v>
      </c>
      <c r="H100" s="0" t="n">
        <f aca="false">IF(2_Utilité!AO100&gt;0,2_Utilité!H100/2_Utilité!AO100,0)</f>
        <v>0</v>
      </c>
      <c r="I100" s="0" t="n">
        <f aca="false">IF(2_Utilité!AO100&gt;0,2_Utilité!I100/2_Utilité!AO100,0)</f>
        <v>0</v>
      </c>
      <c r="J100" s="0" t="n">
        <f aca="false">IF(2_Utilité!AO100&gt;0,2_Utilité!J100/2_Utilité!AO100,0)</f>
        <v>0</v>
      </c>
      <c r="K100" s="0" t="n">
        <f aca="false">IF(2_Utilité!AO100&gt;0,2_Utilité!K100/2_Utilité!AO100,0)</f>
        <v>0</v>
      </c>
      <c r="L100" s="0" t="n">
        <f aca="false">IF(2_Utilité!AO100&gt;0,2_Utilité!L100/2_Utilité!AO100,0)</f>
        <v>0</v>
      </c>
      <c r="M100" s="0" t="n">
        <f aca="false">IF(2_Utilité!AO100&gt;0,2_Utilité!M100/2_Utilité!AO100,0)</f>
        <v>0</v>
      </c>
      <c r="N100" s="0" t="n">
        <f aca="false">IF(2_Utilité!AO100&gt;0,2_Utilité!N100/2_Utilité!AO100,0)</f>
        <v>0</v>
      </c>
      <c r="O100" s="0" t="n">
        <f aca="false">IF(2_Utilité!AO100&gt;0,2_Utilité!O100/2_Utilité!AO100,0)</f>
        <v>0</v>
      </c>
      <c r="P100" s="0" t="n">
        <f aca="false">IF(2_Utilité!AO100&gt;0,2_Utilité!P100/2_Utilité!AO100,0)</f>
        <v>0</v>
      </c>
      <c r="Q100" s="0" t="n">
        <f aca="false">IF(2_Utilité!AO100&gt;0,2_Utilité!Q100/2_Utilité!AO100,0)</f>
        <v>0</v>
      </c>
      <c r="R100" s="0" t="n">
        <f aca="false">IF(2_Utilité!AO100&gt;0,2_Utilité!R100/2_Utilité!AO100,0)</f>
        <v>0</v>
      </c>
      <c r="S100" s="0" t="n">
        <f aca="false">IF(2_Utilité!AO100&gt;0,2_Utilité!S100/2_Utilité!AO100,0)</f>
        <v>0</v>
      </c>
      <c r="T100" s="0" t="n">
        <f aca="false">IF(2_Utilité!AO100&gt;0,2_Utilité!T100/2_Utilité!AO100,0)</f>
        <v>0</v>
      </c>
      <c r="U100" s="0" t="n">
        <f aca="false">IF(2_Utilité!AO100&gt;0,2_Utilité!U100/2_Utilité!AO100,0)</f>
        <v>0</v>
      </c>
      <c r="V100" s="0" t="n">
        <f aca="false">IF(2_Utilité!AO100&gt;0,2_Utilité!V100/2_Utilité!AO100,0)</f>
        <v>0</v>
      </c>
      <c r="W100" s="0" t="n">
        <f aca="false">IF(2_Utilité!AO100&gt;0,2_Utilité!W100/2_Utilité!AO100,0)</f>
        <v>0</v>
      </c>
      <c r="X100" s="0" t="n">
        <f aca="false">IF(2_Utilité!AO100&gt;0,2_Utilité!X100/2_Utilité!AO100,0)</f>
        <v>0</v>
      </c>
      <c r="Y100" s="0" t="n">
        <f aca="false">IF(2_Utilité!AO100&gt;0,2_Utilité!Y100/2_Utilité!AO100,0)</f>
        <v>0</v>
      </c>
      <c r="Z100" s="0" t="n">
        <f aca="false">IF(2_Utilité!AO100&gt;0,2_Utilité!Z100/2_Utilité!AO100,0)</f>
        <v>0</v>
      </c>
      <c r="AA100" s="0" t="n">
        <f aca="false">IF(2_Utilité!AO100&gt;0,2_Utilité!AA100/2_Utilité!AO100,0)</f>
        <v>0</v>
      </c>
      <c r="AB100" s="0" t="n">
        <f aca="false">IF(2_Utilité!AO100&gt;0,2_Utilité!AB100/2_Utilité!AO100,0)</f>
        <v>0</v>
      </c>
      <c r="AC100" s="0" t="n">
        <f aca="false">IF(2_Utilité!AO100&gt;0,2_Utilité!AC100/2_Utilité!AO100,0)</f>
        <v>0.0372849714488359</v>
      </c>
      <c r="AD100" s="0" t="n">
        <f aca="false">IF(2_Utilité!AO100&gt;0,2_Utilité!AD100/2_Utilité!AO100,0)</f>
        <v>0.189913599902945</v>
      </c>
      <c r="AE100" s="0" t="n">
        <f aca="false">IF(2_Utilité!AO100&gt;0,2_Utilité!AE100/2_Utilité!AO100,0)</f>
        <v>0.113782168222355</v>
      </c>
      <c r="AF100" s="0" t="n">
        <f aca="false">IF(2_Utilité!AO100&gt;0,2_Utilité!AF100/2_Utilité!AO100,0)</f>
        <v>0.0733328770860673</v>
      </c>
      <c r="AG100" s="0" t="n">
        <f aca="false">IF(2_Utilité!AO100&gt;0,2_Utilité!AG100/2_Utilité!AO100,0)</f>
        <v>0</v>
      </c>
      <c r="AH100" s="0" t="n">
        <f aca="false">IF(2_Utilité!AO100&gt;0,2_Utilité!AH100/2_Utilité!AO100,0)</f>
        <v>0</v>
      </c>
      <c r="AI100" s="0" t="n">
        <f aca="false">IF(2_Utilité!AO100&gt;0,2_Utilité!AI100/2_Utilité!AO100,0)</f>
        <v>0</v>
      </c>
      <c r="AJ100" s="0" t="n">
        <f aca="false">IF(2_Utilité!AO100&gt;0,2_Utilité!AJ100/2_Utilité!AO100,0)</f>
        <v>0</v>
      </c>
      <c r="AK100" s="0" t="n">
        <f aca="false">IF(2_Utilité!AO100&gt;0,2_Utilité!AK100/2_Utilité!AO100,0)</f>
        <v>0.214661573929169</v>
      </c>
      <c r="AL100" s="0" t="n">
        <f aca="false">IF(2_Utilité!AO100&gt;0,2_Utilité!AL100/2_Utilité!AO100,0)</f>
        <v>0.371024809410627</v>
      </c>
      <c r="AM100" s="48" t="n">
        <f aca="false">IF(2_Utilité!AO100&gt;0,2_Utilité!AM100/2_Utilité!AO100,0)</f>
        <v>0</v>
      </c>
      <c r="AN100" s="43" t="n">
        <f aca="false">IF(2_Utilité!AO100&gt;0,2_Utilité!AN100/2_Utilité!AO100,0)</f>
        <v>0</v>
      </c>
      <c r="AO100" s="43" t="n">
        <f aca="false">SUM(C100:AN100)</f>
        <v>1</v>
      </c>
      <c r="AP100" s="43" t="n">
        <f aca="false">COUNTIF(Matrice_OD!$C100:$AN100,"&lt;="&amp;Param!$B$2)</f>
        <v>6</v>
      </c>
    </row>
    <row r="101" customFormat="false" ht="15" hidden="false" customHeight="true" outlineLevel="0" collapsed="false">
      <c r="A101" s="0" t="s">
        <v>300</v>
      </c>
      <c r="B101" s="0" t="s">
        <v>301</v>
      </c>
      <c r="C101" s="0" t="n">
        <f aca="false">IF(2_Utilité!AO101&gt;0,2_Utilité!C101/2_Utilité!AO101,0)</f>
        <v>0</v>
      </c>
      <c r="D101" s="0" t="n">
        <f aca="false">IF(2_Utilité!AO101&gt;0,2_Utilité!D101/2_Utilité!AO101,0)</f>
        <v>0</v>
      </c>
      <c r="E101" s="0" t="n">
        <f aca="false">IF(2_Utilité!AO101&gt;0,2_Utilité!E101/2_Utilité!AO101,0)</f>
        <v>0</v>
      </c>
      <c r="F101" s="0" t="n">
        <f aca="false">IF(2_Utilité!AO101&gt;0,2_Utilité!F101/2_Utilité!AO101,0)</f>
        <v>0</v>
      </c>
      <c r="G101" s="0" t="n">
        <f aca="false">IF(2_Utilité!AO101&gt;0,2_Utilité!G101/2_Utilité!AO101,0)</f>
        <v>0</v>
      </c>
      <c r="H101" s="0" t="n">
        <f aca="false">IF(2_Utilité!AO101&gt;0,2_Utilité!H101/2_Utilité!AO101,0)</f>
        <v>0</v>
      </c>
      <c r="I101" s="0" t="n">
        <f aca="false">IF(2_Utilité!AO101&gt;0,2_Utilité!I101/2_Utilité!AO101,0)</f>
        <v>0</v>
      </c>
      <c r="J101" s="0" t="n">
        <f aca="false">IF(2_Utilité!AO101&gt;0,2_Utilité!J101/2_Utilité!AO101,0)</f>
        <v>0</v>
      </c>
      <c r="K101" s="0" t="n">
        <f aca="false">IF(2_Utilité!AO101&gt;0,2_Utilité!K101/2_Utilité!AO101,0)</f>
        <v>0</v>
      </c>
      <c r="L101" s="0" t="n">
        <f aca="false">IF(2_Utilité!AO101&gt;0,2_Utilité!L101/2_Utilité!AO101,0)</f>
        <v>0</v>
      </c>
      <c r="M101" s="0" t="n">
        <f aca="false">IF(2_Utilité!AO101&gt;0,2_Utilité!M101/2_Utilité!AO101,0)</f>
        <v>0</v>
      </c>
      <c r="N101" s="0" t="n">
        <f aca="false">IF(2_Utilité!AO101&gt;0,2_Utilité!N101/2_Utilité!AO101,0)</f>
        <v>0</v>
      </c>
      <c r="O101" s="0" t="n">
        <f aca="false">IF(2_Utilité!AO101&gt;0,2_Utilité!O101/2_Utilité!AO101,0)</f>
        <v>0</v>
      </c>
      <c r="P101" s="0" t="n">
        <f aca="false">IF(2_Utilité!AO101&gt;0,2_Utilité!P101/2_Utilité!AO101,0)</f>
        <v>0</v>
      </c>
      <c r="Q101" s="0" t="n">
        <f aca="false">IF(2_Utilité!AO101&gt;0,2_Utilité!Q101/2_Utilité!AO101,0)</f>
        <v>0</v>
      </c>
      <c r="R101" s="0" t="n">
        <f aca="false">IF(2_Utilité!AO101&gt;0,2_Utilité!R101/2_Utilité!AO101,0)</f>
        <v>0</v>
      </c>
      <c r="S101" s="0" t="n">
        <f aca="false">IF(2_Utilité!AO101&gt;0,2_Utilité!S101/2_Utilité!AO101,0)</f>
        <v>0</v>
      </c>
      <c r="T101" s="0" t="n">
        <f aca="false">IF(2_Utilité!AO101&gt;0,2_Utilité!T101/2_Utilité!AO101,0)</f>
        <v>0</v>
      </c>
      <c r="U101" s="0" t="n">
        <f aca="false">IF(2_Utilité!AO101&gt;0,2_Utilité!U101/2_Utilité!AO101,0)</f>
        <v>0.147803902439834</v>
      </c>
      <c r="V101" s="0" t="n">
        <f aca="false">IF(2_Utilité!AO101&gt;0,2_Utilité!V101/2_Utilité!AO101,0)</f>
        <v>0</v>
      </c>
      <c r="W101" s="0" t="n">
        <f aca="false">IF(2_Utilité!AO101&gt;0,2_Utilité!W101/2_Utilité!AO101,0)</f>
        <v>0</v>
      </c>
      <c r="X101" s="0" t="n">
        <f aca="false">IF(2_Utilité!AO101&gt;0,2_Utilité!X101/2_Utilité!AO101,0)</f>
        <v>0</v>
      </c>
      <c r="Y101" s="0" t="n">
        <f aca="false">IF(2_Utilité!AO101&gt;0,2_Utilité!Y101/2_Utilité!AO101,0)</f>
        <v>0</v>
      </c>
      <c r="Z101" s="0" t="n">
        <f aca="false">IF(2_Utilité!AO101&gt;0,2_Utilité!Z101/2_Utilité!AO101,0)</f>
        <v>0</v>
      </c>
      <c r="AA101" s="0" t="n">
        <f aca="false">IF(2_Utilité!AO101&gt;0,2_Utilité!AA101/2_Utilité!AO101,0)</f>
        <v>0</v>
      </c>
      <c r="AB101" s="0" t="n">
        <f aca="false">IF(2_Utilité!AO101&gt;0,2_Utilité!AB101/2_Utilité!AO101,0)</f>
        <v>0</v>
      </c>
      <c r="AC101" s="0" t="n">
        <f aca="false">IF(2_Utilité!AO101&gt;0,2_Utilité!AC101/2_Utilité!AO101,0)</f>
        <v>0.0325563459910024</v>
      </c>
      <c r="AD101" s="0" t="n">
        <f aca="false">IF(2_Utilité!AO101&gt;0,2_Utilité!AD101/2_Utilité!AO101,0)</f>
        <v>0.167757294212411</v>
      </c>
      <c r="AE101" s="0" t="n">
        <f aca="false">IF(2_Utilité!AO101&gt;0,2_Utilité!AE101/2_Utilité!AO101,0)</f>
        <v>0.1004954139266</v>
      </c>
      <c r="AF101" s="0" t="n">
        <f aca="false">IF(2_Utilité!AO101&gt;0,2_Utilité!AF101/2_Utilité!AO101,0)</f>
        <v>0.0634238410163051</v>
      </c>
      <c r="AG101" s="0" t="n">
        <f aca="false">IF(2_Utilité!AO101&gt;0,2_Utilité!AG101/2_Utilité!AO101,0)</f>
        <v>0</v>
      </c>
      <c r="AH101" s="0" t="n">
        <f aca="false">IF(2_Utilité!AO101&gt;0,2_Utilité!AH101/2_Utilité!AO101,0)</f>
        <v>0</v>
      </c>
      <c r="AI101" s="0" t="n">
        <f aca="false">IF(2_Utilité!AO101&gt;0,2_Utilité!AI101/2_Utilité!AO101,0)</f>
        <v>0</v>
      </c>
      <c r="AJ101" s="0" t="n">
        <f aca="false">IF(2_Utilité!AO101&gt;0,2_Utilité!AJ101/2_Utilité!AO101,0)</f>
        <v>0</v>
      </c>
      <c r="AK101" s="0" t="n">
        <f aca="false">IF(2_Utilité!AO101&gt;0,2_Utilité!AK101/2_Utilité!AO101,0)</f>
        <v>0.165748019311577</v>
      </c>
      <c r="AL101" s="0" t="n">
        <f aca="false">IF(2_Utilité!AO101&gt;0,2_Utilité!AL101/2_Utilité!AO101,0)</f>
        <v>0.322215183102271</v>
      </c>
      <c r="AM101" s="49" t="n">
        <f aca="false">IF(2_Utilité!AO101&gt;0,2_Utilité!AM101/2_Utilité!AO101,0)</f>
        <v>0</v>
      </c>
      <c r="AN101" s="43" t="n">
        <f aca="false">IF(2_Utilité!AO101&gt;0,2_Utilité!AN101/2_Utilité!AO101,0)</f>
        <v>0</v>
      </c>
      <c r="AO101" s="43" t="n">
        <f aca="false">SUM(C101:AN101)</f>
        <v>1</v>
      </c>
      <c r="AP101" s="43" t="n">
        <f aca="false">COUNTIF(Matrice_OD!$C101:$AN101,"&lt;="&amp;Param!$B$2)</f>
        <v>7</v>
      </c>
    </row>
    <row r="102" customFormat="false" ht="15" hidden="false" customHeight="true" outlineLevel="0" collapsed="false">
      <c r="A102" s="0" t="s">
        <v>302</v>
      </c>
      <c r="B102" s="0" t="s">
        <v>303</v>
      </c>
      <c r="C102" s="0" t="n">
        <f aca="false">IF(2_Utilité!AO102&gt;0,2_Utilité!C102/2_Utilité!AO102,0)</f>
        <v>0</v>
      </c>
      <c r="D102" s="0" t="n">
        <f aca="false">IF(2_Utilité!AO102&gt;0,2_Utilité!D102/2_Utilité!AO102,0)</f>
        <v>0</v>
      </c>
      <c r="E102" s="0" t="n">
        <f aca="false">IF(2_Utilité!AO102&gt;0,2_Utilité!E102/2_Utilité!AO102,0)</f>
        <v>0</v>
      </c>
      <c r="F102" s="0" t="n">
        <f aca="false">IF(2_Utilité!AO102&gt;0,2_Utilité!F102/2_Utilité!AO102,0)</f>
        <v>0</v>
      </c>
      <c r="G102" s="0" t="n">
        <f aca="false">IF(2_Utilité!AO102&gt;0,2_Utilité!G102/2_Utilité!AO102,0)</f>
        <v>0</v>
      </c>
      <c r="H102" s="0" t="n">
        <f aca="false">IF(2_Utilité!AO102&gt;0,2_Utilité!H102/2_Utilité!AO102,0)</f>
        <v>0</v>
      </c>
      <c r="I102" s="0" t="n">
        <f aca="false">IF(2_Utilité!AO102&gt;0,2_Utilité!I102/2_Utilité!AO102,0)</f>
        <v>0</v>
      </c>
      <c r="J102" s="0" t="n">
        <f aca="false">IF(2_Utilité!AO102&gt;0,2_Utilité!J102/2_Utilité!AO102,0)</f>
        <v>0</v>
      </c>
      <c r="K102" s="0" t="n">
        <f aca="false">IF(2_Utilité!AO102&gt;0,2_Utilité!K102/2_Utilité!AO102,0)</f>
        <v>0</v>
      </c>
      <c r="L102" s="0" t="n">
        <f aca="false">IF(2_Utilité!AO102&gt;0,2_Utilité!L102/2_Utilité!AO102,0)</f>
        <v>0</v>
      </c>
      <c r="M102" s="0" t="n">
        <f aca="false">IF(2_Utilité!AO102&gt;0,2_Utilité!M102/2_Utilité!AO102,0)</f>
        <v>0</v>
      </c>
      <c r="N102" s="0" t="n">
        <f aca="false">IF(2_Utilité!AO102&gt;0,2_Utilité!N102/2_Utilité!AO102,0)</f>
        <v>0</v>
      </c>
      <c r="O102" s="0" t="n">
        <f aca="false">IF(2_Utilité!AO102&gt;0,2_Utilité!O102/2_Utilité!AO102,0)</f>
        <v>0</v>
      </c>
      <c r="P102" s="0" t="n">
        <f aca="false">IF(2_Utilité!AO102&gt;0,2_Utilité!P102/2_Utilité!AO102,0)</f>
        <v>0</v>
      </c>
      <c r="Q102" s="0" t="n">
        <f aca="false">IF(2_Utilité!AO102&gt;0,2_Utilité!Q102/2_Utilité!AO102,0)</f>
        <v>0</v>
      </c>
      <c r="R102" s="0" t="n">
        <f aca="false">IF(2_Utilité!AO102&gt;0,2_Utilité!R102/2_Utilité!AO102,0)</f>
        <v>0</v>
      </c>
      <c r="S102" s="0" t="n">
        <f aca="false">IF(2_Utilité!AO102&gt;0,2_Utilité!S102/2_Utilité!AO102,0)</f>
        <v>0</v>
      </c>
      <c r="T102" s="0" t="n">
        <f aca="false">IF(2_Utilité!AO102&gt;0,2_Utilité!T102/2_Utilité!AO102,0)</f>
        <v>0</v>
      </c>
      <c r="U102" s="0" t="n">
        <f aca="false">IF(2_Utilité!AO102&gt;0,2_Utilité!U102/2_Utilité!AO102,0)</f>
        <v>1</v>
      </c>
      <c r="V102" s="0" t="n">
        <f aca="false">IF(2_Utilité!AO102&gt;0,2_Utilité!V102/2_Utilité!AO102,0)</f>
        <v>0</v>
      </c>
      <c r="W102" s="0" t="n">
        <f aca="false">IF(2_Utilité!AO102&gt;0,2_Utilité!W102/2_Utilité!AO102,0)</f>
        <v>0</v>
      </c>
      <c r="X102" s="0" t="n">
        <f aca="false">IF(2_Utilité!AO102&gt;0,2_Utilité!X102/2_Utilité!AO102,0)</f>
        <v>0</v>
      </c>
      <c r="Y102" s="0" t="n">
        <f aca="false">IF(2_Utilité!AO102&gt;0,2_Utilité!Y102/2_Utilité!AO102,0)</f>
        <v>0</v>
      </c>
      <c r="Z102" s="0" t="n">
        <f aca="false">IF(2_Utilité!AO102&gt;0,2_Utilité!Z102/2_Utilité!AO102,0)</f>
        <v>0</v>
      </c>
      <c r="AA102" s="0" t="n">
        <f aca="false">IF(2_Utilité!AO102&gt;0,2_Utilité!AA102/2_Utilité!AO102,0)</f>
        <v>0</v>
      </c>
      <c r="AB102" s="0" t="n">
        <f aca="false">IF(2_Utilité!AO102&gt;0,2_Utilité!AB102/2_Utilité!AO102,0)</f>
        <v>0</v>
      </c>
      <c r="AC102" s="0" t="n">
        <f aca="false">IF(2_Utilité!AO102&gt;0,2_Utilité!AC102/2_Utilité!AO102,0)</f>
        <v>0</v>
      </c>
      <c r="AD102" s="0" t="n">
        <f aca="false">IF(2_Utilité!AO102&gt;0,2_Utilité!AD102/2_Utilité!AO102,0)</f>
        <v>0</v>
      </c>
      <c r="AE102" s="0" t="n">
        <f aca="false">IF(2_Utilité!AO102&gt;0,2_Utilité!AE102/2_Utilité!AO102,0)</f>
        <v>0</v>
      </c>
      <c r="AF102" s="0" t="n">
        <f aca="false">IF(2_Utilité!AO102&gt;0,2_Utilité!AF102/2_Utilité!AO102,0)</f>
        <v>0</v>
      </c>
      <c r="AG102" s="0" t="n">
        <f aca="false">IF(2_Utilité!AO102&gt;0,2_Utilité!AG102/2_Utilité!AO102,0)</f>
        <v>0</v>
      </c>
      <c r="AH102" s="0" t="n">
        <f aca="false">IF(2_Utilité!AO102&gt;0,2_Utilité!AH102/2_Utilité!AO102,0)</f>
        <v>0</v>
      </c>
      <c r="AI102" s="0" t="n">
        <f aca="false">IF(2_Utilité!AO102&gt;0,2_Utilité!AI102/2_Utilité!AO102,0)</f>
        <v>0</v>
      </c>
      <c r="AJ102" s="0" t="n">
        <f aca="false">IF(2_Utilité!AO102&gt;0,2_Utilité!AJ102/2_Utilité!AO102,0)</f>
        <v>0</v>
      </c>
      <c r="AK102" s="0" t="n">
        <f aca="false">IF(2_Utilité!AO102&gt;0,2_Utilité!AK102/2_Utilité!AO102,0)</f>
        <v>0</v>
      </c>
      <c r="AL102" s="0" t="n">
        <f aca="false">IF(2_Utilité!AO102&gt;0,2_Utilité!AL102/2_Utilité!AO102,0)</f>
        <v>0</v>
      </c>
      <c r="AM102" s="48" t="n">
        <f aca="false">IF(2_Utilité!AO102&gt;0,2_Utilité!AM102/2_Utilité!AO102,0)</f>
        <v>0</v>
      </c>
      <c r="AN102" s="43" t="n">
        <f aca="false">IF(2_Utilité!AO102&gt;0,2_Utilité!AN102/2_Utilité!AO102,0)</f>
        <v>0</v>
      </c>
      <c r="AO102" s="43" t="n">
        <f aca="false">SUM(C102:AN102)</f>
        <v>1</v>
      </c>
      <c r="AP102" s="43" t="n">
        <f aca="false">COUNTIF(Matrice_OD!$C102:$AN102,"&lt;="&amp;Param!$B$2)</f>
        <v>1</v>
      </c>
    </row>
    <row r="103" customFormat="false" ht="15" hidden="false" customHeight="true" outlineLevel="0" collapsed="false">
      <c r="A103" s="0" t="s">
        <v>304</v>
      </c>
      <c r="B103" s="0" t="s">
        <v>305</v>
      </c>
      <c r="C103" s="0" t="n">
        <f aca="false">IF(2_Utilité!AO103&gt;0,2_Utilité!C103/2_Utilité!AO103,0)</f>
        <v>0</v>
      </c>
      <c r="D103" s="0" t="n">
        <f aca="false">IF(2_Utilité!AO103&gt;0,2_Utilité!D103/2_Utilité!AO103,0)</f>
        <v>0</v>
      </c>
      <c r="E103" s="0" t="n">
        <f aca="false">IF(2_Utilité!AO103&gt;0,2_Utilité!E103/2_Utilité!AO103,0)</f>
        <v>0</v>
      </c>
      <c r="F103" s="0" t="n">
        <f aca="false">IF(2_Utilité!AO103&gt;0,2_Utilité!F103/2_Utilité!AO103,0)</f>
        <v>0</v>
      </c>
      <c r="G103" s="0" t="n">
        <f aca="false">IF(2_Utilité!AO103&gt;0,2_Utilité!G103/2_Utilité!AO103,0)</f>
        <v>0</v>
      </c>
      <c r="H103" s="0" t="n">
        <f aca="false">IF(2_Utilité!AO103&gt;0,2_Utilité!H103/2_Utilité!AO103,0)</f>
        <v>0</v>
      </c>
      <c r="I103" s="0" t="n">
        <f aca="false">IF(2_Utilité!AO103&gt;0,2_Utilité!I103/2_Utilité!AO103,0)</f>
        <v>0</v>
      </c>
      <c r="J103" s="0" t="n">
        <f aca="false">IF(2_Utilité!AO103&gt;0,2_Utilité!J103/2_Utilité!AO103,0)</f>
        <v>0</v>
      </c>
      <c r="K103" s="0" t="n">
        <f aca="false">IF(2_Utilité!AO103&gt;0,2_Utilité!K103/2_Utilité!AO103,0)</f>
        <v>0</v>
      </c>
      <c r="L103" s="0" t="n">
        <f aca="false">IF(2_Utilité!AO103&gt;0,2_Utilité!L103/2_Utilité!AO103,0)</f>
        <v>0</v>
      </c>
      <c r="M103" s="0" t="n">
        <f aca="false">IF(2_Utilité!AO103&gt;0,2_Utilité!M103/2_Utilité!AO103,0)</f>
        <v>0</v>
      </c>
      <c r="N103" s="0" t="n">
        <f aca="false">IF(2_Utilité!AO103&gt;0,2_Utilité!N103/2_Utilité!AO103,0)</f>
        <v>0</v>
      </c>
      <c r="O103" s="0" t="n">
        <f aca="false">IF(2_Utilité!AO103&gt;0,2_Utilité!O103/2_Utilité!AO103,0)</f>
        <v>0</v>
      </c>
      <c r="P103" s="0" t="n">
        <f aca="false">IF(2_Utilité!AO103&gt;0,2_Utilité!P103/2_Utilité!AO103,0)</f>
        <v>0</v>
      </c>
      <c r="Q103" s="0" t="n">
        <f aca="false">IF(2_Utilité!AO103&gt;0,2_Utilité!Q103/2_Utilité!AO103,0)</f>
        <v>0</v>
      </c>
      <c r="R103" s="0" t="n">
        <f aca="false">IF(2_Utilité!AO103&gt;0,2_Utilité!R103/2_Utilité!AO103,0)</f>
        <v>0</v>
      </c>
      <c r="S103" s="0" t="n">
        <f aca="false">IF(2_Utilité!AO103&gt;0,2_Utilité!S103/2_Utilité!AO103,0)</f>
        <v>0</v>
      </c>
      <c r="T103" s="0" t="n">
        <f aca="false">IF(2_Utilité!AO103&gt;0,2_Utilité!T103/2_Utilité!AO103,0)</f>
        <v>0</v>
      </c>
      <c r="U103" s="0" t="n">
        <f aca="false">IF(2_Utilité!AO103&gt;0,2_Utilité!U103/2_Utilité!AO103,0)</f>
        <v>1</v>
      </c>
      <c r="V103" s="0" t="n">
        <f aca="false">IF(2_Utilité!AO103&gt;0,2_Utilité!V103/2_Utilité!AO103,0)</f>
        <v>0</v>
      </c>
      <c r="W103" s="0" t="n">
        <f aca="false">IF(2_Utilité!AO103&gt;0,2_Utilité!W103/2_Utilité!AO103,0)</f>
        <v>0</v>
      </c>
      <c r="X103" s="0" t="n">
        <f aca="false">IF(2_Utilité!AO103&gt;0,2_Utilité!X103/2_Utilité!AO103,0)</f>
        <v>0</v>
      </c>
      <c r="Y103" s="0" t="n">
        <f aca="false">IF(2_Utilité!AO103&gt;0,2_Utilité!Y103/2_Utilité!AO103,0)</f>
        <v>0</v>
      </c>
      <c r="Z103" s="0" t="n">
        <f aca="false">IF(2_Utilité!AO103&gt;0,2_Utilité!Z103/2_Utilité!AO103,0)</f>
        <v>0</v>
      </c>
      <c r="AA103" s="0" t="n">
        <f aca="false">IF(2_Utilité!AO103&gt;0,2_Utilité!AA103/2_Utilité!AO103,0)</f>
        <v>0</v>
      </c>
      <c r="AB103" s="0" t="n">
        <f aca="false">IF(2_Utilité!AO103&gt;0,2_Utilité!AB103/2_Utilité!AO103,0)</f>
        <v>0</v>
      </c>
      <c r="AC103" s="0" t="n">
        <f aca="false">IF(2_Utilité!AO103&gt;0,2_Utilité!AC103/2_Utilité!AO103,0)</f>
        <v>0</v>
      </c>
      <c r="AD103" s="0" t="n">
        <f aca="false">IF(2_Utilité!AO103&gt;0,2_Utilité!AD103/2_Utilité!AO103,0)</f>
        <v>0</v>
      </c>
      <c r="AE103" s="0" t="n">
        <f aca="false">IF(2_Utilité!AO103&gt;0,2_Utilité!AE103/2_Utilité!AO103,0)</f>
        <v>0</v>
      </c>
      <c r="AF103" s="0" t="n">
        <f aca="false">IF(2_Utilité!AO103&gt;0,2_Utilité!AF103/2_Utilité!AO103,0)</f>
        <v>0</v>
      </c>
      <c r="AG103" s="0" t="n">
        <f aca="false">IF(2_Utilité!AO103&gt;0,2_Utilité!AG103/2_Utilité!AO103,0)</f>
        <v>0</v>
      </c>
      <c r="AH103" s="0" t="n">
        <f aca="false">IF(2_Utilité!AO103&gt;0,2_Utilité!AH103/2_Utilité!AO103,0)</f>
        <v>0</v>
      </c>
      <c r="AI103" s="0" t="n">
        <f aca="false">IF(2_Utilité!AO103&gt;0,2_Utilité!AI103/2_Utilité!AO103,0)</f>
        <v>0</v>
      </c>
      <c r="AJ103" s="0" t="n">
        <f aca="false">IF(2_Utilité!AO103&gt;0,2_Utilité!AJ103/2_Utilité!AO103,0)</f>
        <v>0</v>
      </c>
      <c r="AK103" s="0" t="n">
        <f aca="false">IF(2_Utilité!AO103&gt;0,2_Utilité!AK103/2_Utilité!AO103,0)</f>
        <v>0</v>
      </c>
      <c r="AL103" s="0" t="n">
        <f aca="false">IF(2_Utilité!AO103&gt;0,2_Utilité!AL103/2_Utilité!AO103,0)</f>
        <v>0</v>
      </c>
      <c r="AM103" s="49" t="n">
        <f aca="false">IF(2_Utilité!AO103&gt;0,2_Utilité!AM103/2_Utilité!AO103,0)</f>
        <v>0</v>
      </c>
      <c r="AN103" s="43" t="n">
        <f aca="false">IF(2_Utilité!AO103&gt;0,2_Utilité!AN103/2_Utilité!AO103,0)</f>
        <v>0</v>
      </c>
      <c r="AO103" s="43" t="n">
        <f aca="false">SUM(C103:AN103)</f>
        <v>1</v>
      </c>
      <c r="AP103" s="43" t="n">
        <f aca="false">COUNTIF(Matrice_OD!$C103:$AN103,"&lt;="&amp;Param!$B$2)</f>
        <v>1</v>
      </c>
    </row>
    <row r="104" customFormat="false" ht="15" hidden="false" customHeight="true" outlineLevel="0" collapsed="false">
      <c r="A104" s="0" t="s">
        <v>306</v>
      </c>
      <c r="B104" s="0" t="s">
        <v>307</v>
      </c>
      <c r="C104" s="0" t="n">
        <f aca="false">IF(2_Utilité!AO104&gt;0,2_Utilité!C104/2_Utilité!AO104,0)</f>
        <v>0</v>
      </c>
      <c r="D104" s="0" t="n">
        <f aca="false">IF(2_Utilité!AO104&gt;0,2_Utilité!D104/2_Utilité!AO104,0)</f>
        <v>0</v>
      </c>
      <c r="E104" s="0" t="n">
        <f aca="false">IF(2_Utilité!AO104&gt;0,2_Utilité!E104/2_Utilité!AO104,0)</f>
        <v>0</v>
      </c>
      <c r="F104" s="0" t="n">
        <f aca="false">IF(2_Utilité!AO104&gt;0,2_Utilité!F104/2_Utilité!AO104,0)</f>
        <v>0</v>
      </c>
      <c r="G104" s="0" t="n">
        <f aca="false">IF(2_Utilité!AO104&gt;0,2_Utilité!G104/2_Utilité!AO104,0)</f>
        <v>0</v>
      </c>
      <c r="H104" s="0" t="n">
        <f aca="false">IF(2_Utilité!AO104&gt;0,2_Utilité!H104/2_Utilité!AO104,0)</f>
        <v>0</v>
      </c>
      <c r="I104" s="0" t="n">
        <f aca="false">IF(2_Utilité!AO104&gt;0,2_Utilité!I104/2_Utilité!AO104,0)</f>
        <v>0</v>
      </c>
      <c r="J104" s="0" t="n">
        <f aca="false">IF(2_Utilité!AO104&gt;0,2_Utilité!J104/2_Utilité!AO104,0)</f>
        <v>0</v>
      </c>
      <c r="K104" s="0" t="n">
        <f aca="false">IF(2_Utilité!AO104&gt;0,2_Utilité!K104/2_Utilité!AO104,0)</f>
        <v>0</v>
      </c>
      <c r="L104" s="0" t="n">
        <f aca="false">IF(2_Utilité!AO104&gt;0,2_Utilité!L104/2_Utilité!AO104,0)</f>
        <v>0</v>
      </c>
      <c r="M104" s="0" t="n">
        <f aca="false">IF(2_Utilité!AO104&gt;0,2_Utilité!M104/2_Utilité!AO104,0)</f>
        <v>0</v>
      </c>
      <c r="N104" s="0" t="n">
        <f aca="false">IF(2_Utilité!AO104&gt;0,2_Utilité!N104/2_Utilité!AO104,0)</f>
        <v>0</v>
      </c>
      <c r="O104" s="0" t="n">
        <f aca="false">IF(2_Utilité!AO104&gt;0,2_Utilité!O104/2_Utilité!AO104,0)</f>
        <v>0</v>
      </c>
      <c r="P104" s="0" t="n">
        <f aca="false">IF(2_Utilité!AO104&gt;0,2_Utilité!P104/2_Utilité!AO104,0)</f>
        <v>0</v>
      </c>
      <c r="Q104" s="0" t="n">
        <f aca="false">IF(2_Utilité!AO104&gt;0,2_Utilité!Q104/2_Utilité!AO104,0)</f>
        <v>0</v>
      </c>
      <c r="R104" s="0" t="n">
        <f aca="false">IF(2_Utilité!AO104&gt;0,2_Utilité!R104/2_Utilité!AO104,0)</f>
        <v>0</v>
      </c>
      <c r="S104" s="0" t="n">
        <f aca="false">IF(2_Utilité!AO104&gt;0,2_Utilité!S104/2_Utilité!AO104,0)</f>
        <v>0</v>
      </c>
      <c r="T104" s="0" t="n">
        <f aca="false">IF(2_Utilité!AO104&gt;0,2_Utilité!T104/2_Utilité!AO104,0)</f>
        <v>0</v>
      </c>
      <c r="U104" s="0" t="n">
        <f aca="false">IF(2_Utilité!AO104&gt;0,2_Utilité!U104/2_Utilité!AO104,0)</f>
        <v>0</v>
      </c>
      <c r="V104" s="0" t="n">
        <f aca="false">IF(2_Utilité!AO104&gt;0,2_Utilité!V104/2_Utilité!AO104,0)</f>
        <v>0</v>
      </c>
      <c r="W104" s="0" t="n">
        <f aca="false">IF(2_Utilité!AO104&gt;0,2_Utilité!W104/2_Utilité!AO104,0)</f>
        <v>0</v>
      </c>
      <c r="X104" s="0" t="n">
        <f aca="false">IF(2_Utilité!AO104&gt;0,2_Utilité!X104/2_Utilité!AO104,0)</f>
        <v>0</v>
      </c>
      <c r="Y104" s="0" t="n">
        <f aca="false">IF(2_Utilité!AO104&gt;0,2_Utilité!Y104/2_Utilité!AO104,0)</f>
        <v>0</v>
      </c>
      <c r="Z104" s="0" t="n">
        <f aca="false">IF(2_Utilité!AO104&gt;0,2_Utilité!Z104/2_Utilité!AO104,0)</f>
        <v>0</v>
      </c>
      <c r="AA104" s="0" t="n">
        <f aca="false">IF(2_Utilité!AO104&gt;0,2_Utilité!AA104/2_Utilité!AO104,0)</f>
        <v>0</v>
      </c>
      <c r="AB104" s="0" t="n">
        <f aca="false">IF(2_Utilité!AO104&gt;0,2_Utilité!AB104/2_Utilité!AO104,0)</f>
        <v>0</v>
      </c>
      <c r="AC104" s="0" t="n">
        <f aca="false">IF(2_Utilité!AO104&gt;0,2_Utilité!AC104/2_Utilité!AO104,0)</f>
        <v>0.0323762629201461</v>
      </c>
      <c r="AD104" s="0" t="n">
        <f aca="false">IF(2_Utilité!AO104&gt;0,2_Utilité!AD104/2_Utilité!AO104,0)</f>
        <v>0.165356704723482</v>
      </c>
      <c r="AE104" s="0" t="n">
        <f aca="false">IF(2_Utilité!AO104&gt;0,2_Utilité!AE104/2_Utilité!AO104,0)</f>
        <v>0.101944384063643</v>
      </c>
      <c r="AF104" s="0" t="n">
        <f aca="false">IF(2_Utilité!AO104&gt;0,2_Utilité!AF104/2_Utilité!AO104,0)</f>
        <v>0.0675889195426677</v>
      </c>
      <c r="AG104" s="0" t="n">
        <f aca="false">IF(2_Utilité!AO104&gt;0,2_Utilité!AG104/2_Utilité!AO104,0)</f>
        <v>0</v>
      </c>
      <c r="AH104" s="0" t="n">
        <f aca="false">IF(2_Utilité!AO104&gt;0,2_Utilité!AH104/2_Utilité!AO104,0)</f>
        <v>0</v>
      </c>
      <c r="AI104" s="0" t="n">
        <f aca="false">IF(2_Utilité!AO104&gt;0,2_Utilité!AI104/2_Utilité!AO104,0)</f>
        <v>0</v>
      </c>
      <c r="AJ104" s="0" t="n">
        <f aca="false">IF(2_Utilité!AO104&gt;0,2_Utilité!AJ104/2_Utilité!AO104,0)</f>
        <v>0</v>
      </c>
      <c r="AK104" s="0" t="n">
        <f aca="false">IF(2_Utilité!AO104&gt;0,2_Utilité!AK104/2_Utilité!AO104,0)</f>
        <v>0.311688953070379</v>
      </c>
      <c r="AL104" s="0" t="n">
        <f aca="false">IF(2_Utilité!AO104&gt;0,2_Utilité!AL104/2_Utilité!AO104,0)</f>
        <v>0.321044775679682</v>
      </c>
      <c r="AM104" s="48" t="n">
        <f aca="false">IF(2_Utilité!AO104&gt;0,2_Utilité!AM104/2_Utilité!AO104,0)</f>
        <v>0</v>
      </c>
      <c r="AN104" s="43" t="n">
        <f aca="false">IF(2_Utilité!AO104&gt;0,2_Utilité!AN104/2_Utilité!AO104,0)</f>
        <v>0</v>
      </c>
      <c r="AO104" s="43" t="n">
        <f aca="false">SUM(C104:AN104)</f>
        <v>1</v>
      </c>
      <c r="AP104" s="43" t="n">
        <f aca="false">COUNTIF(Matrice_OD!$C104:$AN104,"&lt;="&amp;Param!$B$2)</f>
        <v>6</v>
      </c>
    </row>
    <row r="105" customFormat="false" ht="15" hidden="false" customHeight="true" outlineLevel="0" collapsed="false">
      <c r="A105" s="0" t="s">
        <v>308</v>
      </c>
      <c r="B105" s="0" t="s">
        <v>309</v>
      </c>
      <c r="C105" s="0" t="n">
        <f aca="false">IF(2_Utilité!AO105&gt;0,2_Utilité!C105/2_Utilité!AO105,0)</f>
        <v>0</v>
      </c>
      <c r="D105" s="0" t="n">
        <f aca="false">IF(2_Utilité!AO105&gt;0,2_Utilité!D105/2_Utilité!AO105,0)</f>
        <v>0</v>
      </c>
      <c r="E105" s="0" t="n">
        <f aca="false">IF(2_Utilité!AO105&gt;0,2_Utilité!E105/2_Utilité!AO105,0)</f>
        <v>0</v>
      </c>
      <c r="F105" s="0" t="n">
        <f aca="false">IF(2_Utilité!AO105&gt;0,2_Utilité!F105/2_Utilité!AO105,0)</f>
        <v>0</v>
      </c>
      <c r="G105" s="0" t="n">
        <f aca="false">IF(2_Utilité!AO105&gt;0,2_Utilité!G105/2_Utilité!AO105,0)</f>
        <v>0</v>
      </c>
      <c r="H105" s="0" t="n">
        <f aca="false">IF(2_Utilité!AO105&gt;0,2_Utilité!H105/2_Utilité!AO105,0)</f>
        <v>0</v>
      </c>
      <c r="I105" s="0" t="n">
        <f aca="false">IF(2_Utilité!AO105&gt;0,2_Utilité!I105/2_Utilité!AO105,0)</f>
        <v>0</v>
      </c>
      <c r="J105" s="0" t="n">
        <f aca="false">IF(2_Utilité!AO105&gt;0,2_Utilité!J105/2_Utilité!AO105,0)</f>
        <v>0</v>
      </c>
      <c r="K105" s="0" t="n">
        <f aca="false">IF(2_Utilité!AO105&gt;0,2_Utilité!K105/2_Utilité!AO105,0)</f>
        <v>0</v>
      </c>
      <c r="L105" s="0" t="n">
        <f aca="false">IF(2_Utilité!AO105&gt;0,2_Utilité!L105/2_Utilité!AO105,0)</f>
        <v>0</v>
      </c>
      <c r="M105" s="0" t="n">
        <f aca="false">IF(2_Utilité!AO105&gt;0,2_Utilité!M105/2_Utilité!AO105,0)</f>
        <v>0</v>
      </c>
      <c r="N105" s="0" t="n">
        <f aca="false">IF(2_Utilité!AO105&gt;0,2_Utilité!N105/2_Utilité!AO105,0)</f>
        <v>0</v>
      </c>
      <c r="O105" s="0" t="n">
        <f aca="false">IF(2_Utilité!AO105&gt;0,2_Utilité!O105/2_Utilité!AO105,0)</f>
        <v>0</v>
      </c>
      <c r="P105" s="0" t="n">
        <f aca="false">IF(2_Utilité!AO105&gt;0,2_Utilité!P105/2_Utilité!AO105,0)</f>
        <v>0</v>
      </c>
      <c r="Q105" s="0" t="n">
        <f aca="false">IF(2_Utilité!AO105&gt;0,2_Utilité!Q105/2_Utilité!AO105,0)</f>
        <v>0</v>
      </c>
      <c r="R105" s="0" t="n">
        <f aca="false">IF(2_Utilité!AO105&gt;0,2_Utilité!R105/2_Utilité!AO105,0)</f>
        <v>0</v>
      </c>
      <c r="S105" s="0" t="n">
        <f aca="false">IF(2_Utilité!AO105&gt;0,2_Utilité!S105/2_Utilité!AO105,0)</f>
        <v>0</v>
      </c>
      <c r="T105" s="0" t="n">
        <f aca="false">IF(2_Utilité!AO105&gt;0,2_Utilité!T105/2_Utilité!AO105,0)</f>
        <v>0</v>
      </c>
      <c r="U105" s="0" t="n">
        <f aca="false">IF(2_Utilité!AO105&gt;0,2_Utilité!U105/2_Utilité!AO105,0)</f>
        <v>0</v>
      </c>
      <c r="V105" s="0" t="n">
        <f aca="false">IF(2_Utilité!AO105&gt;0,2_Utilité!V105/2_Utilité!AO105,0)</f>
        <v>0</v>
      </c>
      <c r="W105" s="0" t="n">
        <f aca="false">IF(2_Utilité!AO105&gt;0,2_Utilité!W105/2_Utilité!AO105,0)</f>
        <v>0</v>
      </c>
      <c r="X105" s="0" t="n">
        <f aca="false">IF(2_Utilité!AO105&gt;0,2_Utilité!X105/2_Utilité!AO105,0)</f>
        <v>0</v>
      </c>
      <c r="Y105" s="0" t="n">
        <f aca="false">IF(2_Utilité!AO105&gt;0,2_Utilité!Y105/2_Utilité!AO105,0)</f>
        <v>0</v>
      </c>
      <c r="Z105" s="0" t="n">
        <f aca="false">IF(2_Utilité!AO105&gt;0,2_Utilité!Z105/2_Utilité!AO105,0)</f>
        <v>0</v>
      </c>
      <c r="AA105" s="0" t="n">
        <f aca="false">IF(2_Utilité!AO105&gt;0,2_Utilité!AA105/2_Utilité!AO105,0)</f>
        <v>0</v>
      </c>
      <c r="AB105" s="0" t="n">
        <f aca="false">IF(2_Utilité!AO105&gt;0,2_Utilité!AB105/2_Utilité!AO105,0)</f>
        <v>0</v>
      </c>
      <c r="AC105" s="0" t="n">
        <f aca="false">IF(2_Utilité!AO105&gt;0,2_Utilité!AC105/2_Utilité!AO105,0)</f>
        <v>0.0333849042569932</v>
      </c>
      <c r="AD105" s="0" t="n">
        <f aca="false">IF(2_Utilité!AO105&gt;0,2_Utilité!AD105/2_Utilité!AO105,0)</f>
        <v>0.170860712666141</v>
      </c>
      <c r="AE105" s="0" t="n">
        <f aca="false">IF(2_Utilité!AO105&gt;0,2_Utilité!AE105/2_Utilité!AO105,0)</f>
        <v>0.105618586927853</v>
      </c>
      <c r="AF105" s="0" t="n">
        <f aca="false">IF(2_Utilité!AO105&gt;0,2_Utilité!AF105/2_Utilité!AO105,0)</f>
        <v>0.0699868587155471</v>
      </c>
      <c r="AG105" s="0" t="n">
        <f aca="false">IF(2_Utilité!AO105&gt;0,2_Utilité!AG105/2_Utilité!AO105,0)</f>
        <v>0</v>
      </c>
      <c r="AH105" s="0" t="n">
        <f aca="false">IF(2_Utilité!AO105&gt;0,2_Utilité!AH105/2_Utilité!AO105,0)</f>
        <v>0</v>
      </c>
      <c r="AI105" s="0" t="n">
        <f aca="false">IF(2_Utilité!AO105&gt;0,2_Utilité!AI105/2_Utilité!AO105,0)</f>
        <v>0</v>
      </c>
      <c r="AJ105" s="0" t="n">
        <f aca="false">IF(2_Utilité!AO105&gt;0,2_Utilité!AJ105/2_Utilité!AO105,0)</f>
        <v>0</v>
      </c>
      <c r="AK105" s="0" t="n">
        <f aca="false">IF(2_Utilité!AO105&gt;0,2_Utilité!AK105/2_Utilité!AO105,0)</f>
        <v>0.289780345478185</v>
      </c>
      <c r="AL105" s="0" t="n">
        <f aca="false">IF(2_Utilité!AO105&gt;0,2_Utilité!AL105/2_Utilité!AO105,0)</f>
        <v>0.330368591955281</v>
      </c>
      <c r="AM105" s="49" t="n">
        <f aca="false">IF(2_Utilité!AO105&gt;0,2_Utilité!AM105/2_Utilité!AO105,0)</f>
        <v>0</v>
      </c>
      <c r="AN105" s="43" t="n">
        <f aca="false">IF(2_Utilité!AO105&gt;0,2_Utilité!AN105/2_Utilité!AO105,0)</f>
        <v>0</v>
      </c>
      <c r="AO105" s="43" t="n">
        <f aca="false">SUM(C105:AN105)</f>
        <v>1</v>
      </c>
      <c r="AP105" s="43" t="n">
        <f aca="false">COUNTIF(Matrice_OD!$C105:$AN105,"&lt;="&amp;Param!$B$2)</f>
        <v>6</v>
      </c>
    </row>
    <row r="106" customFormat="false" ht="15" hidden="false" customHeight="true" outlineLevel="0" collapsed="false">
      <c r="A106" s="0" t="s">
        <v>310</v>
      </c>
      <c r="B106" s="0" t="s">
        <v>311</v>
      </c>
      <c r="C106" s="0" t="n">
        <f aca="false">IF(2_Utilité!AO106&gt;0,2_Utilité!C106/2_Utilité!AO106,0)</f>
        <v>0.00281017611589261</v>
      </c>
      <c r="D106" s="0" t="n">
        <f aca="false">IF(2_Utilité!AO106&gt;0,2_Utilité!D106/2_Utilité!AO106,0)</f>
        <v>0.00107046767073066</v>
      </c>
      <c r="E106" s="0" t="n">
        <f aca="false">IF(2_Utilité!AO106&gt;0,2_Utilité!E106/2_Utilité!AO106,0)</f>
        <v>0.0105879508637522</v>
      </c>
      <c r="F106" s="0" t="n">
        <f aca="false">IF(2_Utilité!AO106&gt;0,2_Utilité!F106/2_Utilité!AO106,0)</f>
        <v>0.0019512920151468</v>
      </c>
      <c r="G106" s="0" t="n">
        <f aca="false">IF(2_Utilité!AO106&gt;0,2_Utilité!G106/2_Utilité!AO106,0)</f>
        <v>0.00515207837146943</v>
      </c>
      <c r="H106" s="0" t="n">
        <f aca="false">IF(2_Utilité!AO106&gt;0,2_Utilité!H106/2_Utilité!AO106,0)</f>
        <v>0.00149288630872621</v>
      </c>
      <c r="I106" s="0" t="n">
        <f aca="false">IF(2_Utilité!AO106&gt;0,2_Utilité!I106/2_Utilité!AO106,0)</f>
        <v>0.00295390929953777</v>
      </c>
      <c r="J106" s="0" t="n">
        <f aca="false">IF(2_Utilité!AO106&gt;0,2_Utilité!J106/2_Utilité!AO106,0)</f>
        <v>0.00226067602347548</v>
      </c>
      <c r="K106" s="0" t="n">
        <f aca="false">IF(2_Utilité!AO106&gt;0,2_Utilité!K106/2_Utilité!AO106,0)</f>
        <v>0.00139054180290566</v>
      </c>
      <c r="L106" s="0" t="n">
        <f aca="false">IF(2_Utilité!AO106&gt;0,2_Utilité!L106/2_Utilité!AO106,0)</f>
        <v>0.00148065053474816</v>
      </c>
      <c r="M106" s="0" t="n">
        <f aca="false">IF(2_Utilité!AO106&gt;0,2_Utilité!M106/2_Utilité!AO106,0)</f>
        <v>0.00864144425659421</v>
      </c>
      <c r="N106" s="0" t="n">
        <f aca="false">IF(2_Utilité!AO106&gt;0,2_Utilité!N106/2_Utilité!AO106,0)</f>
        <v>0.00107590021404564</v>
      </c>
      <c r="O106" s="0" t="n">
        <f aca="false">IF(2_Utilité!AO106&gt;0,2_Utilité!O106/2_Utilité!AO106,0)</f>
        <v>0.00334413953469785</v>
      </c>
      <c r="P106" s="0" t="n">
        <f aca="false">IF(2_Utilité!AO106&gt;0,2_Utilité!P106/2_Utilité!AO106,0)</f>
        <v>0.00161209406194612</v>
      </c>
      <c r="Q106" s="0" t="n">
        <f aca="false">IF(2_Utilité!AO106&gt;0,2_Utilité!Q106/2_Utilité!AO106,0)</f>
        <v>0.0138237163762549</v>
      </c>
      <c r="R106" s="0" t="n">
        <f aca="false">IF(2_Utilité!AO106&gt;0,2_Utilité!R106/2_Utilité!AO106,0)</f>
        <v>0.00182307387414271</v>
      </c>
      <c r="S106" s="0" t="n">
        <f aca="false">IF(2_Utilité!AO106&gt;0,2_Utilité!S106/2_Utilité!AO106,0)</f>
        <v>0.00133532327727766</v>
      </c>
      <c r="T106" s="0" t="n">
        <f aca="false">IF(2_Utilité!AO106&gt;0,2_Utilité!T106/2_Utilité!AO106,0)</f>
        <v>0.0148403537847667</v>
      </c>
      <c r="U106" s="0" t="n">
        <f aca="false">IF(2_Utilité!AO106&gt;0,2_Utilité!U106/2_Utilité!AO106,0)</f>
        <v>0.0282104067524069</v>
      </c>
      <c r="V106" s="0" t="n">
        <f aca="false">IF(2_Utilité!AO106&gt;0,2_Utilité!V106/2_Utilité!AO106,0)</f>
        <v>0.235538015427841</v>
      </c>
      <c r="W106" s="0" t="n">
        <f aca="false">IF(2_Utilité!AO106&gt;0,2_Utilité!W106/2_Utilité!AO106,0)</f>
        <v>0.0454615084036272</v>
      </c>
      <c r="X106" s="0" t="n">
        <f aca="false">IF(2_Utilité!AO106&gt;0,2_Utilité!X106/2_Utilité!AO106,0)</f>
        <v>0.0619614540092246</v>
      </c>
      <c r="Y106" s="0" t="n">
        <f aca="false">IF(2_Utilité!AO106&gt;0,2_Utilité!Y106/2_Utilité!AO106,0)</f>
        <v>0.0413037564623889</v>
      </c>
      <c r="Z106" s="0" t="n">
        <f aca="false">IF(2_Utilité!AO106&gt;0,2_Utilité!Z106/2_Utilité!AO106,0)</f>
        <v>0.103113589567922</v>
      </c>
      <c r="AA106" s="0" t="n">
        <f aca="false">IF(2_Utilité!AO106&gt;0,2_Utilité!AA106/2_Utilité!AO106,0)</f>
        <v>0.204481803439546</v>
      </c>
      <c r="AB106" s="0" t="n">
        <f aca="false">IF(2_Utilité!AO106&gt;0,2_Utilité!AB106/2_Utilité!AO106,0)</f>
        <v>0.091541051478424</v>
      </c>
      <c r="AC106" s="0" t="n">
        <f aca="false">IF(2_Utilité!AO106&gt;0,2_Utilité!AC106/2_Utilité!AO106,0)</f>
        <v>0</v>
      </c>
      <c r="AD106" s="0" t="n">
        <f aca="false">IF(2_Utilité!AO106&gt;0,2_Utilité!AD106/2_Utilité!AO106,0)</f>
        <v>0</v>
      </c>
      <c r="AE106" s="0" t="n">
        <f aca="false">IF(2_Utilité!AO106&gt;0,2_Utilité!AE106/2_Utilité!AO106,0)</f>
        <v>0</v>
      </c>
      <c r="AF106" s="0" t="n">
        <f aca="false">IF(2_Utilité!AO106&gt;0,2_Utilité!AF106/2_Utilité!AO106,0)</f>
        <v>0</v>
      </c>
      <c r="AG106" s="0" t="n">
        <f aca="false">IF(2_Utilité!AO106&gt;0,2_Utilité!AG106/2_Utilité!AO106,0)</f>
        <v>0</v>
      </c>
      <c r="AH106" s="0" t="n">
        <f aca="false">IF(2_Utilité!AO106&gt;0,2_Utilité!AH106/2_Utilité!AO106,0)</f>
        <v>0.00425100146604812</v>
      </c>
      <c r="AI106" s="0" t="n">
        <f aca="false">IF(2_Utilité!AO106&gt;0,2_Utilité!AI106/2_Utilité!AO106,0)</f>
        <v>0.00626472154072808</v>
      </c>
      <c r="AJ106" s="0" t="n">
        <f aca="false">IF(2_Utilité!AO106&gt;0,2_Utilité!AJ106/2_Utilité!AO106,0)</f>
        <v>0.0936772030299018</v>
      </c>
      <c r="AK106" s="0" t="n">
        <f aca="false">IF(2_Utilité!AO106&gt;0,2_Utilité!AK106/2_Utilité!AO106,0)</f>
        <v>0</v>
      </c>
      <c r="AL106" s="0" t="n">
        <f aca="false">IF(2_Utilité!AO106&gt;0,2_Utilité!AL106/2_Utilité!AO106,0)</f>
        <v>0</v>
      </c>
      <c r="AM106" s="48" t="n">
        <f aca="false">IF(2_Utilité!AO106&gt;0,2_Utilité!AM106/2_Utilité!AO106,0)</f>
        <v>0.0065488140358299</v>
      </c>
      <c r="AN106" s="43" t="n">
        <f aca="false">IF(2_Utilité!AO106&gt;0,2_Utilité!AN106/2_Utilité!AO106,0)</f>
        <v>0</v>
      </c>
      <c r="AO106" s="43" t="n">
        <f aca="false">SUM(C106:AN106)</f>
        <v>1</v>
      </c>
      <c r="AP106" s="43" t="n">
        <f aca="false">COUNTIF(Matrice_OD!$C106:$AN106,"&lt;="&amp;Param!$B$2)</f>
        <v>30</v>
      </c>
    </row>
    <row r="107" customFormat="false" ht="15" hidden="false" customHeight="true" outlineLevel="0" collapsed="false">
      <c r="A107" s="0" t="s">
        <v>312</v>
      </c>
      <c r="B107" s="0" t="s">
        <v>313</v>
      </c>
      <c r="C107" s="0" t="n">
        <f aca="false">IF(2_Utilité!AO107&gt;0,2_Utilité!C107/2_Utilité!AO107,0)</f>
        <v>0.0024870435748637</v>
      </c>
      <c r="D107" s="0" t="n">
        <f aca="false">IF(2_Utilité!AO107&gt;0,2_Utilité!D107/2_Utilité!AO107,0)</f>
        <v>0.00465077561983719</v>
      </c>
      <c r="E107" s="0" t="n">
        <f aca="false">IF(2_Utilité!AO107&gt;0,2_Utilité!E107/2_Utilité!AO107,0)</f>
        <v>0.0525406035434393</v>
      </c>
      <c r="F107" s="0" t="n">
        <f aca="false">IF(2_Utilité!AO107&gt;0,2_Utilité!F107/2_Utilité!AO107,0)</f>
        <v>0.00962241479505619</v>
      </c>
      <c r="G107" s="0" t="n">
        <f aca="false">IF(2_Utilité!AO107&gt;0,2_Utilité!G107/2_Utilité!AO107,0)</f>
        <v>0.0269639769075881</v>
      </c>
      <c r="H107" s="0" t="n">
        <f aca="false">IF(2_Utilité!AO107&gt;0,2_Utilité!H107/2_Utilité!AO107,0)</f>
        <v>0.00703124283903951</v>
      </c>
      <c r="I107" s="0" t="n">
        <f aca="false">IF(2_Utilité!AO107&gt;0,2_Utilité!I107/2_Utilité!AO107,0)</f>
        <v>0.0160291400012001</v>
      </c>
      <c r="J107" s="0" t="n">
        <f aca="false">IF(2_Utilité!AO107&gt;0,2_Utilité!J107/2_Utilité!AO107,0)</f>
        <v>0.0123077027617553</v>
      </c>
      <c r="K107" s="0" t="n">
        <f aca="false">IF(2_Utilité!AO107&gt;0,2_Utilité!K107/2_Utilité!AO107,0)</f>
        <v>0.00737007873860462</v>
      </c>
      <c r="L107" s="0" t="n">
        <f aca="false">IF(2_Utilité!AO107&gt;0,2_Utilité!L107/2_Utilité!AO107,0)</f>
        <v>0.00802857873712103</v>
      </c>
      <c r="M107" s="0" t="n">
        <f aca="false">IF(2_Utilité!AO107&gt;0,2_Utilité!M107/2_Utilité!AO107,0)</f>
        <v>0.0459047389811266</v>
      </c>
      <c r="N107" s="0" t="n">
        <f aca="false">IF(2_Utilité!AO107&gt;0,2_Utilité!N107/2_Utilité!AO107,0)</f>
        <v>0.00569782601030832</v>
      </c>
      <c r="O107" s="0" t="n">
        <f aca="false">IF(2_Utilité!AO107&gt;0,2_Utilité!O107/2_Utilité!AO107,0)</f>
        <v>0.0183113773223289</v>
      </c>
      <c r="P107" s="0" t="n">
        <f aca="false">IF(2_Utilité!AO107&gt;0,2_Utilité!P107/2_Utilité!AO107,0)</f>
        <v>0.00908846947636598</v>
      </c>
      <c r="Q107" s="0" t="n">
        <f aca="false">IF(2_Utilité!AO107&gt;0,2_Utilité!Q107/2_Utilité!AO107,0)</f>
        <v>0.0806601483785215</v>
      </c>
      <c r="R107" s="0" t="n">
        <f aca="false">IF(2_Utilité!AO107&gt;0,2_Utilité!R107/2_Utilité!AO107,0)</f>
        <v>0.0106301884348533</v>
      </c>
      <c r="S107" s="0" t="n">
        <f aca="false">IF(2_Utilité!AO107&gt;0,2_Utilité!S107/2_Utilité!AO107,0)</f>
        <v>0.0077013987328638</v>
      </c>
      <c r="T107" s="0" t="n">
        <f aca="false">IF(2_Utilité!AO107&gt;0,2_Utilité!T107/2_Utilité!AO107,0)</f>
        <v>0.0145937441391698</v>
      </c>
      <c r="U107" s="0" t="n">
        <f aca="false">IF(2_Utilité!AO107&gt;0,2_Utilité!U107/2_Utilité!AO107,0)</f>
        <v>0.0616415323717229</v>
      </c>
      <c r="V107" s="0" t="n">
        <f aca="false">IF(2_Utilité!AO107&gt;0,2_Utilité!V107/2_Utilité!AO107,0)</f>
        <v>0.143403314271279</v>
      </c>
      <c r="W107" s="0" t="n">
        <f aca="false">IF(2_Utilité!AO107&gt;0,2_Utilité!W107/2_Utilité!AO107,0)</f>
        <v>0.028288374568799</v>
      </c>
      <c r="X107" s="0" t="n">
        <f aca="false">IF(2_Utilité!AO107&gt;0,2_Utilité!X107/2_Utilité!AO107,0)</f>
        <v>0.0400050474646095</v>
      </c>
      <c r="Y107" s="0" t="n">
        <f aca="false">IF(2_Utilité!AO107&gt;0,2_Utilité!Y107/2_Utilité!AO107,0)</f>
        <v>0.0262456545040898</v>
      </c>
      <c r="Z107" s="0" t="n">
        <f aca="false">IF(2_Utilité!AO107&gt;0,2_Utilité!Z107/2_Utilité!AO107,0)</f>
        <v>0.0640758249571523</v>
      </c>
      <c r="AA107" s="0" t="n">
        <f aca="false">IF(2_Utilité!AO107&gt;0,2_Utilité!AA107/2_Utilité!AO107,0)</f>
        <v>0.136299093490018</v>
      </c>
      <c r="AB107" s="0" t="n">
        <f aca="false">IF(2_Utilité!AO107&gt;0,2_Utilité!AB107/2_Utilité!AO107,0)</f>
        <v>0.0604422835469539</v>
      </c>
      <c r="AC107" s="0" t="n">
        <f aca="false">IF(2_Utilité!AO107&gt;0,2_Utilité!AC107/2_Utilité!AO107,0)</f>
        <v>0</v>
      </c>
      <c r="AD107" s="0" t="n">
        <f aca="false">IF(2_Utilité!AO107&gt;0,2_Utilité!AD107/2_Utilité!AO107,0)</f>
        <v>0</v>
      </c>
      <c r="AE107" s="0" t="n">
        <f aca="false">IF(2_Utilité!AO107&gt;0,2_Utilité!AE107/2_Utilité!AO107,0)</f>
        <v>0</v>
      </c>
      <c r="AF107" s="0" t="n">
        <f aca="false">IF(2_Utilité!AO107&gt;0,2_Utilité!AF107/2_Utilité!AO107,0)</f>
        <v>0</v>
      </c>
      <c r="AG107" s="0" t="n">
        <f aca="false">IF(2_Utilité!AO107&gt;0,2_Utilité!AG107/2_Utilité!AO107,0)</f>
        <v>0</v>
      </c>
      <c r="AH107" s="0" t="n">
        <f aca="false">IF(2_Utilité!AO107&gt;0,2_Utilité!AH107/2_Utilité!AO107,0)</f>
        <v>0.0277474852647413</v>
      </c>
      <c r="AI107" s="0" t="n">
        <f aca="false">IF(2_Utilité!AO107&gt;0,2_Utilité!AI107/2_Utilité!AO107,0)</f>
        <v>0.00611507796413175</v>
      </c>
      <c r="AJ107" s="0" t="n">
        <f aca="false">IF(2_Utilité!AO107&gt;0,2_Utilité!AJ107/2_Utilité!AO107,0)</f>
        <v>0.0603087482778044</v>
      </c>
      <c r="AK107" s="0" t="n">
        <f aca="false">IF(2_Utilité!AO107&gt;0,2_Utilité!AK107/2_Utilité!AO107,0)</f>
        <v>0</v>
      </c>
      <c r="AL107" s="0" t="n">
        <f aca="false">IF(2_Utilité!AO107&gt;0,2_Utilité!AL107/2_Utilité!AO107,0)</f>
        <v>0</v>
      </c>
      <c r="AM107" s="49" t="n">
        <f aca="false">IF(2_Utilité!AO107&gt;0,2_Utilité!AM107/2_Utilité!AO107,0)</f>
        <v>0.00580811432465511</v>
      </c>
      <c r="AN107" s="43" t="n">
        <f aca="false">IF(2_Utilité!AO107&gt;0,2_Utilité!AN107/2_Utilité!AO107,0)</f>
        <v>0</v>
      </c>
      <c r="AO107" s="43" t="n">
        <f aca="false">SUM(C107:AN107)</f>
        <v>1</v>
      </c>
      <c r="AP107" s="43" t="n">
        <f aca="false">COUNTIF(Matrice_OD!$C107:$AN107,"&lt;="&amp;Param!$B$2)</f>
        <v>30</v>
      </c>
    </row>
    <row r="108" customFormat="false" ht="15" hidden="false" customHeight="true" outlineLevel="0" collapsed="false">
      <c r="A108" s="0" t="s">
        <v>314</v>
      </c>
      <c r="B108" s="0" t="s">
        <v>315</v>
      </c>
      <c r="C108" s="0" t="n">
        <f aca="false">IF(2_Utilité!AO108&gt;0,2_Utilité!C108/2_Utilité!AO108,0)</f>
        <v>0.00203765117177547</v>
      </c>
      <c r="D108" s="0" t="n">
        <f aca="false">IF(2_Utilité!AO108&gt;0,2_Utilité!D108/2_Utilité!AO108,0)</f>
        <v>0.00687787534484422</v>
      </c>
      <c r="E108" s="0" t="n">
        <f aca="false">IF(2_Utilité!AO108&gt;0,2_Utilité!E108/2_Utilité!AO108,0)</f>
        <v>0.0777294863238185</v>
      </c>
      <c r="F108" s="0" t="n">
        <f aca="false">IF(2_Utilité!AO108&gt;0,2_Utilité!F108/2_Utilité!AO108,0)</f>
        <v>0.0142405079706482</v>
      </c>
      <c r="G108" s="0" t="n">
        <f aca="false">IF(2_Utilité!AO108&gt;0,2_Utilité!G108/2_Utilité!AO108,0)</f>
        <v>0.0398658005259774</v>
      </c>
      <c r="H108" s="0" t="n">
        <f aca="false">IF(2_Utilité!AO108&gt;0,2_Utilité!H108/2_Utilité!AO108,0)</f>
        <v>0.0104260772068723</v>
      </c>
      <c r="I108" s="0" t="n">
        <f aca="false">IF(2_Utilité!AO108&gt;0,2_Utilité!I108/2_Utilité!AO108,0)</f>
        <v>0.0237760296060751</v>
      </c>
      <c r="J108" s="0" t="n">
        <f aca="false">IF(2_Utilité!AO108&gt;0,2_Utilité!J108/2_Utilité!AO108,0)</f>
        <v>0.0182286095277986</v>
      </c>
      <c r="K108" s="0" t="n">
        <f aca="false">IF(2_Utilité!AO108&gt;0,2_Utilité!K108/2_Utilité!AO108,0)</f>
        <v>0.0109121127165607</v>
      </c>
      <c r="L108" s="0" t="n">
        <f aca="false">IF(2_Utilité!AO108&gt;0,2_Utilité!L108/2_Utilité!AO108,0)</f>
        <v>0.0119021707580615</v>
      </c>
      <c r="M108" s="0" t="n">
        <f aca="false">IF(2_Utilité!AO108&gt;0,2_Utilité!M108/2_Utilité!AO108,0)</f>
        <v>0.068159471340075</v>
      </c>
      <c r="N108" s="0" t="n">
        <f aca="false">IF(2_Utilité!AO108&gt;0,2_Utilité!N108/2_Utilité!AO108,0)</f>
        <v>0.00844583399652779</v>
      </c>
      <c r="O108" s="0" t="n">
        <f aca="false">IF(2_Utilité!AO108&gt;0,2_Utilité!O108/2_Utilité!AO108,0)</f>
        <v>0.0271324469165108</v>
      </c>
      <c r="P108" s="0" t="n">
        <f aca="false">IF(2_Utilité!AO108&gt;0,2_Utilité!P108/2_Utilité!AO108,0)</f>
        <v>0.0134730834434425</v>
      </c>
      <c r="Q108" s="0" t="n">
        <f aca="false">IF(2_Utilité!AO108&gt;0,2_Utilité!Q108/2_Utilité!AO108,0)</f>
        <v>0.119589089516009</v>
      </c>
      <c r="R108" s="0" t="n">
        <f aca="false">IF(2_Utilité!AO108&gt;0,2_Utilité!R108/2_Utilité!AO108,0)</f>
        <v>0.0157659393517049</v>
      </c>
      <c r="S108" s="0" t="n">
        <f aca="false">IF(2_Utilité!AO108&gt;0,2_Utilité!S108/2_Utilité!AO108,0)</f>
        <v>0.0114135110371287</v>
      </c>
      <c r="T108" s="0" t="n">
        <f aca="false">IF(2_Utilité!AO108&gt;0,2_Utilité!T108/2_Utilité!AO108,0)</f>
        <v>0.0154228006823879</v>
      </c>
      <c r="U108" s="0" t="n">
        <f aca="false">IF(2_Utilité!AO108&gt;0,2_Utilité!U108/2_Utilité!AO108,0)</f>
        <v>0.0736319438192722</v>
      </c>
      <c r="V108" s="0" t="n">
        <f aca="false">IF(2_Utilité!AO108&gt;0,2_Utilité!V108/2_Utilité!AO108,0)</f>
        <v>0.0877566482961112</v>
      </c>
      <c r="W108" s="0" t="n">
        <f aca="false">IF(2_Utilité!AO108&gt;0,2_Utilité!W108/2_Utilité!AO108,0)</f>
        <v>0.0189296457816426</v>
      </c>
      <c r="X108" s="0" t="n">
        <f aca="false">IF(2_Utilité!AO108&gt;0,2_Utilité!X108/2_Utilité!AO108,0)</f>
        <v>0.0278994682207317</v>
      </c>
      <c r="Y108" s="0" t="n">
        <f aca="false">IF(2_Utilité!AO108&gt;0,2_Utilité!Y108/2_Utilité!AO108,0)</f>
        <v>0.0185891615720636</v>
      </c>
      <c r="Z108" s="0" t="n">
        <f aca="false">IF(2_Utilité!AO108&gt;0,2_Utilité!Z108/2_Utilité!AO108,0)</f>
        <v>0.0457169519869662</v>
      </c>
      <c r="AA108" s="0" t="n">
        <f aca="false">IF(2_Utilité!AO108&gt;0,2_Utilité!AA108/2_Utilité!AO108,0)</f>
        <v>0.0941034209112008</v>
      </c>
      <c r="AB108" s="0" t="n">
        <f aca="false">IF(2_Utilité!AO108&gt;0,2_Utilité!AB108/2_Utilité!AO108,0)</f>
        <v>0.0453348385478579</v>
      </c>
      <c r="AC108" s="0" t="n">
        <f aca="false">IF(2_Utilité!AO108&gt;0,2_Utilité!AC108/2_Utilité!AO108,0)</f>
        <v>0</v>
      </c>
      <c r="AD108" s="0" t="n">
        <f aca="false">IF(2_Utilité!AO108&gt;0,2_Utilité!AD108/2_Utilité!AO108,0)</f>
        <v>0</v>
      </c>
      <c r="AE108" s="0" t="n">
        <f aca="false">IF(2_Utilité!AO108&gt;0,2_Utilité!AE108/2_Utilité!AO108,0)</f>
        <v>0</v>
      </c>
      <c r="AF108" s="0" t="n">
        <f aca="false">IF(2_Utilité!AO108&gt;0,2_Utilité!AF108/2_Utilité!AO108,0)</f>
        <v>0</v>
      </c>
      <c r="AG108" s="0" t="n">
        <f aca="false">IF(2_Utilité!AO108&gt;0,2_Utilité!AG108/2_Utilité!AO108,0)</f>
        <v>0</v>
      </c>
      <c r="AH108" s="0" t="n">
        <f aca="false">IF(2_Utilité!AO108&gt;0,2_Utilité!AH108/2_Utilité!AO108,0)</f>
        <v>0.041202831401205</v>
      </c>
      <c r="AI108" s="0" t="n">
        <f aca="false">IF(2_Utilité!AO108&gt;0,2_Utilité!AI108/2_Utilité!AO108,0)</f>
        <v>0.00635384101485995</v>
      </c>
      <c r="AJ108" s="0" t="n">
        <f aca="false">IF(2_Utilité!AO108&gt;0,2_Utilité!AJ108/2_Utilité!AO108,0)</f>
        <v>0.0403901324444482</v>
      </c>
      <c r="AK108" s="0" t="n">
        <f aca="false">IF(2_Utilité!AO108&gt;0,2_Utilité!AK108/2_Utilité!AO108,0)</f>
        <v>0</v>
      </c>
      <c r="AL108" s="0" t="n">
        <f aca="false">IF(2_Utilité!AO108&gt;0,2_Utilité!AL108/2_Utilité!AO108,0)</f>
        <v>0</v>
      </c>
      <c r="AM108" s="48" t="n">
        <f aca="false">IF(2_Utilité!AO108&gt;0,2_Utilité!AM108/2_Utilité!AO108,0)</f>
        <v>0.00469261856742174</v>
      </c>
      <c r="AN108" s="43" t="n">
        <f aca="false">IF(2_Utilité!AO108&gt;0,2_Utilité!AN108/2_Utilité!AO108,0)</f>
        <v>0</v>
      </c>
      <c r="AO108" s="43" t="n">
        <f aca="false">SUM(C108:AN108)</f>
        <v>1</v>
      </c>
      <c r="AP108" s="43" t="n">
        <f aca="false">COUNTIF(Matrice_OD!$C108:$AN108,"&lt;="&amp;Param!$B$2)</f>
        <v>30</v>
      </c>
    </row>
    <row r="109" customFormat="false" ht="15" hidden="false" customHeight="true" outlineLevel="0" collapsed="false">
      <c r="A109" s="0" t="s">
        <v>316</v>
      </c>
      <c r="B109" s="0" t="s">
        <v>317</v>
      </c>
      <c r="C109" s="0" t="n">
        <f aca="false">IF(2_Utilité!AO109&gt;0,2_Utilité!C109/2_Utilité!AO109,0)</f>
        <v>0.000995187306844905</v>
      </c>
      <c r="D109" s="0" t="n">
        <f aca="false">IF(2_Utilité!AO109&gt;0,2_Utilité!D109/2_Utilité!AO109,0)</f>
        <v>0.00102352592045171</v>
      </c>
      <c r="E109" s="0" t="n">
        <f aca="false">IF(2_Utilité!AO109&gt;0,2_Utilité!E109/2_Utilité!AO109,0)</f>
        <v>0.0116428348686682</v>
      </c>
      <c r="F109" s="0" t="n">
        <f aca="false">IF(2_Utilité!AO109&gt;0,2_Utilité!F109/2_Utilité!AO109,0)</f>
        <v>0.00214601006611511</v>
      </c>
      <c r="G109" s="0" t="n">
        <f aca="false">IF(2_Utilité!AO109&gt;0,2_Utilité!G109/2_Utilité!AO109,0)</f>
        <v>0.00596868099279643</v>
      </c>
      <c r="H109" s="0" t="n">
        <f aca="false">IF(2_Utilité!AO109&gt;0,2_Utilité!H109/2_Utilité!AO109,0)</f>
        <v>0.00164359865824977</v>
      </c>
      <c r="I109" s="0" t="n">
        <f aca="false">IF(2_Utilité!AO109&gt;0,2_Utilité!I109/2_Utilité!AO109,0)</f>
        <v>0.00372828041390601</v>
      </c>
      <c r="J109" s="0" t="n">
        <f aca="false">IF(2_Utilité!AO109&gt;0,2_Utilité!J109/2_Utilité!AO109,0)</f>
        <v>0.00281318366650673</v>
      </c>
      <c r="K109" s="0" t="n">
        <f aca="false">IF(2_Utilité!AO109&gt;0,2_Utilité!K109/2_Utilité!AO109,0)</f>
        <v>0.0016574052002609</v>
      </c>
      <c r="L109" s="0" t="n">
        <f aca="false">IF(2_Utilité!AO109&gt;0,2_Utilité!L109/2_Utilité!AO109,0)</f>
        <v>0.00186719843599158</v>
      </c>
      <c r="M109" s="0" t="n">
        <f aca="false">IF(2_Utilité!AO109&gt;0,2_Utilité!M109/2_Utilité!AO109,0)</f>
        <v>0.0109873193111236</v>
      </c>
      <c r="N109" s="0" t="n">
        <f aca="false">IF(2_Utilité!AO109&gt;0,2_Utilité!N109/2_Utilité!AO109,0)</f>
        <v>0.00130870765210328</v>
      </c>
      <c r="O109" s="0" t="n">
        <f aca="false">IF(2_Utilité!AO109&gt;0,2_Utilité!O109/2_Utilité!AO109,0)</f>
        <v>0.00422286656762941</v>
      </c>
      <c r="P109" s="0" t="n">
        <f aca="false">IF(2_Utilité!AO109&gt;0,2_Utilité!P109/2_Utilité!AO109,0)</f>
        <v>0.00211269223454674</v>
      </c>
      <c r="Q109" s="0" t="n">
        <f aca="false">IF(2_Utilité!AO109&gt;0,2_Utilité!Q109/2_Utilité!AO109,0)</f>
        <v>0.0188101208609216</v>
      </c>
      <c r="R109" s="0" t="n">
        <f aca="false">IF(2_Utilité!AO109&gt;0,2_Utilité!R109/2_Utilité!AO109,0)</f>
        <v>0.00246723950515682</v>
      </c>
      <c r="S109" s="0" t="n">
        <f aca="false">IF(2_Utilité!AO109&gt;0,2_Utilité!S109/2_Utilité!AO109,0)</f>
        <v>0.0017626106945448</v>
      </c>
      <c r="T109" s="0" t="n">
        <f aca="false">IF(2_Utilité!AO109&gt;0,2_Utilité!T109/2_Utilité!AO109,0)</f>
        <v>0.00827266043818374</v>
      </c>
      <c r="U109" s="0" t="n">
        <f aca="false">IF(2_Utilité!AO109&gt;0,2_Utilité!U109/2_Utilité!AO109,0)</f>
        <v>0.0468913713754262</v>
      </c>
      <c r="V109" s="0" t="n">
        <f aca="false">IF(2_Utilité!AO109&gt;0,2_Utilité!V109/2_Utilité!AO109,0)</f>
        <v>0.223710821540765</v>
      </c>
      <c r="W109" s="0" t="n">
        <f aca="false">IF(2_Utilité!AO109&gt;0,2_Utilité!W109/2_Utilité!AO109,0)</f>
        <v>0.0438663103174901</v>
      </c>
      <c r="X109" s="0" t="n">
        <f aca="false">IF(2_Utilité!AO109&gt;0,2_Utilité!X109/2_Utilité!AO109,0)</f>
        <v>0.0610032730675061</v>
      </c>
      <c r="Y109" s="0" t="n">
        <f aca="false">IF(2_Utilité!AO109&gt;0,2_Utilité!Y109/2_Utilité!AO109,0)</f>
        <v>0.0403169280634443</v>
      </c>
      <c r="Z109" s="0" t="n">
        <f aca="false">IF(2_Utilité!AO109&gt;0,2_Utilité!Z109/2_Utilité!AO109,0)</f>
        <v>0.0995146676095447</v>
      </c>
      <c r="AA109" s="0" t="n">
        <f aca="false">IF(2_Utilité!AO109&gt;0,2_Utilité!AA109/2_Utilité!AO109,0)</f>
        <v>0.205640627099373</v>
      </c>
      <c r="AB109" s="0" t="n">
        <f aca="false">IF(2_Utilité!AO109&gt;0,2_Utilité!AB109/2_Utilité!AO109,0)</f>
        <v>0.0910843584471306</v>
      </c>
      <c r="AC109" s="0" t="n">
        <f aca="false">IF(2_Utilité!AO109&gt;0,2_Utilité!AC109/2_Utilité!AO109,0)</f>
        <v>0</v>
      </c>
      <c r="AD109" s="0" t="n">
        <f aca="false">IF(2_Utilité!AO109&gt;0,2_Utilité!AD109/2_Utilité!AO109,0)</f>
        <v>0</v>
      </c>
      <c r="AE109" s="0" t="n">
        <f aca="false">IF(2_Utilité!AO109&gt;0,2_Utilité!AE109/2_Utilité!AO109,0)</f>
        <v>0</v>
      </c>
      <c r="AF109" s="0" t="n">
        <f aca="false">IF(2_Utilité!AO109&gt;0,2_Utilité!AF109/2_Utilité!AO109,0)</f>
        <v>0</v>
      </c>
      <c r="AG109" s="0" t="n">
        <f aca="false">IF(2_Utilité!AO109&gt;0,2_Utilité!AG109/2_Utilité!AO109,0)</f>
        <v>0</v>
      </c>
      <c r="AH109" s="0" t="n">
        <f aca="false">IF(2_Utilité!AO109&gt;0,2_Utilité!AH109/2_Utilité!AO109,0)</f>
        <v>0.00658546462365908</v>
      </c>
      <c r="AI109" s="0" t="n">
        <f aca="false">IF(2_Utilité!AO109&gt;0,2_Utilité!AI109/2_Utilité!AO109,0)</f>
        <v>0.00338693906083062</v>
      </c>
      <c r="AJ109" s="0" t="n">
        <f aca="false">IF(2_Utilité!AO109&gt;0,2_Utilité!AJ109/2_Utilité!AO109,0)</f>
        <v>0.0922800974835492</v>
      </c>
      <c r="AK109" s="0" t="n">
        <f aca="false">IF(2_Utilité!AO109&gt;0,2_Utilité!AK109/2_Utilité!AO109,0)</f>
        <v>0</v>
      </c>
      <c r="AL109" s="0" t="n">
        <f aca="false">IF(2_Utilité!AO109&gt;0,2_Utilité!AL109/2_Utilité!AO109,0)</f>
        <v>0</v>
      </c>
      <c r="AM109" s="49" t="n">
        <f aca="false">IF(2_Utilité!AO109&gt;0,2_Utilité!AM109/2_Utilité!AO109,0)</f>
        <v>0.00228901851727954</v>
      </c>
      <c r="AN109" s="43" t="n">
        <f aca="false">IF(2_Utilité!AO109&gt;0,2_Utilité!AN109/2_Utilité!AO109,0)</f>
        <v>0</v>
      </c>
      <c r="AO109" s="43" t="n">
        <f aca="false">SUM(C109:AN109)</f>
        <v>1</v>
      </c>
      <c r="AP109" s="43" t="n">
        <f aca="false">COUNTIF(Matrice_OD!$C109:$AN109,"&lt;="&amp;Param!$B$2)</f>
        <v>30</v>
      </c>
    </row>
    <row r="110" customFormat="false" ht="15" hidden="false" customHeight="true" outlineLevel="0" collapsed="false">
      <c r="A110" s="0" t="s">
        <v>318</v>
      </c>
      <c r="B110" s="0" t="s">
        <v>319</v>
      </c>
      <c r="C110" s="0" t="n">
        <f aca="false">IF(2_Utilité!AO110&gt;0,2_Utilité!C110/2_Utilité!AO110,0)</f>
        <v>0.00307230160260853</v>
      </c>
      <c r="D110" s="0" t="n">
        <f aca="false">IF(2_Utilité!AO110&gt;0,2_Utilité!D110/2_Utilité!AO110,0)</f>
        <v>0.00115863944379637</v>
      </c>
      <c r="E110" s="0" t="n">
        <f aca="false">IF(2_Utilité!AO110&gt;0,2_Utilité!E110/2_Utilité!AO110,0)</f>
        <v>0.0114347239088197</v>
      </c>
      <c r="F110" s="0" t="n">
        <f aca="false">IF(2_Utilité!AO110&gt;0,2_Utilité!F110/2_Utilité!AO110,0)</f>
        <v>0.00210825286855913</v>
      </c>
      <c r="G110" s="0" t="n">
        <f aca="false">IF(2_Utilité!AO110&gt;0,2_Utilité!G110/2_Utilité!AO110,0)</f>
        <v>0.00555845069183812</v>
      </c>
      <c r="H110" s="0" t="n">
        <f aca="false">IF(2_Utilité!AO110&gt;0,2_Utilité!H110/2_Utilité!AO110,0)</f>
        <v>0.0016167261997786</v>
      </c>
      <c r="I110" s="0" t="n">
        <f aca="false">IF(2_Utilité!AO110&gt;0,2_Utilité!I110/2_Utilité!AO110,0)</f>
        <v>0.00319207905087048</v>
      </c>
      <c r="J110" s="0" t="n">
        <f aca="false">IF(2_Utilité!AO110&gt;0,2_Utilité!J110/2_Utilité!AO110,0)</f>
        <v>0.00244089102436486</v>
      </c>
      <c r="K110" s="0" t="n">
        <f aca="false">IF(2_Utilité!AO110&gt;0,2_Utilité!K110/2_Utilité!AO110,0)</f>
        <v>0.00150093800150964</v>
      </c>
      <c r="L110" s="0" t="n">
        <f aca="false">IF(2_Utilité!AO110&gt;0,2_Utilité!L110/2_Utilité!AO110,0)</f>
        <v>0.00159875208474892</v>
      </c>
      <c r="M110" s="0" t="n">
        <f aca="false">IF(2_Utilité!AO110&gt;0,2_Utilité!M110/2_Utilité!AO110,0)</f>
        <v>0.00935485662310962</v>
      </c>
      <c r="N110" s="0" t="n">
        <f aca="false">IF(2_Utilité!AO110&gt;0,2_Utilité!N110/2_Utilité!AO110,0)</f>
        <v>0.00116250055040824</v>
      </c>
      <c r="O110" s="0" t="n">
        <f aca="false">IF(2_Utilité!AO110&gt;0,2_Utilité!O110/2_Utilité!AO110,0)</f>
        <v>0.00361170261127014</v>
      </c>
      <c r="P110" s="0" t="n">
        <f aca="false">IF(2_Utilité!AO110&gt;0,2_Utilité!P110/2_Utilité!AO110,0)</f>
        <v>0.00173934091075826</v>
      </c>
      <c r="Q110" s="0" t="n">
        <f aca="false">IF(2_Utilité!AO110&gt;0,2_Utilité!Q110/2_Utilité!AO110,0)</f>
        <v>0.0149195293726298</v>
      </c>
      <c r="R110" s="0" t="n">
        <f aca="false">IF(2_Utilité!AO110&gt;0,2_Utilité!R110/2_Utilité!AO110,0)</f>
        <v>0.00196718271578452</v>
      </c>
      <c r="S110" s="0" t="n">
        <f aca="false">IF(2_Utilité!AO110&gt;0,2_Utilité!S110/2_Utilité!AO110,0)</f>
        <v>0.00144023470548049</v>
      </c>
      <c r="T110" s="0" t="n">
        <f aca="false">IF(2_Utilité!AO110&gt;0,2_Utilité!T110/2_Utilité!AO110,0)</f>
        <v>0.0169701111523207</v>
      </c>
      <c r="U110" s="0" t="n">
        <f aca="false">IF(2_Utilité!AO110&gt;0,2_Utilité!U110/2_Utilité!AO110,0)</f>
        <v>0.0383702688635638</v>
      </c>
      <c r="V110" s="0" t="n">
        <f aca="false">IF(2_Utilité!AO110&gt;0,2_Utilité!V110/2_Utilité!AO110,0)</f>
        <v>0.239931255596931</v>
      </c>
      <c r="W110" s="0" t="n">
        <f aca="false">IF(2_Utilité!AO110&gt;0,2_Utilité!W110/2_Utilité!AO110,0)</f>
        <v>0.0440946403619477</v>
      </c>
      <c r="X110" s="0" t="n">
        <f aca="false">IF(2_Utilité!AO110&gt;0,2_Utilité!X110/2_Utilité!AO110,0)</f>
        <v>0.0610247117560221</v>
      </c>
      <c r="Y110" s="0" t="n">
        <f aca="false">IF(2_Utilité!AO110&gt;0,2_Utilité!Y110/2_Utilité!AO110,0)</f>
        <v>0.0402708822660211</v>
      </c>
      <c r="Z110" s="0" t="n">
        <f aca="false">IF(2_Utilité!AO110&gt;0,2_Utilité!Z110/2_Utilité!AO110,0)</f>
        <v>0.0992368522514647</v>
      </c>
      <c r="AA110" s="0" t="n">
        <f aca="false">IF(2_Utilité!AO110&gt;0,2_Utilité!AA110/2_Utilité!AO110,0)</f>
        <v>0.195215838246947</v>
      </c>
      <c r="AB110" s="0" t="n">
        <f aca="false">IF(2_Utilité!AO110&gt;0,2_Utilité!AB110/2_Utilité!AO110,0)</f>
        <v>0.0860319391291956</v>
      </c>
      <c r="AC110" s="0" t="n">
        <f aca="false">IF(2_Utilité!AO110&gt;0,2_Utilité!AC110/2_Utilité!AO110,0)</f>
        <v>0</v>
      </c>
      <c r="AD110" s="0" t="n">
        <f aca="false">IF(2_Utilité!AO110&gt;0,2_Utilité!AD110/2_Utilité!AO110,0)</f>
        <v>0</v>
      </c>
      <c r="AE110" s="0" t="n">
        <f aca="false">IF(2_Utilité!AO110&gt;0,2_Utilité!AE110/2_Utilité!AO110,0)</f>
        <v>0</v>
      </c>
      <c r="AF110" s="0" t="n">
        <f aca="false">IF(2_Utilité!AO110&gt;0,2_Utilité!AF110/2_Utilité!AO110,0)</f>
        <v>0</v>
      </c>
      <c r="AG110" s="0" t="n">
        <f aca="false">IF(2_Utilité!AO110&gt;0,2_Utilité!AG110/2_Utilité!AO110,0)</f>
        <v>0</v>
      </c>
      <c r="AH110" s="0" t="n">
        <f aca="false">IF(2_Utilité!AO110&gt;0,2_Utilité!AH110/2_Utilité!AO110,0)</f>
        <v>0.00443691838715253</v>
      </c>
      <c r="AI110" s="0" t="n">
        <f aca="false">IF(2_Utilité!AO110&gt;0,2_Utilité!AI110/2_Utilité!AO110,0)</f>
        <v>0.00713915436203225</v>
      </c>
      <c r="AJ110" s="0" t="n">
        <f aca="false">IF(2_Utilité!AO110&gt;0,2_Utilité!AJ110/2_Utilité!AO110,0)</f>
        <v>0.0922512477743184</v>
      </c>
      <c r="AK110" s="0" t="n">
        <f aca="false">IF(2_Utilité!AO110&gt;0,2_Utilité!AK110/2_Utilité!AO110,0)</f>
        <v>0</v>
      </c>
      <c r="AL110" s="0" t="n">
        <f aca="false">IF(2_Utilité!AO110&gt;0,2_Utilité!AL110/2_Utilité!AO110,0)</f>
        <v>0</v>
      </c>
      <c r="AM110" s="48" t="n">
        <f aca="false">IF(2_Utilité!AO110&gt;0,2_Utilité!AM110/2_Utilité!AO110,0)</f>
        <v>0.00714907748574842</v>
      </c>
      <c r="AN110" s="43" t="n">
        <f aca="false">IF(2_Utilité!AO110&gt;0,2_Utilité!AN110/2_Utilité!AO110,0)</f>
        <v>0</v>
      </c>
      <c r="AO110" s="43" t="n">
        <f aca="false">SUM(C110:AN110)</f>
        <v>1</v>
      </c>
      <c r="AP110" s="43" t="n">
        <f aca="false">COUNTIF(Matrice_OD!$C110:$AN110,"&lt;="&amp;Param!$B$2)</f>
        <v>30</v>
      </c>
    </row>
    <row r="111" customFormat="false" ht="15" hidden="false" customHeight="true" outlineLevel="0" collapsed="false">
      <c r="A111" s="0" t="s">
        <v>320</v>
      </c>
      <c r="B111" s="0" t="s">
        <v>321</v>
      </c>
      <c r="C111" s="0" t="n">
        <f aca="false">IF(2_Utilité!AO111&gt;0,2_Utilité!C111/2_Utilité!AO111,0)</f>
        <v>0</v>
      </c>
      <c r="D111" s="0" t="n">
        <f aca="false">IF(2_Utilité!AO111&gt;0,2_Utilité!D111/2_Utilité!AO111,0)</f>
        <v>0</v>
      </c>
      <c r="E111" s="0" t="n">
        <f aca="false">IF(2_Utilité!AO111&gt;0,2_Utilité!E111/2_Utilité!AO111,0)</f>
        <v>0</v>
      </c>
      <c r="F111" s="0" t="n">
        <f aca="false">IF(2_Utilité!AO111&gt;0,2_Utilité!F111/2_Utilité!AO111,0)</f>
        <v>0</v>
      </c>
      <c r="G111" s="0" t="n">
        <f aca="false">IF(2_Utilité!AO111&gt;0,2_Utilité!G111/2_Utilité!AO111,0)</f>
        <v>0</v>
      </c>
      <c r="H111" s="0" t="n">
        <f aca="false">IF(2_Utilité!AO111&gt;0,2_Utilité!H111/2_Utilité!AO111,0)</f>
        <v>0</v>
      </c>
      <c r="I111" s="0" t="n">
        <f aca="false">IF(2_Utilité!AO111&gt;0,2_Utilité!I111/2_Utilité!AO111,0)</f>
        <v>0</v>
      </c>
      <c r="J111" s="0" t="n">
        <f aca="false">IF(2_Utilité!AO111&gt;0,2_Utilité!J111/2_Utilité!AO111,0)</f>
        <v>0</v>
      </c>
      <c r="K111" s="0" t="n">
        <f aca="false">IF(2_Utilité!AO111&gt;0,2_Utilité!K111/2_Utilité!AO111,0)</f>
        <v>0</v>
      </c>
      <c r="L111" s="0" t="n">
        <f aca="false">IF(2_Utilité!AO111&gt;0,2_Utilité!L111/2_Utilité!AO111,0)</f>
        <v>0</v>
      </c>
      <c r="M111" s="0" t="n">
        <f aca="false">IF(2_Utilité!AO111&gt;0,2_Utilité!M111/2_Utilité!AO111,0)</f>
        <v>0</v>
      </c>
      <c r="N111" s="0" t="n">
        <f aca="false">IF(2_Utilité!AO111&gt;0,2_Utilité!N111/2_Utilité!AO111,0)</f>
        <v>0</v>
      </c>
      <c r="O111" s="0" t="n">
        <f aca="false">IF(2_Utilité!AO111&gt;0,2_Utilité!O111/2_Utilité!AO111,0)</f>
        <v>0</v>
      </c>
      <c r="P111" s="0" t="n">
        <f aca="false">IF(2_Utilité!AO111&gt;0,2_Utilité!P111/2_Utilité!AO111,0)</f>
        <v>0</v>
      </c>
      <c r="Q111" s="0" t="n">
        <f aca="false">IF(2_Utilité!AO111&gt;0,2_Utilité!Q111/2_Utilité!AO111,0)</f>
        <v>0</v>
      </c>
      <c r="R111" s="0" t="n">
        <f aca="false">IF(2_Utilité!AO111&gt;0,2_Utilité!R111/2_Utilité!AO111,0)</f>
        <v>0</v>
      </c>
      <c r="S111" s="0" t="n">
        <f aca="false">IF(2_Utilité!AO111&gt;0,2_Utilité!S111/2_Utilité!AO111,0)</f>
        <v>0</v>
      </c>
      <c r="T111" s="0" t="n">
        <f aca="false">IF(2_Utilité!AO111&gt;0,2_Utilité!T111/2_Utilité!AO111,0)</f>
        <v>0</v>
      </c>
      <c r="U111" s="0" t="n">
        <f aca="false">IF(2_Utilité!AO111&gt;0,2_Utilité!U111/2_Utilité!AO111,0)</f>
        <v>0.535951704196344</v>
      </c>
      <c r="V111" s="0" t="n">
        <f aca="false">IF(2_Utilité!AO111&gt;0,2_Utilité!V111/2_Utilité!AO111,0)</f>
        <v>0</v>
      </c>
      <c r="W111" s="0" t="n">
        <f aca="false">IF(2_Utilité!AO111&gt;0,2_Utilité!W111/2_Utilité!AO111,0)</f>
        <v>0</v>
      </c>
      <c r="X111" s="0" t="n">
        <f aca="false">IF(2_Utilité!AO111&gt;0,2_Utilité!X111/2_Utilité!AO111,0)</f>
        <v>0.0472804458187585</v>
      </c>
      <c r="Y111" s="0" t="n">
        <f aca="false">IF(2_Utilité!AO111&gt;0,2_Utilité!Y111/2_Utilité!AO111,0)</f>
        <v>0.031488466712578</v>
      </c>
      <c r="Z111" s="0" t="n">
        <f aca="false">IF(2_Utilité!AO111&gt;0,2_Utilité!Z111/2_Utilité!AO111,0)</f>
        <v>0.0764443033814304</v>
      </c>
      <c r="AA111" s="0" t="n">
        <f aca="false">IF(2_Utilité!AO111&gt;0,2_Utilité!AA111/2_Utilité!AO111,0)</f>
        <v>0.160976875418178</v>
      </c>
      <c r="AB111" s="0" t="n">
        <f aca="false">IF(2_Utilité!AO111&gt;0,2_Utilité!AB111/2_Utilité!AO111,0)</f>
        <v>0.0819300168613681</v>
      </c>
      <c r="AC111" s="0" t="n">
        <f aca="false">IF(2_Utilité!AO111&gt;0,2_Utilité!AC111/2_Utilité!AO111,0)</f>
        <v>0</v>
      </c>
      <c r="AD111" s="0" t="n">
        <f aca="false">IF(2_Utilité!AO111&gt;0,2_Utilité!AD111/2_Utilité!AO111,0)</f>
        <v>0</v>
      </c>
      <c r="AE111" s="0" t="n">
        <f aca="false">IF(2_Utilité!AO111&gt;0,2_Utilité!AE111/2_Utilité!AO111,0)</f>
        <v>0</v>
      </c>
      <c r="AF111" s="0" t="n">
        <f aca="false">IF(2_Utilité!AO111&gt;0,2_Utilité!AF111/2_Utilité!AO111,0)</f>
        <v>0</v>
      </c>
      <c r="AG111" s="0" t="n">
        <f aca="false">IF(2_Utilité!AO111&gt;0,2_Utilité!AG111/2_Utilité!AO111,0)</f>
        <v>0</v>
      </c>
      <c r="AH111" s="0" t="n">
        <f aca="false">IF(2_Utilité!AO111&gt;0,2_Utilité!AH111/2_Utilité!AO111,0)</f>
        <v>0</v>
      </c>
      <c r="AI111" s="0" t="n">
        <f aca="false">IF(2_Utilité!AO111&gt;0,2_Utilité!AI111/2_Utilité!AO111,0)</f>
        <v>0</v>
      </c>
      <c r="AJ111" s="0" t="n">
        <f aca="false">IF(2_Utilité!AO111&gt;0,2_Utilité!AJ111/2_Utilité!AO111,0)</f>
        <v>0.0659281876113435</v>
      </c>
      <c r="AK111" s="0" t="n">
        <f aca="false">IF(2_Utilité!AO111&gt;0,2_Utilité!AK111/2_Utilité!AO111,0)</f>
        <v>0</v>
      </c>
      <c r="AL111" s="0" t="n">
        <f aca="false">IF(2_Utilité!AO111&gt;0,2_Utilité!AL111/2_Utilité!AO111,0)</f>
        <v>0</v>
      </c>
      <c r="AM111" s="49" t="n">
        <f aca="false">IF(2_Utilité!AO111&gt;0,2_Utilité!AM111/2_Utilité!AO111,0)</f>
        <v>0</v>
      </c>
      <c r="AN111" s="43" t="n">
        <f aca="false">IF(2_Utilité!AO111&gt;0,2_Utilité!AN111/2_Utilité!AO111,0)</f>
        <v>0</v>
      </c>
      <c r="AO111" s="43" t="n">
        <f aca="false">SUM(C111:AN111)</f>
        <v>1</v>
      </c>
      <c r="AP111" s="43" t="n">
        <f aca="false">COUNTIF(Matrice_OD!$C111:$AN111,"&lt;="&amp;Param!$B$2)</f>
        <v>7</v>
      </c>
    </row>
    <row r="112" customFormat="false" ht="15" hidden="false" customHeight="true" outlineLevel="0" collapsed="false">
      <c r="A112" s="0" t="s">
        <v>322</v>
      </c>
      <c r="B112" s="0" t="s">
        <v>323</v>
      </c>
      <c r="C112" s="0" t="n">
        <f aca="false">IF(2_Utilité!AO112&gt;0,2_Utilité!C112/2_Utilité!AO112,0)</f>
        <v>0</v>
      </c>
      <c r="D112" s="0" t="n">
        <f aca="false">IF(2_Utilité!AO112&gt;0,2_Utilité!D112/2_Utilité!AO112,0)</f>
        <v>0</v>
      </c>
      <c r="E112" s="0" t="n">
        <f aca="false">IF(2_Utilité!AO112&gt;0,2_Utilité!E112/2_Utilité!AO112,0)</f>
        <v>0</v>
      </c>
      <c r="F112" s="0" t="n">
        <f aca="false">IF(2_Utilité!AO112&gt;0,2_Utilité!F112/2_Utilité!AO112,0)</f>
        <v>0</v>
      </c>
      <c r="G112" s="0" t="n">
        <f aca="false">IF(2_Utilité!AO112&gt;0,2_Utilité!G112/2_Utilité!AO112,0)</f>
        <v>0</v>
      </c>
      <c r="H112" s="0" t="n">
        <f aca="false">IF(2_Utilité!AO112&gt;0,2_Utilité!H112/2_Utilité!AO112,0)</f>
        <v>0</v>
      </c>
      <c r="I112" s="0" t="n">
        <f aca="false">IF(2_Utilité!AO112&gt;0,2_Utilité!I112/2_Utilité!AO112,0)</f>
        <v>0</v>
      </c>
      <c r="J112" s="0" t="n">
        <f aca="false">IF(2_Utilité!AO112&gt;0,2_Utilité!J112/2_Utilité!AO112,0)</f>
        <v>0</v>
      </c>
      <c r="K112" s="0" t="n">
        <f aca="false">IF(2_Utilité!AO112&gt;0,2_Utilité!K112/2_Utilité!AO112,0)</f>
        <v>0</v>
      </c>
      <c r="L112" s="0" t="n">
        <f aca="false">IF(2_Utilité!AO112&gt;0,2_Utilité!L112/2_Utilité!AO112,0)</f>
        <v>0</v>
      </c>
      <c r="M112" s="0" t="n">
        <f aca="false">IF(2_Utilité!AO112&gt;0,2_Utilité!M112/2_Utilité!AO112,0)</f>
        <v>0</v>
      </c>
      <c r="N112" s="0" t="n">
        <f aca="false">IF(2_Utilité!AO112&gt;0,2_Utilité!N112/2_Utilité!AO112,0)</f>
        <v>0</v>
      </c>
      <c r="O112" s="0" t="n">
        <f aca="false">IF(2_Utilité!AO112&gt;0,2_Utilité!O112/2_Utilité!AO112,0)</f>
        <v>0</v>
      </c>
      <c r="P112" s="0" t="n">
        <f aca="false">IF(2_Utilité!AO112&gt;0,2_Utilité!P112/2_Utilité!AO112,0)</f>
        <v>0</v>
      </c>
      <c r="Q112" s="0" t="n">
        <f aca="false">IF(2_Utilité!AO112&gt;0,2_Utilité!Q112/2_Utilité!AO112,0)</f>
        <v>0</v>
      </c>
      <c r="R112" s="0" t="n">
        <f aca="false">IF(2_Utilité!AO112&gt;0,2_Utilité!R112/2_Utilité!AO112,0)</f>
        <v>0</v>
      </c>
      <c r="S112" s="0" t="n">
        <f aca="false">IF(2_Utilité!AO112&gt;0,2_Utilité!S112/2_Utilité!AO112,0)</f>
        <v>0</v>
      </c>
      <c r="T112" s="0" t="n">
        <f aca="false">IF(2_Utilité!AO112&gt;0,2_Utilité!T112/2_Utilité!AO112,0)</f>
        <v>0.0100688667793455</v>
      </c>
      <c r="U112" s="0" t="n">
        <f aca="false">IF(2_Utilité!AO112&gt;0,2_Utilité!U112/2_Utilité!AO112,0)</f>
        <v>0.375964594024091</v>
      </c>
      <c r="V112" s="0" t="n">
        <f aca="false">IF(2_Utilité!AO112&gt;0,2_Utilité!V112/2_Utilité!AO112,0)</f>
        <v>0.138866605956761</v>
      </c>
      <c r="W112" s="0" t="n">
        <f aca="false">IF(2_Utilité!AO112&gt;0,2_Utilité!W112/2_Utilité!AO112,0)</f>
        <v>0.0294467498483798</v>
      </c>
      <c r="X112" s="0" t="n">
        <f aca="false">IF(2_Utilité!AO112&gt;0,2_Utilité!X112/2_Utilité!AO112,0)</f>
        <v>0.0454785756486631</v>
      </c>
      <c r="Y112" s="0" t="n">
        <f aca="false">IF(2_Utilité!AO112&gt;0,2_Utilité!Y112/2_Utilité!AO112,0)</f>
        <v>0.0302915396794431</v>
      </c>
      <c r="Z112" s="0" t="n">
        <f aca="false">IF(2_Utilité!AO112&gt;0,2_Utilité!Z112/2_Utilité!AO112,0)</f>
        <v>0.0737575895474104</v>
      </c>
      <c r="AA112" s="0" t="n">
        <f aca="false">IF(2_Utilité!AO112&gt;0,2_Utilité!AA112/2_Utilité!AO112,0)</f>
        <v>0.154508856201869</v>
      </c>
      <c r="AB112" s="0" t="n">
        <f aca="false">IF(2_Utilité!AO112&gt;0,2_Utilité!AB112/2_Utilité!AO112,0)</f>
        <v>0.0776522624205004</v>
      </c>
      <c r="AC112" s="0" t="n">
        <f aca="false">IF(2_Utilité!AO112&gt;0,2_Utilité!AC112/2_Utilité!AO112,0)</f>
        <v>0</v>
      </c>
      <c r="AD112" s="0" t="n">
        <f aca="false">IF(2_Utilité!AO112&gt;0,2_Utilité!AD112/2_Utilité!AO112,0)</f>
        <v>0</v>
      </c>
      <c r="AE112" s="0" t="n">
        <f aca="false">IF(2_Utilité!AO112&gt;0,2_Utilité!AE112/2_Utilité!AO112,0)</f>
        <v>0</v>
      </c>
      <c r="AF112" s="0" t="n">
        <f aca="false">IF(2_Utilité!AO112&gt;0,2_Utilité!AF112/2_Utilité!AO112,0)</f>
        <v>0</v>
      </c>
      <c r="AG112" s="0" t="n">
        <f aca="false">IF(2_Utilité!AO112&gt;0,2_Utilité!AG112/2_Utilité!AO112,0)</f>
        <v>0</v>
      </c>
      <c r="AH112" s="0" t="n">
        <f aca="false">IF(2_Utilité!AO112&gt;0,2_Utilité!AH112/2_Utilité!AO112,0)</f>
        <v>0</v>
      </c>
      <c r="AI112" s="0" t="n">
        <f aca="false">IF(2_Utilité!AO112&gt;0,2_Utilité!AI112/2_Utilité!AO112,0)</f>
        <v>0</v>
      </c>
      <c r="AJ112" s="0" t="n">
        <f aca="false">IF(2_Utilité!AO112&gt;0,2_Utilité!AJ112/2_Utilité!AO112,0)</f>
        <v>0.063964359893536</v>
      </c>
      <c r="AK112" s="0" t="n">
        <f aca="false">IF(2_Utilité!AO112&gt;0,2_Utilité!AK112/2_Utilité!AO112,0)</f>
        <v>0</v>
      </c>
      <c r="AL112" s="0" t="n">
        <f aca="false">IF(2_Utilité!AO112&gt;0,2_Utilité!AL112/2_Utilité!AO112,0)</f>
        <v>0</v>
      </c>
      <c r="AM112" s="48" t="n">
        <f aca="false">IF(2_Utilité!AO112&gt;0,2_Utilité!AM112/2_Utilité!AO112,0)</f>
        <v>0</v>
      </c>
      <c r="AN112" s="43" t="n">
        <f aca="false">IF(2_Utilité!AO112&gt;0,2_Utilité!AN112/2_Utilité!AO112,0)</f>
        <v>0</v>
      </c>
      <c r="AO112" s="43" t="n">
        <f aca="false">SUM(C112:AN112)</f>
        <v>1</v>
      </c>
      <c r="AP112" s="43" t="n">
        <f aca="false">COUNTIF(Matrice_OD!$C112:$AN112,"&lt;="&amp;Param!$B$2)</f>
        <v>10</v>
      </c>
    </row>
    <row r="113" customFormat="false" ht="15" hidden="false" customHeight="true" outlineLevel="0" collapsed="false">
      <c r="A113" s="0" t="s">
        <v>324</v>
      </c>
      <c r="B113" s="0" t="s">
        <v>325</v>
      </c>
      <c r="C113" s="0" t="n">
        <f aca="false">IF(2_Utilité!AO113&gt;0,2_Utilité!C113/2_Utilité!AO113,0)</f>
        <v>0.00193443687103103</v>
      </c>
      <c r="D113" s="0" t="n">
        <f aca="false">IF(2_Utilité!AO113&gt;0,2_Utilité!D113/2_Utilité!AO113,0)</f>
        <v>0.00708550648287958</v>
      </c>
      <c r="E113" s="0" t="n">
        <f aca="false">IF(2_Utilité!AO113&gt;0,2_Utilité!E113/2_Utilité!AO113,0)</f>
        <v>0.0801613393651332</v>
      </c>
      <c r="F113" s="0" t="n">
        <f aca="false">IF(2_Utilité!AO113&gt;0,2_Utilité!F113/2_Utilité!AO113,0)</f>
        <v>0.0147006086131313</v>
      </c>
      <c r="G113" s="0" t="n">
        <f aca="false">IF(2_Utilité!AO113&gt;0,2_Utilité!G113/2_Utilité!AO113,0)</f>
        <v>0.0411369722091445</v>
      </c>
      <c r="H113" s="0" t="n">
        <f aca="false">IF(2_Utilité!AO113&gt;0,2_Utilité!H113/2_Utilité!AO113,0)</f>
        <v>0.0108479193959623</v>
      </c>
      <c r="I113" s="0" t="n">
        <f aca="false">IF(2_Utilité!AO113&gt;0,2_Utilité!I113/2_Utilité!AO113,0)</f>
        <v>0.0247199063497933</v>
      </c>
      <c r="J113" s="0" t="n">
        <f aca="false">IF(2_Utilité!AO113&gt;0,2_Utilité!J113/2_Utilité!AO113,0)</f>
        <v>0.0189030569466151</v>
      </c>
      <c r="K113" s="0" t="n">
        <f aca="false">IF(2_Utilité!AO113&gt;0,2_Utilité!K113/2_Utilité!AO113,0)</f>
        <v>0.0112791649746278</v>
      </c>
      <c r="L113" s="0" t="n">
        <f aca="false">IF(2_Utilité!AO113&gt;0,2_Utilité!L113/2_Utilité!AO113,0)</f>
        <v>0.0123755773067523</v>
      </c>
      <c r="M113" s="0" t="n">
        <f aca="false">IF(2_Utilité!AO113&gt;0,2_Utilité!M113/2_Utilité!AO113,0)</f>
        <v>0.0711851744022628</v>
      </c>
      <c r="N113" s="0" t="n">
        <f aca="false">IF(2_Utilité!AO113&gt;0,2_Utilité!N113/2_Utilité!AO113,0)</f>
        <v>0.00875851043142951</v>
      </c>
      <c r="O113" s="0" t="n">
        <f aca="false">IF(2_Utilité!AO113&gt;0,2_Utilité!O113/2_Utilité!AO113,0)</f>
        <v>0.028171378882126</v>
      </c>
      <c r="P113" s="0" t="n">
        <f aca="false">IF(2_Utilité!AO113&gt;0,2_Utilité!P113/2_Utilité!AO113,0)</f>
        <v>0.0140079469315495</v>
      </c>
      <c r="Q113" s="0" t="n">
        <f aca="false">IF(2_Utilité!AO113&gt;0,2_Utilité!Q113/2_Utilité!AO113,0)</f>
        <v>0.124382150145089</v>
      </c>
      <c r="R113" s="0" t="n">
        <f aca="false">IF(2_Utilité!AO113&gt;0,2_Utilité!R113/2_Utilité!AO113,0)</f>
        <v>0.0163760588068677</v>
      </c>
      <c r="S113" s="0" t="n">
        <f aca="false">IF(2_Utilité!AO113&gt;0,2_Utilité!S113/2_Utilité!AO113,0)</f>
        <v>0.0118295361111908</v>
      </c>
      <c r="T113" s="0" t="n">
        <f aca="false">IF(2_Utilité!AO113&gt;0,2_Utilité!T113/2_Utilité!AO113,0)</f>
        <v>0.0162359293932136</v>
      </c>
      <c r="U113" s="0" t="n">
        <f aca="false">IF(2_Utilité!AO113&gt;0,2_Utilité!U113/2_Utilité!AO113,0)</f>
        <v>0.0805311273071986</v>
      </c>
      <c r="V113" s="0" t="n">
        <f aca="false">IF(2_Utilité!AO113&gt;0,2_Utilité!V113/2_Utilité!AO113,0)</f>
        <v>0.0802772805175843</v>
      </c>
      <c r="W113" s="0" t="n">
        <f aca="false">IF(2_Utilité!AO113&gt;0,2_Utilité!W113/2_Utilité!AO113,0)</f>
        <v>0.017483521578452</v>
      </c>
      <c r="X113" s="0" t="n">
        <f aca="false">IF(2_Utilité!AO113&gt;0,2_Utilité!X113/2_Utilité!AO113,0)</f>
        <v>0.0259919238555081</v>
      </c>
      <c r="Y113" s="0" t="n">
        <f aca="false">IF(2_Utilité!AO113&gt;0,2_Utilité!Y113/2_Utilité!AO113,0)</f>
        <v>0.0173063797347314</v>
      </c>
      <c r="Z113" s="0" t="n">
        <f aca="false">IF(2_Utilité!AO113&gt;0,2_Utilité!Z113/2_Utilité!AO113,0)</f>
        <v>0.0424893840080605</v>
      </c>
      <c r="AA113" s="0" t="n">
        <f aca="false">IF(2_Utilité!AO113&gt;0,2_Utilité!AA113/2_Utilité!AO113,0)</f>
        <v>0.0877778819501476</v>
      </c>
      <c r="AB113" s="0" t="n">
        <f aca="false">IF(2_Utilité!AO113&gt;0,2_Utilité!AB113/2_Utilité!AO113,0)</f>
        <v>0.0425691321347598</v>
      </c>
      <c r="AC113" s="0" t="n">
        <f aca="false">IF(2_Utilité!AO113&gt;0,2_Utilité!AC113/2_Utilité!AO113,0)</f>
        <v>0</v>
      </c>
      <c r="AD113" s="0" t="n">
        <f aca="false">IF(2_Utilité!AO113&gt;0,2_Utilité!AD113/2_Utilité!AO113,0)</f>
        <v>0</v>
      </c>
      <c r="AE113" s="0" t="n">
        <f aca="false">IF(2_Utilité!AO113&gt;0,2_Utilité!AE113/2_Utilité!AO113,0)</f>
        <v>0</v>
      </c>
      <c r="AF113" s="0" t="n">
        <f aca="false">IF(2_Utilité!AO113&gt;0,2_Utilité!AF113/2_Utilité!AO113,0)</f>
        <v>0</v>
      </c>
      <c r="AG113" s="0" t="n">
        <f aca="false">IF(2_Utilité!AO113&gt;0,2_Utilité!AG113/2_Utilité!AO113,0)</f>
        <v>0</v>
      </c>
      <c r="AH113" s="0" t="n">
        <f aca="false">IF(2_Utilité!AO113&gt;0,2_Utilité!AH113/2_Utilité!AO113,0)</f>
        <v>0.042972058111208</v>
      </c>
      <c r="AI113" s="0" t="n">
        <f aca="false">IF(2_Utilité!AO113&gt;0,2_Utilité!AI113/2_Utilité!AO113,0)</f>
        <v>0.0066429474921155</v>
      </c>
      <c r="AJ113" s="0" t="n">
        <f aca="false">IF(2_Utilité!AO113&gt;0,2_Utilité!AJ113/2_Utilité!AO113,0)</f>
        <v>0.0374191953673218</v>
      </c>
      <c r="AK113" s="0" t="n">
        <f aca="false">IF(2_Utilité!AO113&gt;0,2_Utilité!AK113/2_Utilité!AO113,0)</f>
        <v>0</v>
      </c>
      <c r="AL113" s="0" t="n">
        <f aca="false">IF(2_Utilité!AO113&gt;0,2_Utilité!AL113/2_Utilité!AO113,0)</f>
        <v>0</v>
      </c>
      <c r="AM113" s="49" t="n">
        <f aca="false">IF(2_Utilité!AO113&gt;0,2_Utilité!AM113/2_Utilité!AO113,0)</f>
        <v>0.00444799432411317</v>
      </c>
      <c r="AN113" s="43" t="n">
        <f aca="false">IF(2_Utilité!AO113&gt;0,2_Utilité!AN113/2_Utilité!AO113,0)</f>
        <v>0</v>
      </c>
      <c r="AO113" s="43" t="n">
        <f aca="false">SUM(C113:AN113)</f>
        <v>1</v>
      </c>
      <c r="AP113" s="43" t="n">
        <f aca="false">COUNTIF(Matrice_OD!$C113:$AN113,"&lt;="&amp;Param!$B$2)</f>
        <v>30</v>
      </c>
    </row>
    <row r="114" customFormat="false" ht="15" hidden="false" customHeight="true" outlineLevel="0" collapsed="false">
      <c r="A114" s="0" t="s">
        <v>326</v>
      </c>
      <c r="B114" s="0" t="s">
        <v>327</v>
      </c>
      <c r="C114" s="0" t="n">
        <f aca="false">IF(2_Utilité!AO114&gt;0,2_Utilité!C114/2_Utilité!AO114,0)</f>
        <v>0.0106221323787746</v>
      </c>
      <c r="D114" s="0" t="n">
        <f aca="false">IF(2_Utilité!AO114&gt;0,2_Utilité!D114/2_Utilité!AO114,0)</f>
        <v>0.00461955609822287</v>
      </c>
      <c r="E114" s="0" t="n">
        <f aca="false">IF(2_Utilité!AO114&gt;0,2_Utilité!E114/2_Utilité!AO114,0)</f>
        <v>0.045834172722472</v>
      </c>
      <c r="F114" s="0" t="n">
        <f aca="false">IF(2_Utilité!AO114&gt;0,2_Utilité!F114/2_Utilité!AO114,0)</f>
        <v>0.00844054352835344</v>
      </c>
      <c r="G114" s="0" t="n">
        <f aca="false">IF(2_Utilité!AO114&gt;0,2_Utilité!G114/2_Utilité!AO114,0)</f>
        <v>0.0223429535451123</v>
      </c>
      <c r="H114" s="0" t="n">
        <f aca="false">IF(2_Utilité!AO114&gt;0,2_Utilité!H114/2_Utilité!AO114,0)</f>
        <v>0.00642184428243365</v>
      </c>
      <c r="I114" s="0" t="n">
        <f aca="false">IF(2_Utilité!AO114&gt;0,2_Utilité!I114/2_Utilité!AO114,0)</f>
        <v>0.0127838240340643</v>
      </c>
      <c r="J114" s="0" t="n">
        <f aca="false">IF(2_Utilité!AO114&gt;0,2_Utilité!J114/2_Utilité!AO114,0)</f>
        <v>0.00979036247015963</v>
      </c>
      <c r="K114" s="0" t="n">
        <f aca="false">IF(2_Utilité!AO114&gt;0,2_Utilité!K114/2_Utilité!AO114,0)</f>
        <v>0.0060252662848893</v>
      </c>
      <c r="L114" s="0" t="n">
        <f aca="false">IF(2_Utilité!AO114&gt;0,2_Utilité!L114/2_Utilité!AO114,0)</f>
        <v>0.00640221049358828</v>
      </c>
      <c r="M114" s="0" t="n">
        <f aca="false">IF(2_Utilité!AO114&gt;0,2_Utilité!M114/2_Utilité!AO114,0)</f>
        <v>0.0372802062558329</v>
      </c>
      <c r="N114" s="0" t="n">
        <f aca="false">IF(2_Utilité!AO114&gt;0,2_Utilité!N114/2_Utilité!AO114,0)</f>
        <v>0.00465354103450143</v>
      </c>
      <c r="O114" s="0" t="n">
        <f aca="false">IF(2_Utilité!AO114&gt;0,2_Utilité!O114/2_Utilité!AO114,0)</f>
        <v>0.0144756300334688</v>
      </c>
      <c r="P114" s="0" t="n">
        <f aca="false">IF(2_Utilité!AO114&gt;0,2_Utilité!P114/2_Utilité!AO114,0)</f>
        <v>0.00697996493445616</v>
      </c>
      <c r="Q114" s="0" t="n">
        <f aca="false">IF(2_Utilité!AO114&gt;0,2_Utilité!Q114/2_Utilité!AO114,0)</f>
        <v>0.0599104240183635</v>
      </c>
      <c r="R114" s="0" t="n">
        <f aca="false">IF(2_Utilité!AO114&gt;0,2_Utilité!R114/2_Utilité!AO114,0)</f>
        <v>0.00790388138144929</v>
      </c>
      <c r="S114" s="0" t="n">
        <f aca="false">IF(2_Utilité!AO114&gt;0,2_Utilité!S114/2_Utilité!AO114,0)</f>
        <v>0.00579380797257825</v>
      </c>
      <c r="T114" s="0" t="n">
        <f aca="false">IF(2_Utilité!AO114&gt;0,2_Utilité!T114/2_Utilité!AO114,0)</f>
        <v>0.0545032935188348</v>
      </c>
      <c r="U114" s="0" t="n">
        <f aca="false">IF(2_Utilité!AO114&gt;0,2_Utilité!U114/2_Utilité!AO114,0)</f>
        <v>0.128355324694203</v>
      </c>
      <c r="V114" s="0" t="n">
        <f aca="false">IF(2_Utilité!AO114&gt;0,2_Utilité!V114/2_Utilité!AO114,0)</f>
        <v>0.119966018209972</v>
      </c>
      <c r="W114" s="0" t="n">
        <f aca="false">IF(2_Utilité!AO114&gt;0,2_Utilité!W114/2_Utilité!AO114,0)</f>
        <v>0.0239192396814626</v>
      </c>
      <c r="X114" s="0" t="n">
        <f aca="false">IF(2_Utilité!AO114&gt;0,2_Utilité!X114/2_Utilité!AO114,0)</f>
        <v>0.0347988096941727</v>
      </c>
      <c r="Y114" s="0" t="n">
        <f aca="false">IF(2_Utilité!AO114&gt;0,2_Utilité!Y114/2_Utilité!AO114,0)</f>
        <v>0.0225442502490453</v>
      </c>
      <c r="Z114" s="0" t="n">
        <f aca="false">IF(2_Utilité!AO114&gt;0,2_Utilité!Z114/2_Utilité!AO114,0)</f>
        <v>0.054039891943753</v>
      </c>
      <c r="AA114" s="0" t="n">
        <f aca="false">IF(2_Utilité!AO114&gt;0,2_Utilité!AA114/2_Utilité!AO114,0)</f>
        <v>0.120650090719379</v>
      </c>
      <c r="AB114" s="0" t="n">
        <f aca="false">IF(2_Utilité!AO114&gt;0,2_Utilité!AB114/2_Utilité!AO114,0)</f>
        <v>0.0514240456542174</v>
      </c>
      <c r="AC114" s="0" t="n">
        <f aca="false">IF(2_Utilité!AO114&gt;0,2_Utilité!AC114/2_Utilité!AO114,0)</f>
        <v>0</v>
      </c>
      <c r="AD114" s="0" t="n">
        <f aca="false">IF(2_Utilité!AO114&gt;0,2_Utilité!AD114/2_Utilité!AO114,0)</f>
        <v>0</v>
      </c>
      <c r="AE114" s="0" t="n">
        <f aca="false">IF(2_Utilité!AO114&gt;0,2_Utilité!AE114/2_Utilité!AO114,0)</f>
        <v>0</v>
      </c>
      <c r="AF114" s="0" t="n">
        <f aca="false">IF(2_Utilité!AO114&gt;0,2_Utilité!AF114/2_Utilité!AO114,0)</f>
        <v>0</v>
      </c>
      <c r="AG114" s="0" t="n">
        <f aca="false">IF(2_Utilité!AO114&gt;0,2_Utilité!AG114/2_Utilité!AO114,0)</f>
        <v>0</v>
      </c>
      <c r="AH114" s="0" t="n">
        <f aca="false">IF(2_Utilité!AO114&gt;0,2_Utilité!AH114/2_Utilité!AO114,0)</f>
        <v>0.019556094053623</v>
      </c>
      <c r="AI114" s="0" t="n">
        <f aca="false">IF(2_Utilité!AO114&gt;0,2_Utilité!AI114/2_Utilité!AO114,0)</f>
        <v>0.0230429834829999</v>
      </c>
      <c r="AJ114" s="0" t="n">
        <f aca="false">IF(2_Utilité!AO114&gt;0,2_Utilité!AJ114/2_Utilité!AO114,0)</f>
        <v>0.0521606506439826</v>
      </c>
      <c r="AK114" s="0" t="n">
        <f aca="false">IF(2_Utilité!AO114&gt;0,2_Utilité!AK114/2_Utilité!AO114,0)</f>
        <v>0</v>
      </c>
      <c r="AL114" s="0" t="n">
        <f aca="false">IF(2_Utilité!AO114&gt;0,2_Utilité!AL114/2_Utilité!AO114,0)</f>
        <v>0</v>
      </c>
      <c r="AM114" s="48" t="n">
        <f aca="false">IF(2_Utilité!AO114&gt;0,2_Utilité!AM114/2_Utilité!AO114,0)</f>
        <v>0.0247589859856343</v>
      </c>
      <c r="AN114" s="43" t="n">
        <f aca="false">IF(2_Utilité!AO114&gt;0,2_Utilité!AN114/2_Utilité!AO114,0)</f>
        <v>0</v>
      </c>
      <c r="AO114" s="43" t="n">
        <f aca="false">SUM(C114:AN114)</f>
        <v>1</v>
      </c>
      <c r="AP114" s="43" t="n">
        <f aca="false">COUNTIF(Matrice_OD!$C114:$AN114,"&lt;="&amp;Param!$B$2)</f>
        <v>30</v>
      </c>
    </row>
    <row r="115" customFormat="false" ht="15" hidden="false" customHeight="true" outlineLevel="0" collapsed="false">
      <c r="A115" s="0" t="s">
        <v>328</v>
      </c>
      <c r="B115" s="0" t="s">
        <v>329</v>
      </c>
      <c r="C115" s="0" t="n">
        <f aca="false">IF(2_Utilité!AO115&gt;0,2_Utilité!C115/2_Utilité!AO115,0)</f>
        <v>0</v>
      </c>
      <c r="D115" s="0" t="n">
        <f aca="false">IF(2_Utilité!AO115&gt;0,2_Utilité!D115/2_Utilité!AO115,0)</f>
        <v>0.0057303046167891</v>
      </c>
      <c r="E115" s="0" t="n">
        <f aca="false">IF(2_Utilité!AO115&gt;0,2_Utilité!E115/2_Utilité!AO115,0)</f>
        <v>0.0653089219804712</v>
      </c>
      <c r="F115" s="0" t="n">
        <f aca="false">IF(2_Utilité!AO115&gt;0,2_Utilité!F115/2_Utilité!AO115,0)</f>
        <v>0.0120593212726527</v>
      </c>
      <c r="G115" s="0" t="n">
        <f aca="false">IF(2_Utilité!AO115&gt;0,2_Utilité!G115/2_Utilité!AO115,0)</f>
        <v>0.0335065338073122</v>
      </c>
      <c r="H115" s="0" t="n">
        <f aca="false">IF(2_Utilité!AO115&gt;0,2_Utilité!H115/2_Utilité!AO115,0)</f>
        <v>0.00935809248834484</v>
      </c>
      <c r="I115" s="0" t="n">
        <f aca="false">IF(2_Utilité!AO115&gt;0,2_Utilité!I115/2_Utilité!AO115,0)</f>
        <v>0.0211980314341763</v>
      </c>
      <c r="J115" s="0" t="n">
        <f aca="false">IF(2_Utilité!AO115&gt;0,2_Utilité!J115/2_Utilité!AO115,0)</f>
        <v>0.0159341617897522</v>
      </c>
      <c r="K115" s="0" t="n">
        <f aca="false">IF(2_Utilité!AO115&gt;0,2_Utilité!K115/2_Utilité!AO115,0)</f>
        <v>0.00933528243950545</v>
      </c>
      <c r="L115" s="0" t="n">
        <f aca="false">IF(2_Utilité!AO115&gt;0,2_Utilité!L115/2_Utilité!AO115,0)</f>
        <v>0.0106178116633578</v>
      </c>
      <c r="M115" s="0" t="n">
        <f aca="false">IF(2_Utilité!AO115&gt;0,2_Utilité!M115/2_Utilité!AO115,0)</f>
        <v>0.0630374425092005</v>
      </c>
      <c r="N115" s="0" t="n">
        <f aca="false">IF(2_Utilité!AO115&gt;0,2_Utilité!N115/2_Utilité!AO115,0)</f>
        <v>0.00741487318355444</v>
      </c>
      <c r="O115" s="0" t="n">
        <f aca="false">IF(2_Utilité!AO115&gt;0,2_Utilité!O115/2_Utilité!AO115,0)</f>
        <v>0.023952887625728</v>
      </c>
      <c r="P115" s="0" t="n">
        <f aca="false">IF(2_Utilité!AO115&gt;0,2_Utilité!P115/2_Utilité!AO115,0)</f>
        <v>0.0120228648145996</v>
      </c>
      <c r="Q115" s="0" t="n">
        <f aca="false">IF(2_Utilité!AO115&gt;0,2_Utilité!Q115/2_Utilité!AO115,0)</f>
        <v>0.107027465198045</v>
      </c>
      <c r="R115" s="0" t="n">
        <f aca="false">IF(2_Utilité!AO115&gt;0,2_Utilité!R115/2_Utilité!AO115,0)</f>
        <v>0.0140197142414316</v>
      </c>
      <c r="S115" s="0" t="n">
        <f aca="false">IF(2_Utilité!AO115&gt;0,2_Utilité!S115/2_Utilité!AO115,0)</f>
        <v>0.00997667063641814</v>
      </c>
      <c r="T115" s="0" t="n">
        <f aca="false">IF(2_Utilité!AO115&gt;0,2_Utilité!T115/2_Utilité!AO115,0)</f>
        <v>0.0151798884712856</v>
      </c>
      <c r="U115" s="0" t="n">
        <f aca="false">IF(2_Utilité!AO115&gt;0,2_Utilité!U115/2_Utilité!AO115,0)</f>
        <v>0.157143265322608</v>
      </c>
      <c r="V115" s="0" t="n">
        <f aca="false">IF(2_Utilité!AO115&gt;0,2_Utilité!V115/2_Utilité!AO115,0)</f>
        <v>0.0775403501146717</v>
      </c>
      <c r="W115" s="0" t="n">
        <f aca="false">IF(2_Utilité!AO115&gt;0,2_Utilité!W115/2_Utilité!AO115,0)</f>
        <v>0.0175785733135875</v>
      </c>
      <c r="X115" s="0" t="n">
        <f aca="false">IF(2_Utilité!AO115&gt;0,2_Utilité!X115/2_Utilité!AO115,0)</f>
        <v>0.0269766397791886</v>
      </c>
      <c r="Y115" s="0" t="n">
        <f aca="false">IF(2_Utilité!AO115&gt;0,2_Utilité!Y115/2_Utilité!AO115,0)</f>
        <v>0.0179537127645481</v>
      </c>
      <c r="Z115" s="0" t="n">
        <f aca="false">IF(2_Utilité!AO115&gt;0,2_Utilité!Z115/2_Utilité!AO115,0)</f>
        <v>0.043783293732114</v>
      </c>
      <c r="AA115" s="0" t="n">
        <f aca="false">IF(2_Utilité!AO115&gt;0,2_Utilité!AA115/2_Utilité!AO115,0)</f>
        <v>0.0915480382798723</v>
      </c>
      <c r="AB115" s="0" t="n">
        <f aca="false">IF(2_Utilité!AO115&gt;0,2_Utilité!AB115/2_Utilité!AO115,0)</f>
        <v>0.0456712698734013</v>
      </c>
      <c r="AC115" s="0" t="n">
        <f aca="false">IF(2_Utilité!AO115&gt;0,2_Utilité!AC115/2_Utilité!AO115,0)</f>
        <v>0</v>
      </c>
      <c r="AD115" s="0" t="n">
        <f aca="false">IF(2_Utilité!AO115&gt;0,2_Utilité!AD115/2_Utilité!AO115,0)</f>
        <v>0.00446468695618139</v>
      </c>
      <c r="AE115" s="0" t="n">
        <f aca="false">IF(2_Utilité!AO115&gt;0,2_Utilité!AE115/2_Utilité!AO115,0)</f>
        <v>0</v>
      </c>
      <c r="AF115" s="0" t="n">
        <f aca="false">IF(2_Utilité!AO115&gt;0,2_Utilité!AF115/2_Utilité!AO115,0)</f>
        <v>0</v>
      </c>
      <c r="AG115" s="0" t="n">
        <f aca="false">IF(2_Utilité!AO115&gt;0,2_Utilité!AG115/2_Utilité!AO115,0)</f>
        <v>0</v>
      </c>
      <c r="AH115" s="0" t="n">
        <f aca="false">IF(2_Utilité!AO115&gt;0,2_Utilité!AH115/2_Utilité!AO115,0)</f>
        <v>0.0376548172411489</v>
      </c>
      <c r="AI115" s="0" t="n">
        <f aca="false">IF(2_Utilité!AO115&gt;0,2_Utilité!AI115/2_Utilité!AO115,0)</f>
        <v>0.00592612205622264</v>
      </c>
      <c r="AJ115" s="0" t="n">
        <f aca="false">IF(2_Utilité!AO115&gt;0,2_Utilité!AJ115/2_Utilité!AO115,0)</f>
        <v>0.038078962393831</v>
      </c>
      <c r="AK115" s="0" t="n">
        <f aca="false">IF(2_Utilité!AO115&gt;0,2_Utilité!AK115/2_Utilité!AO115,0)</f>
        <v>0</v>
      </c>
      <c r="AL115" s="0" t="n">
        <f aca="false">IF(2_Utilité!AO115&gt;0,2_Utilité!AL115/2_Utilité!AO115,0)</f>
        <v>0</v>
      </c>
      <c r="AM115" s="49" t="n">
        <f aca="false">IF(2_Utilité!AO115&gt;0,2_Utilité!AM115/2_Utilité!AO115,0)</f>
        <v>0</v>
      </c>
      <c r="AN115" s="43" t="n">
        <f aca="false">IF(2_Utilité!AO115&gt;0,2_Utilité!AN115/2_Utilité!AO115,0)</f>
        <v>0</v>
      </c>
      <c r="AO115" s="43" t="n">
        <f aca="false">SUM(C115:AN115)</f>
        <v>1</v>
      </c>
      <c r="AP115" s="43" t="n">
        <f aca="false">COUNTIF(Matrice_OD!$C115:$AN115,"&lt;="&amp;Param!$B$2)</f>
        <v>29</v>
      </c>
    </row>
    <row r="116" customFormat="false" ht="15" hidden="false" customHeight="true" outlineLevel="0" collapsed="false">
      <c r="A116" s="0" t="s">
        <v>330</v>
      </c>
      <c r="B116" s="0" t="s">
        <v>331</v>
      </c>
      <c r="C116" s="0" t="n">
        <f aca="false">IF(2_Utilité!AO116&gt;0,2_Utilité!C116/2_Utilité!AO116,0)</f>
        <v>0</v>
      </c>
      <c r="D116" s="0" t="n">
        <f aca="false">IF(2_Utilité!AO116&gt;0,2_Utilité!D116/2_Utilité!AO116,0)</f>
        <v>0.00464666179430794</v>
      </c>
      <c r="E116" s="0" t="n">
        <f aca="false">IF(2_Utilité!AO116&gt;0,2_Utilité!E116/2_Utilité!AO116,0)</f>
        <v>0.0530341934411795</v>
      </c>
      <c r="F116" s="0" t="n">
        <f aca="false">IF(2_Utilité!AO116&gt;0,2_Utilité!F116/2_Utilité!AO116,0)</f>
        <v>0.00980581401731029</v>
      </c>
      <c r="G116" s="0" t="n">
        <f aca="false">IF(2_Utilité!AO116&gt;0,2_Utilité!G116/2_Utilité!AO116,0)</f>
        <v>0.0271816147384007</v>
      </c>
      <c r="H116" s="0" t="n">
        <f aca="false">IF(2_Utilité!AO116&gt;0,2_Utilité!H116/2_Utilité!AO116,0)</f>
        <v>0.00767673832098706</v>
      </c>
      <c r="I116" s="0" t="n">
        <f aca="false">IF(2_Utilité!AO116&gt;0,2_Utilité!I116/2_Utilité!AO116,0)</f>
        <v>0.0173876567870196</v>
      </c>
      <c r="J116" s="0" t="n">
        <f aca="false">IF(2_Utilité!AO116&gt;0,2_Utilité!J116/2_Utilité!AO116,0)</f>
        <v>0.0130127266029217</v>
      </c>
      <c r="K116" s="0" t="n">
        <f aca="false">IF(2_Utilité!AO116&gt;0,2_Utilité!K116/2_Utilité!AO116,0)</f>
        <v>0.00760390432351442</v>
      </c>
      <c r="L116" s="0" t="n">
        <f aca="false">IF(2_Utilité!AO116&gt;0,2_Utilité!L116/2_Utilité!AO116,0)</f>
        <v>0.00871010339393804</v>
      </c>
      <c r="M116" s="0" t="n">
        <f aca="false">IF(2_Utilité!AO116&gt;0,2_Utilité!M116/2_Utilité!AO116,0)</f>
        <v>0.0519751193283166</v>
      </c>
      <c r="N116" s="0" t="n">
        <f aca="false">IF(2_Utilité!AO116&gt;0,2_Utilité!N116/2_Utilité!AO116,0)</f>
        <v>0.0060661894726709</v>
      </c>
      <c r="O116" s="0" t="n">
        <f aca="false">IF(2_Utilité!AO116&gt;0,2_Utilité!O116/2_Utilité!AO116,0)</f>
        <v>0.0195941149355583</v>
      </c>
      <c r="P116" s="0" t="n">
        <f aca="false">IF(2_Utilité!AO116&gt;0,2_Utilité!P116/2_Utilité!AO116,0)</f>
        <v>0.00985300551264447</v>
      </c>
      <c r="Q116" s="0" t="n">
        <f aca="false">IF(2_Utilité!AO116&gt;0,2_Utilité!Q116/2_Utilité!AO116,0)</f>
        <v>0.0877546872372152</v>
      </c>
      <c r="R116" s="0" t="n">
        <f aca="false">IF(2_Utilité!AO116&gt;0,2_Utilité!R116/2_Utilité!AO116,0)</f>
        <v>0.0114945571661004</v>
      </c>
      <c r="S116" s="0" t="n">
        <f aca="false">IF(2_Utilité!AO116&gt;0,2_Utilité!S116/2_Utilité!AO116,0)</f>
        <v>0.00815599850545931</v>
      </c>
      <c r="T116" s="0" t="n">
        <f aca="false">IF(2_Utilité!AO116&gt;0,2_Utilité!T116/2_Utilité!AO116,0)</f>
        <v>0.012661472949886</v>
      </c>
      <c r="U116" s="0" t="n">
        <f aca="false">IF(2_Utilité!AO116&gt;0,2_Utilité!U116/2_Utilité!AO116,0)</f>
        <v>0.149324613483361</v>
      </c>
      <c r="V116" s="0" t="n">
        <f aca="false">IF(2_Utilité!AO116&gt;0,2_Utilité!V116/2_Utilité!AO116,0)</f>
        <v>0.0634395112045874</v>
      </c>
      <c r="W116" s="0" t="n">
        <f aca="false">IF(2_Utilité!AO116&gt;0,2_Utilité!W116/2_Utilité!AO116,0)</f>
        <v>0.0145185328690302</v>
      </c>
      <c r="X116" s="0" t="n">
        <f aca="false">IF(2_Utilité!AO116&gt;0,2_Utilité!X116/2_Utilité!AO116,0)</f>
        <v>0.022411136146836</v>
      </c>
      <c r="Y116" s="0" t="n">
        <f aca="false">IF(2_Utilité!AO116&gt;0,2_Utilité!Y116/2_Utilité!AO116,0)</f>
        <v>0.0149272582688726</v>
      </c>
      <c r="Z116" s="0" t="n">
        <f aca="false">IF(2_Utilité!AO116&gt;0,2_Utilité!Z116/2_Utilité!AO116,0)</f>
        <v>0.0363508110379541</v>
      </c>
      <c r="AA116" s="0" t="n">
        <f aca="false">IF(2_Utilité!AO116&gt;0,2_Utilité!AA116/2_Utilité!AO116,0)</f>
        <v>0.0761333846750988</v>
      </c>
      <c r="AB116" s="0" t="n">
        <f aca="false">IF(2_Utilité!AO116&gt;0,2_Utilité!AB116/2_Utilité!AO116,0)</f>
        <v>0.0382445323871476</v>
      </c>
      <c r="AC116" s="0" t="n">
        <f aca="false">IF(2_Utilité!AO116&gt;0,2_Utilité!AC116/2_Utilité!AO116,0)</f>
        <v>0.00613857719518132</v>
      </c>
      <c r="AD116" s="0" t="n">
        <f aca="false">IF(2_Utilité!AO116&gt;0,2_Utilité!AD116/2_Utilité!AO116,0)</f>
        <v>0.0316475825092448</v>
      </c>
      <c r="AE116" s="0" t="n">
        <f aca="false">IF(2_Utilité!AO116&gt;0,2_Utilité!AE116/2_Utilité!AO116,0)</f>
        <v>0.0189580393693139</v>
      </c>
      <c r="AF116" s="0" t="n">
        <f aca="false">IF(2_Utilité!AO116&gt;0,2_Utilité!AF116/2_Utilité!AO116,0)</f>
        <v>0.0119532890344932</v>
      </c>
      <c r="AG116" s="0" t="n">
        <f aca="false">IF(2_Utilité!AO116&gt;0,2_Utilité!AG116/2_Utilité!AO116,0)</f>
        <v>0</v>
      </c>
      <c r="AH116" s="0" t="n">
        <f aca="false">IF(2_Utilité!AO116&gt;0,2_Utilité!AH116/2_Utilité!AO116,0)</f>
        <v>0.0310158438995229</v>
      </c>
      <c r="AI116" s="0" t="n">
        <f aca="false">IF(2_Utilité!AO116&gt;0,2_Utilité!AI116/2_Utilité!AO116,0)</f>
        <v>0.00489315567470386</v>
      </c>
      <c r="AJ116" s="0" t="n">
        <f aca="false">IF(2_Utilité!AO116&gt;0,2_Utilité!AJ116/2_Utilité!AO116,0)</f>
        <v>0.0315308816648958</v>
      </c>
      <c r="AK116" s="0" t="n">
        <f aca="false">IF(2_Utilité!AO116&gt;0,2_Utilité!AK116/2_Utilité!AO116,0)</f>
        <v>0.0311055100640595</v>
      </c>
      <c r="AL116" s="0" t="n">
        <f aca="false">IF(2_Utilité!AO116&gt;0,2_Utilité!AL116/2_Utilité!AO116,0)</f>
        <v>0.0607927819882664</v>
      </c>
      <c r="AM116" s="48" t="n">
        <f aca="false">IF(2_Utilité!AO116&gt;0,2_Utilité!AM116/2_Utilité!AO116,0)</f>
        <v>0</v>
      </c>
      <c r="AN116" s="43" t="n">
        <f aca="false">IF(2_Utilité!AO116&gt;0,2_Utilité!AN116/2_Utilité!AO116,0)</f>
        <v>0</v>
      </c>
      <c r="AO116" s="43" t="n">
        <f aca="false">SUM(C116:AN116)</f>
        <v>1</v>
      </c>
      <c r="AP116" s="43" t="n">
        <f aca="false">COUNTIF(Matrice_OD!$C116:$AN116,"&lt;="&amp;Param!$B$2)</f>
        <v>34</v>
      </c>
    </row>
    <row r="117" customFormat="false" ht="15" hidden="false" customHeight="true" outlineLevel="0" collapsed="false">
      <c r="A117" s="0" t="s">
        <v>332</v>
      </c>
      <c r="B117" s="0" t="s">
        <v>333</v>
      </c>
      <c r="C117" s="0" t="n">
        <f aca="false">IF(2_Utilité!AO117&gt;0,2_Utilité!C117/2_Utilité!AO117,0)</f>
        <v>0</v>
      </c>
      <c r="D117" s="0" t="n">
        <f aca="false">IF(2_Utilité!AO117&gt;0,2_Utilité!D117/2_Utilité!AO117,0)</f>
        <v>0.00879325566207395</v>
      </c>
      <c r="E117" s="0" t="n">
        <f aca="false">IF(2_Utilité!AO117&gt;0,2_Utilité!E117/2_Utilité!AO117,0)</f>
        <v>0.0999625886023453</v>
      </c>
      <c r="F117" s="0" t="n">
        <f aca="false">IF(2_Utilité!AO117&gt;0,2_Utilité!F117/2_Utilité!AO117,0)</f>
        <v>0.0184143832427859</v>
      </c>
      <c r="G117" s="0" t="n">
        <f aca="false">IF(2_Utilité!AO117&gt;0,2_Utilité!G117/2_Utilité!AO117,0)</f>
        <v>0.0512899947723569</v>
      </c>
      <c r="H117" s="0" t="n">
        <f aca="false">IF(2_Utilité!AO117&gt;0,2_Utilité!H117/2_Utilité!AO117,0)</f>
        <v>0.0140431140529703</v>
      </c>
      <c r="I117" s="0" t="n">
        <f aca="false">IF(2_Utilité!AO117&gt;0,2_Utilité!I117/2_Utilité!AO117,0)</f>
        <v>0.0318693533452094</v>
      </c>
      <c r="J117" s="0" t="n">
        <f aca="false">IF(2_Utilité!AO117&gt;0,2_Utilité!J117/2_Utilité!AO117,0)</f>
        <v>0.0241034406719661</v>
      </c>
      <c r="K117" s="0" t="n">
        <f aca="false">IF(2_Utilité!AO117&gt;0,2_Utilité!K117/2_Utilité!AO117,0)</f>
        <v>0.0142110355166506</v>
      </c>
      <c r="L117" s="0" t="n">
        <f aca="false">IF(2_Utilité!AO117&gt;0,2_Utilité!L117/2_Utilité!AO117,0)</f>
        <v>0.0159601287883997</v>
      </c>
      <c r="M117" s="0" t="n">
        <f aca="false">IF(2_Utilité!AO117&gt;0,2_Utilité!M117/2_Utilité!AO117,0)</f>
        <v>0.093743868734551</v>
      </c>
      <c r="N117" s="0" t="n">
        <f aca="false">IF(2_Utilité!AO117&gt;0,2_Utilité!N117/2_Utilité!AO117,0)</f>
        <v>0.0111996540484307</v>
      </c>
      <c r="O117" s="0" t="n">
        <f aca="false">IF(2_Utilité!AO117&gt;0,2_Utilité!O117/2_Utilité!AO117,0)</f>
        <v>0.0361251632863516</v>
      </c>
      <c r="P117" s="0" t="n">
        <f aca="false">IF(2_Utilité!AO117&gt;0,2_Utilité!P117/2_Utilité!AO117,0)</f>
        <v>0.0180737183673934</v>
      </c>
      <c r="Q117" s="0" t="n">
        <f aca="false">IF(2_Utilité!AO117&gt;0,2_Utilité!Q117/2_Utilité!AO117,0)</f>
        <v>0.160750768631262</v>
      </c>
      <c r="R117" s="0" t="n">
        <f aca="false">IF(2_Utilité!AO117&gt;0,2_Utilité!R117/2_Utilité!AO117,0)</f>
        <v>0.0210940726179013</v>
      </c>
      <c r="S117" s="0" t="n">
        <f aca="false">IF(2_Utilité!AO117&gt;0,2_Utilité!S117/2_Utilité!AO117,0)</f>
        <v>0.0150889530623257</v>
      </c>
      <c r="T117" s="0" t="n">
        <f aca="false">IF(2_Utilité!AO117&gt;0,2_Utilité!T117/2_Utilité!AO117,0)</f>
        <v>0.00849485952443908</v>
      </c>
      <c r="U117" s="0" t="n">
        <f aca="false">IF(2_Utilité!AO117&gt;0,2_Utilité!U117/2_Utilité!AO117,0)</f>
        <v>0.0941907988903272</v>
      </c>
      <c r="V117" s="0" t="n">
        <f aca="false">IF(2_Utilité!AO117&gt;0,2_Utilité!V117/2_Utilité!AO117,0)</f>
        <v>0.039522545606629</v>
      </c>
      <c r="W117" s="0" t="n">
        <f aca="false">IF(2_Utilité!AO117&gt;0,2_Utilité!W117/2_Utilité!AO117,0)</f>
        <v>0.00905142894762621</v>
      </c>
      <c r="X117" s="0" t="n">
        <f aca="false">IF(2_Utilité!AO117&gt;0,2_Utilité!X117/2_Utilité!AO117,0)</f>
        <v>0.0139924692925474</v>
      </c>
      <c r="Y117" s="0" t="n">
        <f aca="false">IF(2_Utilité!AO117&gt;0,2_Utilité!Y117/2_Utilité!AO117,0)</f>
        <v>0.00931138880703465</v>
      </c>
      <c r="Z117" s="0" t="n">
        <f aca="false">IF(2_Utilité!AO117&gt;0,2_Utilité!Z117/2_Utilité!AO117,0)</f>
        <v>0.0226723722741445</v>
      </c>
      <c r="AA117" s="0" t="n">
        <f aca="false">IF(2_Utilité!AO117&gt;0,2_Utilité!AA117/2_Utilité!AO117,0)</f>
        <v>0.0475381112418994</v>
      </c>
      <c r="AB117" s="0" t="n">
        <f aca="false">IF(2_Utilité!AO117&gt;0,2_Utilité!AB117/2_Utilité!AO117,0)</f>
        <v>0.0238705017304152</v>
      </c>
      <c r="AC117" s="0" t="n">
        <f aca="false">IF(2_Utilité!AO117&gt;0,2_Utilité!AC117/2_Utilité!AO117,0)</f>
        <v>0.000812834791466788</v>
      </c>
      <c r="AD117" s="0" t="n">
        <f aca="false">IF(2_Utilité!AO117&gt;0,2_Utilité!AD117/2_Utilité!AO117,0)</f>
        <v>0.00422228743433342</v>
      </c>
      <c r="AE117" s="0" t="n">
        <f aca="false">IF(2_Utilité!AO117&gt;0,2_Utilité!AE117/2_Utilité!AO117,0)</f>
        <v>0.0025282989709038</v>
      </c>
      <c r="AF117" s="0" t="n">
        <f aca="false">IF(2_Utilité!AO117&gt;0,2_Utilité!AF117/2_Utilité!AO117,0)</f>
        <v>0.00157246109648896</v>
      </c>
      <c r="AG117" s="0" t="n">
        <f aca="false">IF(2_Utilité!AO117&gt;0,2_Utilité!AG117/2_Utilité!AO117,0)</f>
        <v>0</v>
      </c>
      <c r="AH117" s="0" t="n">
        <f aca="false">IF(2_Utilité!AO117&gt;0,2_Utilité!AH117/2_Utilité!AO117,0)</f>
        <v>0.0561892936006356</v>
      </c>
      <c r="AI117" s="0" t="n">
        <f aca="false">IF(2_Utilité!AO117&gt;0,2_Utilité!AI117/2_Utilité!AO117,0)</f>
        <v>0.00358193881781349</v>
      </c>
      <c r="AJ117" s="0" t="n">
        <f aca="false">IF(2_Utilité!AO117&gt;0,2_Utilité!AJ117/2_Utilité!AO117,0)</f>
        <v>0.0196617863922277</v>
      </c>
      <c r="AK117" s="0" t="n">
        <f aca="false">IF(2_Utilité!AO117&gt;0,2_Utilité!AK117/2_Utilité!AO117,0)</f>
        <v>0</v>
      </c>
      <c r="AL117" s="0" t="n">
        <f aca="false">IF(2_Utilité!AO117&gt;0,2_Utilité!AL117/2_Utilité!AO117,0)</f>
        <v>0.00806312917809352</v>
      </c>
      <c r="AM117" s="49" t="n">
        <f aca="false">IF(2_Utilité!AO117&gt;0,2_Utilité!AM117/2_Utilité!AO117,0)</f>
        <v>0</v>
      </c>
      <c r="AN117" s="43" t="n">
        <f aca="false">IF(2_Utilité!AO117&gt;0,2_Utilité!AN117/2_Utilité!AO117,0)</f>
        <v>0</v>
      </c>
      <c r="AO117" s="43" t="n">
        <f aca="false">SUM(C117:AN117)</f>
        <v>1</v>
      </c>
      <c r="AP117" s="43" t="n">
        <f aca="false">COUNTIF(Matrice_OD!$C117:$AN117,"&lt;="&amp;Param!$B$2)</f>
        <v>33</v>
      </c>
    </row>
    <row r="118" customFormat="false" ht="15" hidden="false" customHeight="true" outlineLevel="0" collapsed="false">
      <c r="A118" s="0" t="s">
        <v>334</v>
      </c>
      <c r="B118" s="0" t="s">
        <v>335</v>
      </c>
      <c r="C118" s="0" t="n">
        <f aca="false">IF(2_Utilité!AO118&gt;0,2_Utilité!C118/2_Utilité!AO118,0)</f>
        <v>0</v>
      </c>
      <c r="D118" s="0" t="n">
        <f aca="false">IF(2_Utilité!AO118&gt;0,2_Utilité!D118/2_Utilité!AO118,0)</f>
        <v>0.00800250126136703</v>
      </c>
      <c r="E118" s="0" t="n">
        <f aca="false">IF(2_Utilité!AO118&gt;0,2_Utilité!E118/2_Utilité!AO118,0)</f>
        <v>0.0907769360620788</v>
      </c>
      <c r="F118" s="0" t="n">
        <f aca="false">IF(2_Utilité!AO118&gt;0,2_Utilité!F118/2_Utilité!AO118,0)</f>
        <v>0.0166886755081009</v>
      </c>
      <c r="G118" s="0" t="n">
        <f aca="false">IF(2_Utilité!AO118&gt;0,2_Utilité!G118/2_Utilité!AO118,0)</f>
        <v>0.0465803799500183</v>
      </c>
      <c r="H118" s="0" t="n">
        <f aca="false">IF(2_Utilité!AO118&gt;0,2_Utilité!H118/2_Utilité!AO118,0)</f>
        <v>0.0125407546551271</v>
      </c>
      <c r="I118" s="0" t="n">
        <f aca="false">IF(2_Utilité!AO118&gt;0,2_Utilité!I118/2_Utilité!AO118,0)</f>
        <v>0.0285044561347118</v>
      </c>
      <c r="J118" s="0" t="n">
        <f aca="false">IF(2_Utilité!AO118&gt;0,2_Utilité!J118/2_Utilité!AO118,0)</f>
        <v>0.021671189315537</v>
      </c>
      <c r="K118" s="0" t="n">
        <f aca="false">IF(2_Utilité!AO118&gt;0,2_Utilité!K118/2_Utilité!AO118,0)</f>
        <v>0.0128457160828149</v>
      </c>
      <c r="L118" s="0" t="n">
        <f aca="false">IF(2_Utilité!AO118&gt;0,2_Utilité!L118/2_Utilité!AO118,0)</f>
        <v>0.0142831946910188</v>
      </c>
      <c r="M118" s="0" t="n">
        <f aca="false">IF(2_Utilité!AO118&gt;0,2_Utilité!M118/2_Utilité!AO118,0)</f>
        <v>0.0830752230583299</v>
      </c>
      <c r="N118" s="0" t="n">
        <f aca="false">IF(2_Utilité!AO118&gt;0,2_Utilité!N118/2_Utilité!AO118,0)</f>
        <v>0.0100567681144443</v>
      </c>
      <c r="O118" s="0" t="n">
        <f aca="false">IF(2_Utilité!AO118&gt;0,2_Utilité!O118/2_Utilité!AO118,0)</f>
        <v>0.032397669516363</v>
      </c>
      <c r="P118" s="0" t="n">
        <f aca="false">IF(2_Utilité!AO118&gt;0,2_Utilité!P118/2_Utilité!AO118,0)</f>
        <v>0.0161642170208214</v>
      </c>
      <c r="Q118" s="0" t="n">
        <f aca="false">IF(2_Utilité!AO118&gt;0,2_Utilité!Q118/2_Utilité!AO118,0)</f>
        <v>0.143660298145796</v>
      </c>
      <c r="R118" s="0" t="n">
        <f aca="false">IF(2_Utilité!AO118&gt;0,2_Utilité!R118/2_Utilité!AO118,0)</f>
        <v>0.0188795246575484</v>
      </c>
      <c r="S118" s="0" t="n">
        <f aca="false">IF(2_Utilité!AO118&gt;0,2_Utilité!S118/2_Utilité!AO118,0)</f>
        <v>0.0135643229557978</v>
      </c>
      <c r="T118" s="0" t="n">
        <f aca="false">IF(2_Utilité!AO118&gt;0,2_Utilité!T118/2_Utilité!AO118,0)</f>
        <v>0.0146814706445867</v>
      </c>
      <c r="U118" s="0" t="n">
        <f aca="false">IF(2_Utilité!AO118&gt;0,2_Utilité!U118/2_Utilité!AO118,0)</f>
        <v>0.0940262464337756</v>
      </c>
      <c r="V118" s="0" t="n">
        <f aca="false">IF(2_Utilité!AO118&gt;0,2_Utilité!V118/2_Utilité!AO118,0)</f>
        <v>0.0584564173173013</v>
      </c>
      <c r="W118" s="0" t="n">
        <f aca="false">IF(2_Utilité!AO118&gt;0,2_Utilité!W118/2_Utilité!AO118,0)</f>
        <v>0.0130890725988278</v>
      </c>
      <c r="X118" s="0" t="n">
        <f aca="false">IF(2_Utilité!AO118&gt;0,2_Utilité!X118/2_Utilité!AO118,0)</f>
        <v>0.0198625727007225</v>
      </c>
      <c r="Y118" s="0" t="n">
        <f aca="false">IF(2_Utilité!AO118&gt;0,2_Utilité!Y118/2_Utilité!AO118,0)</f>
        <v>0.0132314119591335</v>
      </c>
      <c r="Z118" s="0" t="n">
        <f aca="false">IF(2_Utilité!AO118&gt;0,2_Utilité!Z118/2_Utilité!AO118,0)</f>
        <v>0.0323386053563826</v>
      </c>
      <c r="AA118" s="0" t="n">
        <f aca="false">IF(2_Utilité!AO118&gt;0,2_Utilité!AA118/2_Utilité!AO118,0)</f>
        <v>0.0672979561341574</v>
      </c>
      <c r="AB118" s="0" t="n">
        <f aca="false">IF(2_Utilité!AO118&gt;0,2_Utilité!AB118/2_Utilité!AO118,0)</f>
        <v>0.0332882001790375</v>
      </c>
      <c r="AC118" s="0" t="n">
        <f aca="false">IF(2_Utilité!AO118&gt;0,2_Utilité!AC118/2_Utilité!AO118,0)</f>
        <v>0</v>
      </c>
      <c r="AD118" s="0" t="n">
        <f aca="false">IF(2_Utilité!AO118&gt;0,2_Utilité!AD118/2_Utilité!AO118,0)</f>
        <v>0</v>
      </c>
      <c r="AE118" s="0" t="n">
        <f aca="false">IF(2_Utilité!AO118&gt;0,2_Utilité!AE118/2_Utilité!AO118,0)</f>
        <v>0</v>
      </c>
      <c r="AF118" s="0" t="n">
        <f aca="false">IF(2_Utilité!AO118&gt;0,2_Utilité!AF118/2_Utilité!AO118,0)</f>
        <v>0</v>
      </c>
      <c r="AG118" s="0" t="n">
        <f aca="false">IF(2_Utilité!AO118&gt;0,2_Utilité!AG118/2_Utilité!AO118,0)</f>
        <v>0</v>
      </c>
      <c r="AH118" s="0" t="n">
        <f aca="false">IF(2_Utilité!AO118&gt;0,2_Utilité!AH118/2_Utilité!AO118,0)</f>
        <v>0.0499394433589123</v>
      </c>
      <c r="AI118" s="0" t="n">
        <f aca="false">IF(2_Utilité!AO118&gt;0,2_Utilité!AI118/2_Utilité!AO118,0)</f>
        <v>0.00585530634325434</v>
      </c>
      <c r="AJ118" s="0" t="n">
        <f aca="false">IF(2_Utilité!AO118&gt;0,2_Utilité!AJ118/2_Utilité!AO118,0)</f>
        <v>0.0282414698440329</v>
      </c>
      <c r="AK118" s="0" t="n">
        <f aca="false">IF(2_Utilité!AO118&gt;0,2_Utilité!AK118/2_Utilité!AO118,0)</f>
        <v>0</v>
      </c>
      <c r="AL118" s="0" t="n">
        <f aca="false">IF(2_Utilité!AO118&gt;0,2_Utilité!AL118/2_Utilité!AO118,0)</f>
        <v>0</v>
      </c>
      <c r="AM118" s="48" t="n">
        <f aca="false">IF(2_Utilité!AO118&gt;0,2_Utilité!AM118/2_Utilité!AO118,0)</f>
        <v>0</v>
      </c>
      <c r="AN118" s="43" t="n">
        <f aca="false">IF(2_Utilité!AO118&gt;0,2_Utilité!AN118/2_Utilité!AO118,0)</f>
        <v>0</v>
      </c>
      <c r="AO118" s="43" t="n">
        <f aca="false">SUM(C118:AN118)</f>
        <v>1</v>
      </c>
      <c r="AP118" s="43" t="n">
        <f aca="false">COUNTIF(Matrice_OD!$C118:$AN118,"&lt;="&amp;Param!$B$2)</f>
        <v>28</v>
      </c>
    </row>
    <row r="119" customFormat="false" ht="15" hidden="false" customHeight="true" outlineLevel="0" collapsed="false">
      <c r="A119" s="0" t="s">
        <v>336</v>
      </c>
      <c r="B119" s="0" t="s">
        <v>337</v>
      </c>
      <c r="C119" s="0" t="n">
        <f aca="false">IF(2_Utilité!AO119&gt;0,2_Utilité!C119/2_Utilité!AO119,0)</f>
        <v>0.000630632030876296</v>
      </c>
      <c r="D119" s="0" t="n">
        <f aca="false">IF(2_Utilité!AO119&gt;0,2_Utilité!D119/2_Utilité!AO119,0)</f>
        <v>0.00058053183828608</v>
      </c>
      <c r="E119" s="0" t="n">
        <f aca="false">IF(2_Utilité!AO119&gt;0,2_Utilité!E119/2_Utilité!AO119,0)</f>
        <v>0.00662033641274089</v>
      </c>
      <c r="F119" s="0" t="n">
        <f aca="false">IF(2_Utilité!AO119&gt;0,2_Utilité!F119/2_Utilité!AO119,0)</f>
        <v>0.00122426148440167</v>
      </c>
      <c r="G119" s="0" t="n">
        <f aca="false">IF(2_Utilité!AO119&gt;0,2_Utilité!G119/2_Utilité!AO119,0)</f>
        <v>0.0033964725454047</v>
      </c>
      <c r="H119" s="0" t="n">
        <f aca="false">IF(2_Utilité!AO119&gt;0,2_Utilité!H119/2_Utilité!AO119,0)</f>
        <v>0.000953028718364497</v>
      </c>
      <c r="I119" s="0" t="n">
        <f aca="false">IF(2_Utilité!AO119&gt;0,2_Utilité!I119/2_Utilité!AO119,0)</f>
        <v>0.00215983306975748</v>
      </c>
      <c r="J119" s="0" t="n">
        <f aca="false">IF(2_Utilité!AO119&gt;0,2_Utilité!J119/2_Utilité!AO119,0)</f>
        <v>0.00161969967281416</v>
      </c>
      <c r="K119" s="0" t="n">
        <f aca="false">IF(2_Utilité!AO119&gt;0,2_Utilité!K119/2_Utilité!AO119,0)</f>
        <v>0.000947521729609112</v>
      </c>
      <c r="L119" s="0" t="n">
        <f aca="false">IF(2_Utilité!AO119&gt;0,2_Utilité!L119/2_Utilité!AO119,0)</f>
        <v>0.00108187590890126</v>
      </c>
      <c r="M119" s="0" t="n">
        <f aca="false">IF(2_Utilité!AO119&gt;0,2_Utilité!M119/2_Utilité!AO119,0)</f>
        <v>0.00643336040364285</v>
      </c>
      <c r="N119" s="0" t="n">
        <f aca="false">IF(2_Utilité!AO119&gt;0,2_Utilité!N119/2_Utilité!AO119,0)</f>
        <v>0.000753981951876383</v>
      </c>
      <c r="O119" s="0" t="n">
        <f aca="false">IF(2_Utilité!AO119&gt;0,2_Utilité!O119/2_Utilité!AO119,0)</f>
        <v>0.00243650355953399</v>
      </c>
      <c r="P119" s="0" t="n">
        <f aca="false">IF(2_Utilité!AO119&gt;0,2_Utilité!P119/2_Utilité!AO119,0)</f>
        <v>0.00122390540619591</v>
      </c>
      <c r="Q119" s="0" t="n">
        <f aca="false">IF(2_Utilité!AO119&gt;0,2_Utilité!Q119/2_Utilité!AO119,0)</f>
        <v>0.0108974406344052</v>
      </c>
      <c r="R119" s="0" t="n">
        <f aca="false">IF(2_Utilité!AO119&gt;0,2_Utilité!R119/2_Utilité!AO119,0)</f>
        <v>0.00142818285877713</v>
      </c>
      <c r="S119" s="0" t="n">
        <f aca="false">IF(2_Utilité!AO119&gt;0,2_Utilité!S119/2_Utilité!AO119,0)</f>
        <v>0.00101509302854691</v>
      </c>
      <c r="T119" s="0" t="n">
        <f aca="false">IF(2_Utilité!AO119&gt;0,2_Utilité!T119/2_Utilité!AO119,0)</f>
        <v>0.00635555971099192</v>
      </c>
      <c r="U119" s="0" t="n">
        <f aca="false">IF(2_Utilité!AO119&gt;0,2_Utilité!U119/2_Utilité!AO119,0)</f>
        <v>0.0346771849923404</v>
      </c>
      <c r="V119" s="0" t="n">
        <f aca="false">IF(2_Utilité!AO119&gt;0,2_Utilité!V119/2_Utilité!AO119,0)</f>
        <v>0.228438072137411</v>
      </c>
      <c r="W119" s="0" t="n">
        <f aca="false">IF(2_Utilité!AO119&gt;0,2_Utilité!W119/2_Utilité!AO119,0)</f>
        <v>0.046373653885061</v>
      </c>
      <c r="X119" s="0" t="n">
        <f aca="false">IF(2_Utilité!AO119&gt;0,2_Utilité!X119/2_Utilité!AO119,0)</f>
        <v>0.0652080441442614</v>
      </c>
      <c r="Y119" s="0" t="n">
        <f aca="false">IF(2_Utilité!AO119&gt;0,2_Utilité!Y119/2_Utilité!AO119,0)</f>
        <v>0.0434532200101902</v>
      </c>
      <c r="Z119" s="0" t="n">
        <f aca="false">IF(2_Utilité!AO119&gt;0,2_Utilité!Z119/2_Utilité!AO119,0)</f>
        <v>0.107947972975076</v>
      </c>
      <c r="AA119" s="0" t="n">
        <f aca="false">IF(2_Utilité!AO119&gt;0,2_Utilité!AA119/2_Utilité!AO119,0)</f>
        <v>0.218344106975423</v>
      </c>
      <c r="AB119" s="0" t="n">
        <f aca="false">IF(2_Utilité!AO119&gt;0,2_Utilité!AB119/2_Utilité!AO119,0)</f>
        <v>0.100767138734419</v>
      </c>
      <c r="AC119" s="0" t="n">
        <f aca="false">IF(2_Utilité!AO119&gt;0,2_Utilité!AC119/2_Utilité!AO119,0)</f>
        <v>0</v>
      </c>
      <c r="AD119" s="0" t="n">
        <f aca="false">IF(2_Utilité!AO119&gt;0,2_Utilité!AD119/2_Utilité!AO119,0)</f>
        <v>0</v>
      </c>
      <c r="AE119" s="0" t="n">
        <f aca="false">IF(2_Utilité!AO119&gt;0,2_Utilité!AE119/2_Utilité!AO119,0)</f>
        <v>0</v>
      </c>
      <c r="AF119" s="0" t="n">
        <f aca="false">IF(2_Utilité!AO119&gt;0,2_Utilité!AF119/2_Utilité!AO119,0)</f>
        <v>0</v>
      </c>
      <c r="AG119" s="0" t="n">
        <f aca="false">IF(2_Utilité!AO119&gt;0,2_Utilité!AG119/2_Utilité!AO119,0)</f>
        <v>0</v>
      </c>
      <c r="AH119" s="0" t="n">
        <f aca="false">IF(2_Utilité!AO119&gt;0,2_Utilité!AH119/2_Utilité!AO119,0)</f>
        <v>0.00384326874697278</v>
      </c>
      <c r="AI119" s="0" t="n">
        <f aca="false">IF(2_Utilité!AO119&gt;0,2_Utilité!AI119/2_Utilité!AO119,0)</f>
        <v>0.00256872590366748</v>
      </c>
      <c r="AJ119" s="0" t="n">
        <f aca="false">IF(2_Utilité!AO119&gt;0,2_Utilité!AJ119/2_Utilité!AO119,0)</f>
        <v>0.0971760334407227</v>
      </c>
      <c r="AK119" s="0" t="n">
        <f aca="false">IF(2_Utilité!AO119&gt;0,2_Utilité!AK119/2_Utilité!AO119,0)</f>
        <v>0</v>
      </c>
      <c r="AL119" s="0" t="n">
        <f aca="false">IF(2_Utilité!AO119&gt;0,2_Utilité!AL119/2_Utilité!AO119,0)</f>
        <v>0</v>
      </c>
      <c r="AM119" s="49" t="n">
        <f aca="false">IF(2_Utilité!AO119&gt;0,2_Utilité!AM119/2_Utilité!AO119,0)</f>
        <v>0.00144435708932814</v>
      </c>
      <c r="AN119" s="43" t="n">
        <f aca="false">IF(2_Utilité!AO119&gt;0,2_Utilité!AN119/2_Utilité!AO119,0)</f>
        <v>0</v>
      </c>
      <c r="AO119" s="43" t="n">
        <f aca="false">SUM(C119:AN119)</f>
        <v>1</v>
      </c>
      <c r="AP119" s="43" t="n">
        <f aca="false">COUNTIF(Matrice_OD!$C119:$AN119,"&lt;="&amp;Param!$B$2)</f>
        <v>30</v>
      </c>
    </row>
    <row r="120" customFormat="false" ht="15" hidden="false" customHeight="true" outlineLevel="0" collapsed="false">
      <c r="A120" s="0" t="s">
        <v>338</v>
      </c>
      <c r="B120" s="0" t="s">
        <v>339</v>
      </c>
      <c r="C120" s="0" t="n">
        <f aca="false">IF(2_Utilité!AO120&gt;0,2_Utilité!C120/2_Utilité!AO120,0)</f>
        <v>0.000956104178797486</v>
      </c>
      <c r="D120" s="0" t="n">
        <f aca="false">IF(2_Utilité!AO120&gt;0,2_Utilité!D120/2_Utilité!AO120,0)</f>
        <v>0.00138317226096062</v>
      </c>
      <c r="E120" s="0" t="n">
        <f aca="false">IF(2_Utilité!AO120&gt;0,2_Utilité!E120/2_Utilité!AO120,0)</f>
        <v>0.0157222226005984</v>
      </c>
      <c r="F120" s="0" t="n">
        <f aca="false">IF(2_Utilité!AO120&gt;0,2_Utilité!F120/2_Utilité!AO120,0)</f>
        <v>0.00289592265041126</v>
      </c>
      <c r="G120" s="0" t="n">
        <f aca="false">IF(2_Utilité!AO120&gt;0,2_Utilité!G120/2_Utilité!AO120,0)</f>
        <v>0.0080603851284706</v>
      </c>
      <c r="H120" s="0" t="n">
        <f aca="false">IF(2_Utilité!AO120&gt;0,2_Utilité!H120/2_Utilité!AO120,0)</f>
        <v>0.00220499243860298</v>
      </c>
      <c r="I120" s="0" t="n">
        <f aca="false">IF(2_Utilité!AO120&gt;0,2_Utilité!I120/2_Utilité!AO120,0)</f>
        <v>0.00500837807513171</v>
      </c>
      <c r="J120" s="0" t="n">
        <f aca="false">IF(2_Utilité!AO120&gt;0,2_Utilité!J120/2_Utilité!AO120,0)</f>
        <v>0.00378595556508013</v>
      </c>
      <c r="K120" s="0" t="n">
        <f aca="false">IF(2_Utilité!AO120&gt;0,2_Utilité!K120/2_Utilité!AO120,0)</f>
        <v>0.00223276535805657</v>
      </c>
      <c r="L120" s="0" t="n">
        <f aca="false">IF(2_Utilité!AO120&gt;0,2_Utilité!L120/2_Utilité!AO120,0)</f>
        <v>0.00250816896078775</v>
      </c>
      <c r="M120" s="0" t="n">
        <f aca="false">IF(2_Utilité!AO120&gt;0,2_Utilité!M120/2_Utilité!AO120,0)</f>
        <v>0.0147134194410101</v>
      </c>
      <c r="N120" s="0" t="n">
        <f aca="false">IF(2_Utilité!AO120&gt;0,2_Utilité!N120/2_Utilité!AO120,0)</f>
        <v>0.00176043529435616</v>
      </c>
      <c r="O120" s="0" t="n">
        <f aca="false">IF(2_Utilité!AO120&gt;0,2_Utilité!O120/2_Utilité!AO120,0)</f>
        <v>0.00567347576383402</v>
      </c>
      <c r="P120" s="0" t="n">
        <f aca="false">IF(2_Utilité!AO120&gt;0,2_Utilité!P120/2_Utilité!AO120,0)</f>
        <v>0.0028380809092413</v>
      </c>
      <c r="Q120" s="0" t="n">
        <f aca="false">IF(2_Utilité!AO120&gt;0,2_Utilité!Q120/2_Utilité!AO120,0)</f>
        <v>0.0252414052683589</v>
      </c>
      <c r="R120" s="0" t="n">
        <f aca="false">IF(2_Utilité!AO120&gt;0,2_Utilité!R120/2_Utilité!AO120,0)</f>
        <v>0.00331512452745961</v>
      </c>
      <c r="S120" s="0" t="n">
        <f aca="false">IF(2_Utilité!AO120&gt;0,2_Utilité!S120/2_Utilité!AO120,0)</f>
        <v>0.00237192248866638</v>
      </c>
      <c r="T120" s="0" t="n">
        <f aca="false">IF(2_Utilité!AO120&gt;0,2_Utilité!T120/2_Utilité!AO120,0)</f>
        <v>0.00838035185905285</v>
      </c>
      <c r="U120" s="0" t="n">
        <f aca="false">IF(2_Utilité!AO120&gt;0,2_Utilité!U120/2_Utilité!AO120,0)</f>
        <v>0.0554403438268186</v>
      </c>
      <c r="V120" s="0" t="n">
        <f aca="false">IF(2_Utilité!AO120&gt;0,2_Utilité!V120/2_Utilité!AO120,0)</f>
        <v>0.212764677292777</v>
      </c>
      <c r="W120" s="0" t="n">
        <f aca="false">IF(2_Utilité!AO120&gt;0,2_Utilité!W120/2_Utilité!AO120,0)</f>
        <v>0.0418314959680588</v>
      </c>
      <c r="X120" s="0" t="n">
        <f aca="false">IF(2_Utilité!AO120&gt;0,2_Utilité!X120/2_Utilité!AO120,0)</f>
        <v>0.0586190811917345</v>
      </c>
      <c r="Y120" s="0" t="n">
        <f aca="false">IF(2_Utilité!AO120&gt;0,2_Utilité!Y120/2_Utilité!AO120,0)</f>
        <v>0.0386084345149478</v>
      </c>
      <c r="Z120" s="0" t="n">
        <f aca="false">IF(2_Utilité!AO120&gt;0,2_Utilité!Z120/2_Utilité!AO120,0)</f>
        <v>0.0948333656381482</v>
      </c>
      <c r="AA120" s="0" t="n">
        <f aca="false">IF(2_Utilité!AO120&gt;0,2_Utilité!AA120/2_Utilité!AO120,0)</f>
        <v>0.198510250497815</v>
      </c>
      <c r="AB120" s="0" t="n">
        <f aca="false">IF(2_Utilité!AO120&gt;0,2_Utilité!AB120/2_Utilité!AO120,0)</f>
        <v>0.0873643830050659</v>
      </c>
      <c r="AC120" s="0" t="n">
        <f aca="false">IF(2_Utilité!AO120&gt;0,2_Utilité!AC120/2_Utilité!AO120,0)</f>
        <v>0</v>
      </c>
      <c r="AD120" s="0" t="n">
        <f aca="false">IF(2_Utilité!AO120&gt;0,2_Utilité!AD120/2_Utilité!AO120,0)</f>
        <v>0</v>
      </c>
      <c r="AE120" s="0" t="n">
        <f aca="false">IF(2_Utilité!AO120&gt;0,2_Utilité!AE120/2_Utilité!AO120,0)</f>
        <v>0</v>
      </c>
      <c r="AF120" s="0" t="n">
        <f aca="false">IF(2_Utilité!AO120&gt;0,2_Utilité!AF120/2_Utilité!AO120,0)</f>
        <v>0</v>
      </c>
      <c r="AG120" s="0" t="n">
        <f aca="false">IF(2_Utilité!AO120&gt;0,2_Utilité!AG120/2_Utilité!AO120,0)</f>
        <v>0</v>
      </c>
      <c r="AH120" s="0" t="n">
        <f aca="false">IF(2_Utilité!AO120&gt;0,2_Utilité!AH120/2_Utilité!AO120,0)</f>
        <v>0.00882735338470988</v>
      </c>
      <c r="AI120" s="0" t="n">
        <f aca="false">IF(2_Utilité!AO120&gt;0,2_Utilité!AI120/2_Utilité!AO120,0)</f>
        <v>0.003420884318254</v>
      </c>
      <c r="AJ120" s="0" t="n">
        <f aca="false">IF(2_Utilité!AO120&gt;0,2_Utilité!AJ120/2_Utilité!AO120,0)</f>
        <v>0.088538303935395</v>
      </c>
      <c r="AK120" s="0" t="n">
        <f aca="false">IF(2_Utilité!AO120&gt;0,2_Utilité!AK120/2_Utilité!AO120,0)</f>
        <v>0</v>
      </c>
      <c r="AL120" s="0" t="n">
        <f aca="false">IF(2_Utilité!AO120&gt;0,2_Utilité!AL120/2_Utilité!AO120,0)</f>
        <v>0</v>
      </c>
      <c r="AM120" s="48" t="n">
        <f aca="false">IF(2_Utilité!AO120&gt;0,2_Utilité!AM120/2_Utilité!AO120,0)</f>
        <v>0.00218914365739934</v>
      </c>
      <c r="AN120" s="43" t="n">
        <f aca="false">IF(2_Utilité!AO120&gt;0,2_Utilité!AN120/2_Utilité!AO120,0)</f>
        <v>0</v>
      </c>
      <c r="AO120" s="43" t="n">
        <f aca="false">SUM(C120:AN120)</f>
        <v>1</v>
      </c>
      <c r="AP120" s="43" t="n">
        <f aca="false">COUNTIF(Matrice_OD!$C120:$AN120,"&lt;="&amp;Param!$B$2)</f>
        <v>30</v>
      </c>
    </row>
    <row r="121" customFormat="false" ht="15" hidden="false" customHeight="true" outlineLevel="0" collapsed="false">
      <c r="A121" s="0" t="s">
        <v>340</v>
      </c>
      <c r="B121" s="0" t="s">
        <v>341</v>
      </c>
      <c r="C121" s="0" t="n">
        <f aca="false">IF(2_Utilité!AO121&gt;0,2_Utilité!C121/2_Utilité!AO121,0)</f>
        <v>0.00158015729322996</v>
      </c>
      <c r="D121" s="0" t="n">
        <f aca="false">IF(2_Utilité!AO121&gt;0,2_Utilité!D121/2_Utilité!AO121,0)</f>
        <v>0.000724832273906396</v>
      </c>
      <c r="E121" s="0" t="n">
        <f aca="false">IF(2_Utilité!AO121&gt;0,2_Utilité!E121/2_Utilité!AO121,0)</f>
        <v>0.00825426865754063</v>
      </c>
      <c r="F121" s="0" t="n">
        <f aca="false">IF(2_Utilité!AO121&gt;0,2_Utilité!F121/2_Utilité!AO121,0)</f>
        <v>0.00152299899565436</v>
      </c>
      <c r="G121" s="0" t="n">
        <f aca="false">IF(2_Utilité!AO121&gt;0,2_Utilité!G121/2_Utilité!AO121,0)</f>
        <v>0.00423121452481261</v>
      </c>
      <c r="H121" s="0" t="n">
        <f aca="false">IF(2_Utilité!AO121&gt;0,2_Utilité!H121/2_Utilité!AO121,0)</f>
        <v>0.00117429549108805</v>
      </c>
      <c r="I121" s="0" t="n">
        <f aca="false">IF(2_Utilité!AO121&gt;0,2_Utilité!I121/2_Utilité!AO121,0)</f>
        <v>0.0026638718003134</v>
      </c>
      <c r="J121" s="0" t="n">
        <f aca="false">IF(2_Utilité!AO121&gt;0,2_Utilité!J121/2_Utilité!AO121,0)</f>
        <v>0.00200458632908218</v>
      </c>
      <c r="K121" s="0" t="n">
        <f aca="false">IF(2_Utilité!AO121&gt;0,2_Utilité!K121/2_Utilité!AO121,0)</f>
        <v>0.00117781559428835</v>
      </c>
      <c r="L121" s="0" t="n">
        <f aca="false">IF(2_Utilité!AO121&gt;0,2_Utilité!L121/2_Utilité!AO121,0)</f>
        <v>0.00133422296384043</v>
      </c>
      <c r="M121" s="0" t="n">
        <f aca="false">IF(2_Utilité!AO121&gt;0,2_Utilité!M121/2_Utilité!AO121,0)</f>
        <v>0.00788746392730728</v>
      </c>
      <c r="N121" s="0" t="n">
        <f aca="false">IF(2_Utilité!AO121&gt;0,2_Utilité!N121/2_Utilité!AO121,0)</f>
        <v>0.000933185507339675</v>
      </c>
      <c r="O121" s="0" t="n">
        <f aca="false">IF(2_Utilité!AO121&gt;0,2_Utilité!O121/2_Utilité!AO121,0)</f>
        <v>0.00301051213182137</v>
      </c>
      <c r="P121" s="0" t="n">
        <f aca="false">IF(2_Utilité!AO121&gt;0,2_Utilité!P121/2_Utilité!AO121,0)</f>
        <v>0.00150952735351092</v>
      </c>
      <c r="Q121" s="0" t="n">
        <f aca="false">IF(2_Utilité!AO121&gt;0,2_Utilité!Q121/2_Utilité!AO121,0)</f>
        <v>0.0134455587796774</v>
      </c>
      <c r="R121" s="0" t="n">
        <f aca="false">IF(2_Utilité!AO121&gt;0,2_Utilité!R121/2_Utilité!AO121,0)</f>
        <v>0.00176224678956995</v>
      </c>
      <c r="S121" s="0" t="n">
        <f aca="false">IF(2_Utilité!AO121&gt;0,2_Utilité!S121/2_Utilité!AO121,0)</f>
        <v>0.00125612498960679</v>
      </c>
      <c r="T121" s="0" t="n">
        <f aca="false">IF(2_Utilité!AO121&gt;0,2_Utilité!T121/2_Utilité!AO121,0)</f>
        <v>0.0108725077871167</v>
      </c>
      <c r="U121" s="0" t="n">
        <f aca="false">IF(2_Utilité!AO121&gt;0,2_Utilité!U121/2_Utilité!AO121,0)</f>
        <v>0.0405425737060158</v>
      </c>
      <c r="V121" s="0" t="n">
        <f aca="false">IF(2_Utilité!AO121&gt;0,2_Utilité!V121/2_Utilité!AO121,0)</f>
        <v>0.231061346223766</v>
      </c>
      <c r="W121" s="0" t="n">
        <f aca="false">IF(2_Utilité!AO121&gt;0,2_Utilité!W121/2_Utilité!AO121,0)</f>
        <v>0.0452200890459388</v>
      </c>
      <c r="X121" s="0" t="n">
        <f aca="false">IF(2_Utilité!AO121&gt;0,2_Utilité!X121/2_Utilité!AO121,0)</f>
        <v>0.0625393616334714</v>
      </c>
      <c r="Y121" s="0" t="n">
        <f aca="false">IF(2_Utilité!AO121&gt;0,2_Utilité!Y121/2_Utilité!AO121,0)</f>
        <v>0.0414350378975036</v>
      </c>
      <c r="Z121" s="0" t="n">
        <f aca="false">IF(2_Utilité!AO121&gt;0,2_Utilité!Z121/2_Utilité!AO121,0)</f>
        <v>0.102636870946703</v>
      </c>
      <c r="AA121" s="0" t="n">
        <f aca="false">IF(2_Utilité!AO121&gt;0,2_Utilité!AA121/2_Utilité!AO121,0)</f>
        <v>0.210120887366277</v>
      </c>
      <c r="AB121" s="0" t="n">
        <f aca="false">IF(2_Utilité!AO121&gt;0,2_Utilité!AB121/2_Utilité!AO121,0)</f>
        <v>0.0935018298869641</v>
      </c>
      <c r="AC121" s="0" t="n">
        <f aca="false">IF(2_Utilité!AO121&gt;0,2_Utilité!AC121/2_Utilité!AO121,0)</f>
        <v>0</v>
      </c>
      <c r="AD121" s="0" t="n">
        <f aca="false">IF(2_Utilité!AO121&gt;0,2_Utilité!AD121/2_Utilité!AO121,0)</f>
        <v>0</v>
      </c>
      <c r="AE121" s="0" t="n">
        <f aca="false">IF(2_Utilité!AO121&gt;0,2_Utilité!AE121/2_Utilité!AO121,0)</f>
        <v>0</v>
      </c>
      <c r="AF121" s="0" t="n">
        <f aca="false">IF(2_Utilité!AO121&gt;0,2_Utilité!AF121/2_Utilité!AO121,0)</f>
        <v>0</v>
      </c>
      <c r="AG121" s="0" t="n">
        <f aca="false">IF(2_Utilité!AO121&gt;0,2_Utilité!AG121/2_Utilité!AO121,0)</f>
        <v>0</v>
      </c>
      <c r="AH121" s="0" t="n">
        <f aca="false">IF(2_Utilité!AO121&gt;0,2_Utilité!AH121/2_Utilité!AO121,0)</f>
        <v>0.0047206471798691</v>
      </c>
      <c r="AI121" s="0" t="n">
        <f aca="false">IF(2_Utilité!AO121&gt;0,2_Utilité!AI121/2_Utilité!AO121,0)</f>
        <v>0.00450775349204207</v>
      </c>
      <c r="AJ121" s="0" t="n">
        <f aca="false">IF(2_Utilité!AO121&gt;0,2_Utilité!AJ121/2_Utilité!AO121,0)</f>
        <v>0.0947083676273569</v>
      </c>
      <c r="AK121" s="0" t="n">
        <f aca="false">IF(2_Utilité!AO121&gt;0,2_Utilité!AK121/2_Utilité!AO121,0)</f>
        <v>0</v>
      </c>
      <c r="AL121" s="0" t="n">
        <f aca="false">IF(2_Utilité!AO121&gt;0,2_Utilité!AL121/2_Utilité!AO121,0)</f>
        <v>0</v>
      </c>
      <c r="AM121" s="49" t="n">
        <f aca="false">IF(2_Utilité!AO121&gt;0,2_Utilité!AM121/2_Utilité!AO121,0)</f>
        <v>0.00365984380438622</v>
      </c>
      <c r="AN121" s="43" t="n">
        <f aca="false">IF(2_Utilité!AO121&gt;0,2_Utilité!AN121/2_Utilité!AO121,0)</f>
        <v>0</v>
      </c>
      <c r="AO121" s="43" t="n">
        <f aca="false">SUM(C121:AN121)</f>
        <v>1</v>
      </c>
      <c r="AP121" s="43" t="n">
        <f aca="false">COUNTIF(Matrice_OD!$C121:$AN121,"&lt;="&amp;Param!$B$2)</f>
        <v>30</v>
      </c>
    </row>
    <row r="122" customFormat="false" ht="15" hidden="false" customHeight="true" outlineLevel="0" collapsed="false">
      <c r="A122" s="0" t="s">
        <v>342</v>
      </c>
      <c r="B122" s="0" t="s">
        <v>343</v>
      </c>
      <c r="C122" s="0" t="n">
        <f aca="false">IF(2_Utilité!AO122&gt;0,2_Utilité!C122/2_Utilité!AO122,0)</f>
        <v>0.0023513291052412</v>
      </c>
      <c r="D122" s="0" t="n">
        <f aca="false">IF(2_Utilité!AO122&gt;0,2_Utilité!D122/2_Utilité!AO122,0)</f>
        <v>0.000864308570983954</v>
      </c>
      <c r="E122" s="0" t="n">
        <f aca="false">IF(2_Utilité!AO122&gt;0,2_Utilité!E122/2_Utilité!AO122,0)</f>
        <v>0.0084803407818147</v>
      </c>
      <c r="F122" s="0" t="n">
        <f aca="false">IF(2_Utilité!AO122&gt;0,2_Utilité!F122/2_Utilité!AO122,0)</f>
        <v>0.00156531707095042</v>
      </c>
      <c r="G122" s="0" t="n">
        <f aca="false">IF(2_Utilité!AO122&gt;0,2_Utilité!G122/2_Utilité!AO122,0)</f>
        <v>0.00417101379322136</v>
      </c>
      <c r="H122" s="0" t="n">
        <f aca="false">IF(2_Utilité!AO122&gt;0,2_Utilité!H122/2_Utilité!AO122,0)</f>
        <v>0.00121033579013509</v>
      </c>
      <c r="I122" s="0" t="n">
        <f aca="false">IF(2_Utilité!AO122&gt;0,2_Utilité!I122/2_Utilité!AO122,0)</f>
        <v>0.00263425928143996</v>
      </c>
      <c r="J122" s="0" t="n">
        <f aca="false">IF(2_Utilité!AO122&gt;0,2_Utilité!J122/2_Utilité!AO122,0)</f>
        <v>0.00198128983805461</v>
      </c>
      <c r="K122" s="0" t="n">
        <f aca="false">IF(2_Utilité!AO122&gt;0,2_Utilité!K122/2_Utilité!AO122,0)</f>
        <v>0.00116147365321501</v>
      </c>
      <c r="L122" s="0" t="n">
        <f aca="false">IF(2_Utilité!AO122&gt;0,2_Utilité!L122/2_Utilité!AO122,0)</f>
        <v>0.00131944319036107</v>
      </c>
      <c r="M122" s="0" t="n">
        <f aca="false">IF(2_Utilité!AO122&gt;0,2_Utilité!M122/2_Utilité!AO122,0)</f>
        <v>0.00782543406163556</v>
      </c>
      <c r="N122" s="0" t="n">
        <f aca="false">IF(2_Utilité!AO122&gt;0,2_Utilité!N122/2_Utilité!AO122,0)</f>
        <v>0.000921850283930188</v>
      </c>
      <c r="O122" s="0" t="n">
        <f aca="false">IF(2_Utilité!AO122&gt;0,2_Utilité!O122/2_Utilité!AO122,0)</f>
        <v>0.00297750445285767</v>
      </c>
      <c r="P122" s="0" t="n">
        <f aca="false">IF(2_Utilité!AO122&gt;0,2_Utilité!P122/2_Utilité!AO122,0)</f>
        <v>0.00149405744735997</v>
      </c>
      <c r="Q122" s="0" t="n">
        <f aca="false">IF(2_Utilité!AO122&gt;0,2_Utilité!Q122/2_Utilité!AO122,0)</f>
        <v>0.0132989707066697</v>
      </c>
      <c r="R122" s="0" t="n">
        <f aca="false">IF(2_Utilité!AO122&gt;0,2_Utilité!R122/2_Utilité!AO122,0)</f>
        <v>0.00174234854739638</v>
      </c>
      <c r="S122" s="0" t="n">
        <f aca="false">IF(2_Utilité!AO122&gt;0,2_Utilité!S122/2_Utilité!AO122,0)</f>
        <v>0.00124050099178839</v>
      </c>
      <c r="T122" s="0" t="n">
        <f aca="false">IF(2_Utilité!AO122&gt;0,2_Utilité!T122/2_Utilité!AO122,0)</f>
        <v>0.0146321555237207</v>
      </c>
      <c r="U122" s="0" t="n">
        <f aca="false">IF(2_Utilité!AO122&gt;0,2_Utilité!U122/2_Utilité!AO122,0)</f>
        <v>0.0442278343046131</v>
      </c>
      <c r="V122" s="0" t="n">
        <f aca="false">IF(2_Utilité!AO122&gt;0,2_Utilité!V122/2_Utilité!AO122,0)</f>
        <v>0.243465822487002</v>
      </c>
      <c r="W122" s="0" t="n">
        <f aca="false">IF(2_Utilité!AO122&gt;0,2_Utilité!W122/2_Utilité!AO122,0)</f>
        <v>0.0446831363159301</v>
      </c>
      <c r="X122" s="0" t="n">
        <f aca="false">IF(2_Utilité!AO122&gt;0,2_Utilité!X122/2_Utilité!AO122,0)</f>
        <v>0.061859730708409</v>
      </c>
      <c r="Y122" s="0" t="n">
        <f aca="false">IF(2_Utilité!AO122&gt;0,2_Utilité!Y122/2_Utilité!AO122,0)</f>
        <v>0.0408125219961475</v>
      </c>
      <c r="Z122" s="0" t="n">
        <f aca="false">IF(2_Utilité!AO122&gt;0,2_Utilité!Z122/2_Utilité!AO122,0)</f>
        <v>0.100539678177554</v>
      </c>
      <c r="AA122" s="0" t="n">
        <f aca="false">IF(2_Utilité!AO122&gt;0,2_Utilité!AA122/2_Utilité!AO122,0)</f>
        <v>0.197708903337087</v>
      </c>
      <c r="AB122" s="0" t="n">
        <f aca="false">IF(2_Utilité!AO122&gt;0,2_Utilité!AB122/2_Utilité!AO122,0)</f>
        <v>0.0870931949064539</v>
      </c>
      <c r="AC122" s="0" t="n">
        <f aca="false">IF(2_Utilité!AO122&gt;0,2_Utilité!AC122/2_Utilité!AO122,0)</f>
        <v>0</v>
      </c>
      <c r="AD122" s="0" t="n">
        <f aca="false">IF(2_Utilité!AO122&gt;0,2_Utilité!AD122/2_Utilité!AO122,0)</f>
        <v>0</v>
      </c>
      <c r="AE122" s="0" t="n">
        <f aca="false">IF(2_Utilité!AO122&gt;0,2_Utilité!AE122/2_Utilité!AO122,0)</f>
        <v>0</v>
      </c>
      <c r="AF122" s="0" t="n">
        <f aca="false">IF(2_Utilité!AO122&gt;0,2_Utilité!AF122/2_Utilité!AO122,0)</f>
        <v>0</v>
      </c>
      <c r="AG122" s="0" t="n">
        <f aca="false">IF(2_Utilité!AO122&gt;0,2_Utilité!AG122/2_Utilité!AO122,0)</f>
        <v>0</v>
      </c>
      <c r="AH122" s="0" t="n">
        <f aca="false">IF(2_Utilité!AO122&gt;0,2_Utilité!AH122/2_Utilité!AO122,0)</f>
        <v>0.00467598289555108</v>
      </c>
      <c r="AI122" s="0" t="n">
        <f aca="false">IF(2_Utilité!AO122&gt;0,2_Utilité!AI122/2_Utilité!AO122,0)</f>
        <v>0.00610723478478871</v>
      </c>
      <c r="AJ122" s="0" t="n">
        <f aca="false">IF(2_Utilité!AO122&gt;0,2_Utilité!AJ122/2_Utilité!AO122,0)</f>
        <v>0.0935039791211928</v>
      </c>
      <c r="AK122" s="0" t="n">
        <f aca="false">IF(2_Utilité!AO122&gt;0,2_Utilité!AK122/2_Utilité!AO122,0)</f>
        <v>0</v>
      </c>
      <c r="AL122" s="0" t="n">
        <f aca="false">IF(2_Utilité!AO122&gt;0,2_Utilité!AL122/2_Utilité!AO122,0)</f>
        <v>0</v>
      </c>
      <c r="AM122" s="48" t="n">
        <f aca="false">IF(2_Utilité!AO122&gt;0,2_Utilité!AM122/2_Utilité!AO122,0)</f>
        <v>0.00545004787449437</v>
      </c>
      <c r="AN122" s="43" t="n">
        <f aca="false">IF(2_Utilité!AO122&gt;0,2_Utilité!AN122/2_Utilité!AO122,0)</f>
        <v>0</v>
      </c>
      <c r="AO122" s="43" t="n">
        <f aca="false">SUM(C122:AN122)</f>
        <v>1</v>
      </c>
      <c r="AP122" s="43" t="n">
        <f aca="false">COUNTIF(Matrice_OD!$C122:$AN122,"&lt;="&amp;Param!$B$2)</f>
        <v>30</v>
      </c>
    </row>
    <row r="123" customFormat="false" ht="15" hidden="false" customHeight="true" outlineLevel="0" collapsed="false">
      <c r="A123" s="0" t="s">
        <v>344</v>
      </c>
      <c r="B123" s="0" t="s">
        <v>345</v>
      </c>
      <c r="C123" s="0" t="n">
        <f aca="false">IF(2_Utilité!AO123&gt;0,2_Utilité!C123/2_Utilité!AO123,0)</f>
        <v>0.00292605057756952</v>
      </c>
      <c r="D123" s="0" t="n">
        <f aca="false">IF(2_Utilité!AO123&gt;0,2_Utilité!D123/2_Utilité!AO123,0)</f>
        <v>0.000897832766616066</v>
      </c>
      <c r="E123" s="0" t="n">
        <f aca="false">IF(2_Utilité!AO123&gt;0,2_Utilité!E123/2_Utilité!AO123,0)</f>
        <v>0.00873244208025583</v>
      </c>
      <c r="F123" s="0" t="n">
        <f aca="false">IF(2_Utilité!AO123&gt;0,2_Utilité!F123/2_Utilité!AO123,0)</f>
        <v>0.00161430179861958</v>
      </c>
      <c r="G123" s="0" t="n">
        <f aca="false">IF(2_Utilité!AO123&gt;0,2_Utilité!G123/2_Utilité!AO123,0)</f>
        <v>0.00421825783183644</v>
      </c>
      <c r="H123" s="0" t="n">
        <f aca="false">IF(2_Utilité!AO123&gt;0,2_Utilité!H123/2_Utilité!AO123,0)</f>
        <v>0.00126329881071698</v>
      </c>
      <c r="I123" s="0" t="n">
        <f aca="false">IF(2_Utilité!AO123&gt;0,2_Utilité!I123/2_Utilité!AO123,0)</f>
        <v>0.00244915591865917</v>
      </c>
      <c r="J123" s="0" t="n">
        <f aca="false">IF(2_Utilité!AO123&gt;0,2_Utilité!J123/2_Utilité!AO123,0)</f>
        <v>0.00186130875931644</v>
      </c>
      <c r="K123" s="0" t="n">
        <f aca="false">IF(2_Utilité!AO123&gt;0,2_Utilité!K123/2_Utilité!AO123,0)</f>
        <v>0.00114241031956184</v>
      </c>
      <c r="L123" s="0" t="n">
        <f aca="false">IF(2_Utilité!AO123&gt;0,2_Utilité!L123/2_Utilité!AO123,0)</f>
        <v>0.00122689996630298</v>
      </c>
      <c r="M123" s="0" t="n">
        <f aca="false">IF(2_Utilité!AO123&gt;0,2_Utilité!M123/2_Utilité!AO123,0)</f>
        <v>0.00725693223470266</v>
      </c>
      <c r="N123" s="0" t="n">
        <f aca="false">IF(2_Utilité!AO123&gt;0,2_Utilité!N123/2_Utilité!AO123,0)</f>
        <v>0.000890395995091787</v>
      </c>
      <c r="O123" s="0" t="n">
        <f aca="false">IF(2_Utilité!AO123&gt;0,2_Utilité!O123/2_Utilité!AO123,0)</f>
        <v>0.00275871824566865</v>
      </c>
      <c r="P123" s="0" t="n">
        <f aca="false">IF(2_Utilité!AO123&gt;0,2_Utilité!P123/2_Utilité!AO123,0)</f>
        <v>0.00132851699094911</v>
      </c>
      <c r="Q123" s="0" t="n">
        <f aca="false">IF(2_Utilité!AO123&gt;0,2_Utilité!Q123/2_Utilité!AO123,0)</f>
        <v>0.011347908391507</v>
      </c>
      <c r="R123" s="0" t="n">
        <f aca="false">IF(2_Utilité!AO123&gt;0,2_Utilité!R123/2_Utilité!AO123,0)</f>
        <v>0.00149577650059943</v>
      </c>
      <c r="S123" s="0" t="n">
        <f aca="false">IF(2_Utilité!AO123&gt;0,2_Utilité!S123/2_Utilité!AO123,0)</f>
        <v>0.00109104995572788</v>
      </c>
      <c r="T123" s="0" t="n">
        <f aca="false">IF(2_Utilité!AO123&gt;0,2_Utilité!T123/2_Utilité!AO123,0)</f>
        <v>0.0184521379572954</v>
      </c>
      <c r="U123" s="0" t="n">
        <f aca="false">IF(2_Utilité!AO123&gt;0,2_Utilité!U123/2_Utilité!AO123,0)</f>
        <v>0.014492836460888</v>
      </c>
      <c r="V123" s="0" t="n">
        <f aca="false">IF(2_Utilité!AO123&gt;0,2_Utilité!V123/2_Utilité!AO123,0)</f>
        <v>0.253072097668366</v>
      </c>
      <c r="W123" s="0" t="n">
        <f aca="false">IF(2_Utilité!AO123&gt;0,2_Utilité!W123/2_Utilité!AO123,0)</f>
        <v>0.0478903333727092</v>
      </c>
      <c r="X123" s="0" t="n">
        <f aca="false">IF(2_Utilité!AO123&gt;0,2_Utilité!X123/2_Utilité!AO123,0)</f>
        <v>0.0643686951996844</v>
      </c>
      <c r="Y123" s="0" t="n">
        <f aca="false">IF(2_Utilité!AO123&gt;0,2_Utilité!Y123/2_Utilité!AO123,0)</f>
        <v>0.0428956252237116</v>
      </c>
      <c r="Z123" s="0" t="n">
        <f aca="false">IF(2_Utilité!AO123&gt;0,2_Utilité!Z123/2_Utilité!AO123,0)</f>
        <v>0.10614611955448</v>
      </c>
      <c r="AA123" s="0" t="n">
        <f aca="false">IF(2_Utilité!AO123&gt;0,2_Utilité!AA123/2_Utilité!AO123,0)</f>
        <v>0.199891687792403</v>
      </c>
      <c r="AB123" s="0" t="n">
        <f aca="false">IF(2_Utilité!AO123&gt;0,2_Utilité!AB123/2_Utilité!AO123,0)</f>
        <v>0.0872937697521369</v>
      </c>
      <c r="AC123" s="0" t="n">
        <f aca="false">IF(2_Utilité!AO123&gt;0,2_Utilité!AC123/2_Utilité!AO123,0)</f>
        <v>0</v>
      </c>
      <c r="AD123" s="0" t="n">
        <f aca="false">IF(2_Utilité!AO123&gt;0,2_Utilité!AD123/2_Utilité!AO123,0)</f>
        <v>0</v>
      </c>
      <c r="AE123" s="0" t="n">
        <f aca="false">IF(2_Utilité!AO123&gt;0,2_Utilité!AE123/2_Utilité!AO123,0)</f>
        <v>0</v>
      </c>
      <c r="AF123" s="0" t="n">
        <f aca="false">IF(2_Utilité!AO123&gt;0,2_Utilité!AF123/2_Utilité!AO123,0)</f>
        <v>0</v>
      </c>
      <c r="AG123" s="0" t="n">
        <f aca="false">IF(2_Utilité!AO123&gt;0,2_Utilité!AG123/2_Utilité!AO123,0)</f>
        <v>0</v>
      </c>
      <c r="AH123" s="0" t="n">
        <f aca="false">IF(2_Utilité!AO123&gt;0,2_Utilité!AH123/2_Utilité!AO123,0)</f>
        <v>0.00333876624637256</v>
      </c>
      <c r="AI123" s="0" t="n">
        <f aca="false">IF(2_Utilité!AO123&gt;0,2_Utilité!AI123/2_Utilité!AO123,0)</f>
        <v>0.00837477263476029</v>
      </c>
      <c r="AJ123" s="0" t="n">
        <f aca="false">IF(2_Utilité!AO123&gt;0,2_Utilité!AJ123/2_Utilité!AO123,0)</f>
        <v>0.0944997640693904</v>
      </c>
      <c r="AK123" s="0" t="n">
        <f aca="false">IF(2_Utilité!AO123&gt;0,2_Utilité!AK123/2_Utilité!AO123,0)</f>
        <v>0</v>
      </c>
      <c r="AL123" s="0" t="n">
        <f aca="false">IF(2_Utilité!AO123&gt;0,2_Utilité!AL123/2_Utilité!AO123,0)</f>
        <v>0</v>
      </c>
      <c r="AM123" s="49" t="n">
        <f aca="false">IF(2_Utilité!AO123&gt;0,2_Utilité!AM123/2_Utilité!AO123,0)</f>
        <v>0.00678213692410004</v>
      </c>
      <c r="AN123" s="43" t="n">
        <f aca="false">IF(2_Utilité!AO123&gt;0,2_Utilité!AN123/2_Utilité!AO123,0)</f>
        <v>0</v>
      </c>
      <c r="AO123" s="43" t="n">
        <f aca="false">SUM(C123:AN123)</f>
        <v>1</v>
      </c>
      <c r="AP123" s="43" t="n">
        <f aca="false">COUNTIF(Matrice_OD!$C123:$AN123,"&lt;="&amp;Param!$B$2)</f>
        <v>30</v>
      </c>
    </row>
    <row r="124" customFormat="false" ht="15" hidden="false" customHeight="true" outlineLevel="0" collapsed="false">
      <c r="A124" s="0" t="s">
        <v>346</v>
      </c>
      <c r="B124" s="0" t="s">
        <v>347</v>
      </c>
      <c r="C124" s="0" t="n">
        <f aca="false">IF(2_Utilité!AO124&gt;0,2_Utilité!C124/2_Utilité!AO124,0)</f>
        <v>0.00430500790572437</v>
      </c>
      <c r="D124" s="0" t="n">
        <f aca="false">IF(2_Utilité!AO124&gt;0,2_Utilité!D124/2_Utilité!AO124,0)</f>
        <v>0.00163718748111373</v>
      </c>
      <c r="E124" s="0" t="n">
        <f aca="false">IF(2_Utilité!AO124&gt;0,2_Utilité!E124/2_Utilité!AO124,0)</f>
        <v>0.0161874671494748</v>
      </c>
      <c r="F124" s="0" t="n">
        <f aca="false">IF(2_Utilité!AO124&gt;0,2_Utilité!F124/2_Utilité!AO124,0)</f>
        <v>0.00298345792145364</v>
      </c>
      <c r="G124" s="0" t="n">
        <f aca="false">IF(2_Utilité!AO124&gt;0,2_Utilité!G124/2_Utilité!AO124,0)</f>
        <v>0.00787547491042288</v>
      </c>
      <c r="H124" s="0" t="n">
        <f aca="false">IF(2_Utilité!AO124&gt;0,2_Utilité!H124/2_Utilité!AO124,0)</f>
        <v>0.00228189402471086</v>
      </c>
      <c r="I124" s="0" t="n">
        <f aca="false">IF(2_Utilité!AO124&gt;0,2_Utilité!I124/2_Utilité!AO124,0)</f>
        <v>0.00451655496130474</v>
      </c>
      <c r="J124" s="0" t="n">
        <f aca="false">IF(2_Utilité!AO124&gt;0,2_Utilité!J124/2_Utilité!AO124,0)</f>
        <v>0.00345611570983201</v>
      </c>
      <c r="K124" s="0" t="n">
        <f aca="false">IF(2_Utilité!AO124&gt;0,2_Utilité!K124/2_Utilité!AO124,0)</f>
        <v>0.00212575111191401</v>
      </c>
      <c r="L124" s="0" t="n">
        <f aca="false">IF(2_Utilité!AO124&gt;0,2_Utilité!L124/2_Utilité!AO124,0)</f>
        <v>0.00226205536199443</v>
      </c>
      <c r="M124" s="0" t="n">
        <f aca="false">IF(2_Utilité!AO124&gt;0,2_Utilité!M124/2_Utilité!AO124,0)</f>
        <v>0.0132167198970717</v>
      </c>
      <c r="N124" s="0" t="n">
        <f aca="false">IF(2_Utilité!AO124&gt;0,2_Utilité!N124/2_Utilité!AO124,0)</f>
        <v>0.00164502707737908</v>
      </c>
      <c r="O124" s="0" t="n">
        <f aca="false">IF(2_Utilité!AO124&gt;0,2_Utilité!O124/2_Utilité!AO124,0)</f>
        <v>0.0051127392547815</v>
      </c>
      <c r="P124" s="0" t="n">
        <f aca="false">IF(2_Utilité!AO124&gt;0,2_Utilité!P124/2_Utilité!AO124,0)</f>
        <v>0.00246254486316738</v>
      </c>
      <c r="Q124" s="0" t="n">
        <f aca="false">IF(2_Utilité!AO124&gt;0,2_Utilité!Q124/2_Utilité!AO124,0)</f>
        <v>0.0211322251775849</v>
      </c>
      <c r="R124" s="0" t="n">
        <f aca="false">IF(2_Utilité!AO124&gt;0,2_Utilité!R124/2_Utilité!AO124,0)</f>
        <v>0.0027868264060316</v>
      </c>
      <c r="S124" s="0" t="n">
        <f aca="false">IF(2_Utilité!AO124&gt;0,2_Utilité!S124/2_Utilité!AO124,0)</f>
        <v>0.00204108112593261</v>
      </c>
      <c r="T124" s="0" t="n">
        <f aca="false">IF(2_Utilité!AO124&gt;0,2_Utilité!T124/2_Utilité!AO124,0)</f>
        <v>0.0229028697875276</v>
      </c>
      <c r="U124" s="0" t="n">
        <f aca="false">IF(2_Utilité!AO124&gt;0,2_Utilité!U124/2_Utilité!AO124,0)</f>
        <v>0.0260189009772019</v>
      </c>
      <c r="V124" s="0" t="n">
        <f aca="false">IF(2_Utilité!AO124&gt;0,2_Utilité!V124/2_Utilité!AO124,0)</f>
        <v>0.238640617857313</v>
      </c>
      <c r="W124" s="0" t="n">
        <f aca="false">IF(2_Utilité!AO124&gt;0,2_Utilité!W124/2_Utilité!AO124,0)</f>
        <v>0.0433072495117096</v>
      </c>
      <c r="X124" s="0" t="n">
        <f aca="false">IF(2_Utilité!AO124&gt;0,2_Utilité!X124/2_Utilité!AO124,0)</f>
        <v>0.0588359614884485</v>
      </c>
      <c r="Y124" s="0" t="n">
        <f aca="false">IF(2_Utilité!AO124&gt;0,2_Utilité!Y124/2_Utilité!AO124,0)</f>
        <v>0.0391973834498677</v>
      </c>
      <c r="Z124" s="0" t="n">
        <f aca="false">IF(2_Utilité!AO124&gt;0,2_Utilité!Z124/2_Utilité!AO124,0)</f>
        <v>0.0970296288312628</v>
      </c>
      <c r="AA124" s="0" t="n">
        <f aca="false">IF(2_Utilité!AO124&gt;0,2_Utilité!AA124/2_Utilité!AO124,0)</f>
        <v>0.184436903610707</v>
      </c>
      <c r="AB124" s="0" t="n">
        <f aca="false">IF(2_Utilité!AO124&gt;0,2_Utilité!AB124/2_Utilité!AO124,0)</f>
        <v>0.0808254192331811</v>
      </c>
      <c r="AC124" s="0" t="n">
        <f aca="false">IF(2_Utilité!AO124&gt;0,2_Utilité!AC124/2_Utilité!AO124,0)</f>
        <v>0</v>
      </c>
      <c r="AD124" s="0" t="n">
        <f aca="false">IF(2_Utilité!AO124&gt;0,2_Utilité!AD124/2_Utilité!AO124,0)</f>
        <v>0</v>
      </c>
      <c r="AE124" s="0" t="n">
        <f aca="false">IF(2_Utilité!AO124&gt;0,2_Utilité!AE124/2_Utilité!AO124,0)</f>
        <v>0</v>
      </c>
      <c r="AF124" s="0" t="n">
        <f aca="false">IF(2_Utilité!AO124&gt;0,2_Utilité!AF124/2_Utilité!AO124,0)</f>
        <v>0</v>
      </c>
      <c r="AG124" s="0" t="n">
        <f aca="false">IF(2_Utilité!AO124&gt;0,2_Utilité!AG124/2_Utilité!AO124,0)</f>
        <v>0</v>
      </c>
      <c r="AH124" s="0" t="n">
        <f aca="false">IF(2_Utilité!AO124&gt;0,2_Utilité!AH124/2_Utilité!AO124,0)</f>
        <v>0.00629446904118086</v>
      </c>
      <c r="AI124" s="0" t="n">
        <f aca="false">IF(2_Utilité!AO124&gt;0,2_Utilité!AI124/2_Utilité!AO124,0)</f>
        <v>0.0096591344574278</v>
      </c>
      <c r="AJ124" s="0" t="n">
        <f aca="false">IF(2_Utilité!AO124&gt;0,2_Utilité!AJ124/2_Utilité!AO124,0)</f>
        <v>0.0867704226807901</v>
      </c>
      <c r="AK124" s="0" t="n">
        <f aca="false">IF(2_Utilité!AO124&gt;0,2_Utilité!AK124/2_Utilité!AO124,0)</f>
        <v>0</v>
      </c>
      <c r="AL124" s="0" t="n">
        <f aca="false">IF(2_Utilité!AO124&gt;0,2_Utilité!AL124/2_Utilité!AO124,0)</f>
        <v>0</v>
      </c>
      <c r="AM124" s="48" t="n">
        <f aca="false">IF(2_Utilité!AO124&gt;0,2_Utilité!AM124/2_Utilité!AO124,0)</f>
        <v>0.0100529087334881</v>
      </c>
      <c r="AN124" s="43" t="n">
        <f aca="false">IF(2_Utilité!AO124&gt;0,2_Utilité!AN124/2_Utilité!AO124,0)</f>
        <v>0</v>
      </c>
      <c r="AO124" s="43" t="n">
        <f aca="false">SUM(C124:AN124)</f>
        <v>1</v>
      </c>
      <c r="AP124" s="43" t="n">
        <f aca="false">COUNTIF(Matrice_OD!$C124:$AN124,"&lt;="&amp;Param!$B$2)</f>
        <v>30</v>
      </c>
    </row>
    <row r="125" customFormat="false" ht="15" hidden="false" customHeight="true" outlineLevel="0" collapsed="false">
      <c r="A125" s="0" t="s">
        <v>348</v>
      </c>
      <c r="B125" s="0" t="s">
        <v>349</v>
      </c>
      <c r="C125" s="0" t="n">
        <f aca="false">IF(2_Utilité!AO125&gt;0,2_Utilité!C125/2_Utilité!AO125,0)</f>
        <v>0.00160838211812391</v>
      </c>
      <c r="D125" s="0" t="n">
        <f aca="false">IF(2_Utilité!AO125&gt;0,2_Utilité!D125/2_Utilité!AO125,0)</f>
        <v>0.000575490477997191</v>
      </c>
      <c r="E125" s="0" t="n">
        <f aca="false">IF(2_Utilité!AO125&gt;0,2_Utilité!E125/2_Utilité!AO125,0)</f>
        <v>0.005614061877908</v>
      </c>
      <c r="F125" s="0" t="n">
        <f aca="false">IF(2_Utilité!AO125&gt;0,2_Utilité!F125/2_Utilité!AO125,0)</f>
        <v>0.00103741584911719</v>
      </c>
      <c r="G125" s="0" t="n">
        <f aca="false">IF(2_Utilité!AO125&gt;0,2_Utilité!G125/2_Utilité!AO125,0)</f>
        <v>0.0027144726301088</v>
      </c>
      <c r="H125" s="0" t="n">
        <f aca="false">IF(2_Utilité!AO125&gt;0,2_Utilité!H125/2_Utilité!AO125,0)</f>
        <v>0.000809474410490968</v>
      </c>
      <c r="I125" s="0" t="n">
        <f aca="false">IF(2_Utilité!AO125&gt;0,2_Utilité!I125/2_Utilité!AO125,0)</f>
        <v>0.0015721809612245</v>
      </c>
      <c r="J125" s="0" t="n">
        <f aca="false">IF(2_Utilité!AO125&gt;0,2_Utilité!J125/2_Utilité!AO125,0)</f>
        <v>0.0011968954024634</v>
      </c>
      <c r="K125" s="0" t="n">
        <f aca="false">IF(2_Utilité!AO125&gt;0,2_Utilité!K125/2_Utilité!AO125,0)</f>
        <v>0.000734821526512934</v>
      </c>
      <c r="L125" s="0" t="n">
        <f aca="false">IF(2_Utilité!AO125&gt;0,2_Utilité!L125/2_Utilité!AO125,0)</f>
        <v>0.000788292556958606</v>
      </c>
      <c r="M125" s="0" t="n">
        <f aca="false">IF(2_Utilité!AO125&gt;0,2_Utilité!M125/2_Utilité!AO125,0)</f>
        <v>0.00465077880710093</v>
      </c>
      <c r="N125" s="0" t="n">
        <f aca="false">IF(2_Utilité!AO125&gt;0,2_Utilité!N125/2_Utilité!AO125,0)</f>
        <v>0.000572179226979453</v>
      </c>
      <c r="O125" s="0" t="n">
        <f aca="false">IF(2_Utilité!AO125&gt;0,2_Utilité!O125/2_Utilité!AO125,0)</f>
        <v>0.00177351958623062</v>
      </c>
      <c r="P125" s="0" t="n">
        <f aca="false">IF(2_Utilité!AO125&gt;0,2_Utilité!P125/2_Utilité!AO125,0)</f>
        <v>0.000854188131329712</v>
      </c>
      <c r="Q125" s="0" t="n">
        <f aca="false">IF(2_Utilité!AO125&gt;0,2_Utilité!Q125/2_Utilité!AO125,0)</f>
        <v>0.00729996053762343</v>
      </c>
      <c r="R125" s="0" t="n">
        <f aca="false">IF(2_Utilité!AO125&gt;0,2_Utilité!R125/2_Utilité!AO125,0)</f>
        <v>0.000961476953353645</v>
      </c>
      <c r="S125" s="0" t="n">
        <f aca="false">IF(2_Utilité!AO125&gt;0,2_Utilité!S125/2_Utilité!AO125,0)</f>
        <v>0.00070228361677429</v>
      </c>
      <c r="T125" s="0" t="n">
        <f aca="false">IF(2_Utilité!AO125&gt;0,2_Utilité!T125/2_Utilité!AO125,0)</f>
        <v>0.0112434311715002</v>
      </c>
      <c r="U125" s="0" t="n">
        <f aca="false">IF(2_Utilité!AO125&gt;0,2_Utilité!U125/2_Utilité!AO125,0)</f>
        <v>0.0226502253511465</v>
      </c>
      <c r="V125" s="0" t="n">
        <f aca="false">IF(2_Utilité!AO125&gt;0,2_Utilité!V125/2_Utilité!AO125,0)</f>
        <v>0.246447259485991</v>
      </c>
      <c r="W125" s="0" t="n">
        <f aca="false">IF(2_Utilité!AO125&gt;0,2_Utilité!W125/2_Utilité!AO125,0)</f>
        <v>0.0484600337144113</v>
      </c>
      <c r="X125" s="0" t="n">
        <f aca="false">IF(2_Utilité!AO125&gt;0,2_Utilité!X125/2_Utilité!AO125,0)</f>
        <v>0.0654767962831222</v>
      </c>
      <c r="Y125" s="0" t="n">
        <f aca="false">IF(2_Utilité!AO125&gt;0,2_Utilité!Y125/2_Utilité!AO125,0)</f>
        <v>0.0436447628364689</v>
      </c>
      <c r="Z125" s="0" t="n">
        <f aca="false">IF(2_Utilité!AO125&gt;0,2_Utilité!Z125/2_Utilité!AO125,0)</f>
        <v>0.109288307963474</v>
      </c>
      <c r="AA125" s="0" t="n">
        <f aca="false">IF(2_Utilité!AO125&gt;0,2_Utilité!AA125/2_Utilité!AO125,0)</f>
        <v>0.214667434933987</v>
      </c>
      <c r="AB125" s="0" t="n">
        <f aca="false">IF(2_Utilité!AO125&gt;0,2_Utilité!AB125/2_Utilité!AO125,0)</f>
        <v>0.0954681882267727</v>
      </c>
      <c r="AC125" s="0" t="n">
        <f aca="false">IF(2_Utilité!AO125&gt;0,2_Utilité!AC125/2_Utilité!AO125,0)</f>
        <v>0</v>
      </c>
      <c r="AD125" s="0" t="n">
        <f aca="false">IF(2_Utilité!AO125&gt;0,2_Utilité!AD125/2_Utilité!AO125,0)</f>
        <v>0</v>
      </c>
      <c r="AE125" s="0" t="n">
        <f aca="false">IF(2_Utilité!AO125&gt;0,2_Utilité!AE125/2_Utilité!AO125,0)</f>
        <v>0</v>
      </c>
      <c r="AF125" s="0" t="n">
        <f aca="false">IF(2_Utilité!AO125&gt;0,2_Utilité!AF125/2_Utilité!AO125,0)</f>
        <v>0</v>
      </c>
      <c r="AG125" s="0" t="n">
        <f aca="false">IF(2_Utilité!AO125&gt;0,2_Utilité!AG125/2_Utilité!AO125,0)</f>
        <v>0</v>
      </c>
      <c r="AH125" s="0" t="n">
        <f aca="false">IF(2_Utilité!AO125&gt;0,2_Utilité!AH125/2_Utilité!AO125,0)</f>
        <v>0.00235465949395403</v>
      </c>
      <c r="AI125" s="0" t="n">
        <f aca="false">IF(2_Utilité!AO125&gt;0,2_Utilité!AI125/2_Utilité!AO125,0)</f>
        <v>0.00465892126288128</v>
      </c>
      <c r="AJ125" s="0" t="n">
        <f aca="false">IF(2_Utilité!AO125&gt;0,2_Utilité!AJ125/2_Utilité!AO125,0)</f>
        <v>0.0981497322393442</v>
      </c>
      <c r="AK125" s="0" t="n">
        <f aca="false">IF(2_Utilité!AO125&gt;0,2_Utilité!AK125/2_Utilité!AO125,0)</f>
        <v>0</v>
      </c>
      <c r="AL125" s="0" t="n">
        <f aca="false">IF(2_Utilité!AO125&gt;0,2_Utilité!AL125/2_Utilité!AO125,0)</f>
        <v>0</v>
      </c>
      <c r="AM125" s="49" t="n">
        <f aca="false">IF(2_Utilité!AO125&gt;0,2_Utilité!AM125/2_Utilité!AO125,0)</f>
        <v>0.00402437236664874</v>
      </c>
      <c r="AN125" s="43" t="n">
        <f aca="false">IF(2_Utilité!AO125&gt;0,2_Utilité!AN125/2_Utilité!AO125,0)</f>
        <v>0</v>
      </c>
      <c r="AO125" s="43" t="n">
        <f aca="false">SUM(C125:AN125)</f>
        <v>1</v>
      </c>
      <c r="AP125" s="43" t="n">
        <f aca="false">COUNTIF(Matrice_OD!$C125:$AN125,"&lt;="&amp;Param!$B$2)</f>
        <v>30</v>
      </c>
    </row>
    <row r="126" customFormat="false" ht="15" hidden="false" customHeight="true" outlineLevel="0" collapsed="false">
      <c r="A126" s="0" t="s">
        <v>350</v>
      </c>
      <c r="B126" s="0" t="s">
        <v>351</v>
      </c>
      <c r="C126" s="0" t="n">
        <f aca="false">IF(2_Utilité!AO126&gt;0,2_Utilité!C126/2_Utilité!AO126,0)</f>
        <v>0.0071799877995189</v>
      </c>
      <c r="D126" s="0" t="n">
        <f aca="false">IF(2_Utilité!AO126&gt;0,2_Utilité!D126/2_Utilité!AO126,0)</f>
        <v>0.00285475056816884</v>
      </c>
      <c r="E126" s="0" t="n">
        <f aca="false">IF(2_Utilité!AO126&gt;0,2_Utilité!E126/2_Utilité!AO126,0)</f>
        <v>0.0285043616622417</v>
      </c>
      <c r="F126" s="0" t="n">
        <f aca="false">IF(2_Utilité!AO126&gt;0,2_Utilité!F126/2_Utilité!AO126,0)</f>
        <v>0.00524353699639096</v>
      </c>
      <c r="G126" s="0" t="n">
        <f aca="false">IF(2_Utilité!AO126&gt;0,2_Utilité!G126/2_Utilité!AO126,0)</f>
        <v>0.0139306646782867</v>
      </c>
      <c r="H126" s="0" t="n">
        <f aca="false">IF(2_Utilité!AO126&gt;0,2_Utilité!H126/2_Utilité!AO126,0)</f>
        <v>0.00395510991580318</v>
      </c>
      <c r="I126" s="0" t="n">
        <f aca="false">IF(2_Utilité!AO126&gt;0,2_Utilité!I126/2_Utilité!AO126,0)</f>
        <v>0.007931848047988</v>
      </c>
      <c r="J126" s="0" t="n">
        <f aca="false">IF(2_Utilité!AO126&gt;0,2_Utilité!J126/2_Utilité!AO126,0)</f>
        <v>0.00609229176266979</v>
      </c>
      <c r="K126" s="0" t="n">
        <f aca="false">IF(2_Utilité!AO126&gt;0,2_Utilité!K126/2_Utilité!AO126,0)</f>
        <v>0.00375221315040631</v>
      </c>
      <c r="L126" s="0" t="n">
        <f aca="false">IF(2_Utilité!AO126&gt;0,2_Utilité!L126/2_Utilité!AO126,0)</f>
        <v>0.00397199764815252</v>
      </c>
      <c r="M126" s="0" t="n">
        <f aca="false">IF(2_Utilité!AO126&gt;0,2_Utilité!M126/2_Utilité!AO126,0)</f>
        <v>0.0230279938963911</v>
      </c>
      <c r="N126" s="0" t="n">
        <f aca="false">IF(2_Utilité!AO126&gt;0,2_Utilité!N126/2_Utilité!AO126,0)</f>
        <v>0.00289058317513929</v>
      </c>
      <c r="O126" s="0" t="n">
        <f aca="false">IF(2_Utilité!AO126&gt;0,2_Utilité!O126/2_Utilité!AO126,0)</f>
        <v>0.00900170405915696</v>
      </c>
      <c r="P126" s="0" t="n">
        <f aca="false">IF(2_Utilité!AO126&gt;0,2_Utilité!P126/2_Utilité!AO126,0)</f>
        <v>0.00433872280215108</v>
      </c>
      <c r="Q126" s="0" t="n">
        <f aca="false">IF(2_Utilité!AO126&gt;0,2_Utilité!Q126/2_Utilité!AO126,0)</f>
        <v>0.0373194283471915</v>
      </c>
      <c r="R126" s="0" t="n">
        <f aca="false">IF(2_Utilité!AO126&gt;0,2_Utilité!R126/2_Utilité!AO126,0)</f>
        <v>0.00492604456574196</v>
      </c>
      <c r="S126" s="0" t="n">
        <f aca="false">IF(2_Utilité!AO126&gt;0,2_Utilité!S126/2_Utilité!AO126,0)</f>
        <v>0.00361499210412944</v>
      </c>
      <c r="T126" s="0" t="n">
        <f aca="false">IF(2_Utilité!AO126&gt;0,2_Utilité!T126/2_Utilité!AO126,0)</f>
        <v>0.0312966839055574</v>
      </c>
      <c r="U126" s="0" t="n">
        <f aca="false">IF(2_Utilité!AO126&gt;0,2_Utilité!U126/2_Utilité!AO126,0)</f>
        <v>0.0534911440340841</v>
      </c>
      <c r="V126" s="0" t="n">
        <f aca="false">IF(2_Utilité!AO126&gt;0,2_Utilité!V126/2_Utilité!AO126,0)</f>
        <v>0.206341830156385</v>
      </c>
      <c r="W126" s="0" t="n">
        <f aca="false">IF(2_Utilité!AO126&gt;0,2_Utilité!W126/2_Utilité!AO126,0)</f>
        <v>0.0368908092541103</v>
      </c>
      <c r="X126" s="0" t="n">
        <f aca="false">IF(2_Utilité!AO126&gt;0,2_Utilité!X126/2_Utilité!AO126,0)</f>
        <v>0.0500806738181528</v>
      </c>
      <c r="Y126" s="0" t="n">
        <f aca="false">IF(2_Utilité!AO126&gt;0,2_Utilité!Y126/2_Utilité!AO126,0)</f>
        <v>0.0333598690013452</v>
      </c>
      <c r="Z126" s="0" t="n">
        <f aca="false">IF(2_Utilité!AO126&gt;0,2_Utilité!Z126/2_Utilité!AO126,0)</f>
        <v>0.0824139847833536</v>
      </c>
      <c r="AA126" s="0" t="n">
        <f aca="false">IF(2_Utilité!AO126&gt;0,2_Utilité!AA126/2_Utilité!AO126,0)</f>
        <v>0.155092495979541</v>
      </c>
      <c r="AB126" s="0" t="n">
        <f aca="false">IF(2_Utilité!AO126&gt;0,2_Utilité!AB126/2_Utilité!AO126,0)</f>
        <v>0.0676237306713517</v>
      </c>
      <c r="AC126" s="0" t="n">
        <f aca="false">IF(2_Utilité!AO126&gt;0,2_Utilité!AC126/2_Utilité!AO126,0)</f>
        <v>0</v>
      </c>
      <c r="AD126" s="0" t="n">
        <f aca="false">IF(2_Utilité!AO126&gt;0,2_Utilité!AD126/2_Utilité!AO126,0)</f>
        <v>0</v>
      </c>
      <c r="AE126" s="0" t="n">
        <f aca="false">IF(2_Utilité!AO126&gt;0,2_Utilité!AE126/2_Utilité!AO126,0)</f>
        <v>0</v>
      </c>
      <c r="AF126" s="0" t="n">
        <f aca="false">IF(2_Utilité!AO126&gt;0,2_Utilité!AF126/2_Utilité!AO126,0)</f>
        <v>0</v>
      </c>
      <c r="AG126" s="0" t="n">
        <f aca="false">IF(2_Utilité!AO126&gt;0,2_Utilité!AG126/2_Utilité!AO126,0)</f>
        <v>0</v>
      </c>
      <c r="AH126" s="0" t="n">
        <f aca="false">IF(2_Utilité!AO126&gt;0,2_Utilité!AH126/2_Utilité!AO126,0)</f>
        <v>0.0112098083613376</v>
      </c>
      <c r="AI126" s="0" t="n">
        <f aca="false">IF(2_Utilité!AO126&gt;0,2_Utilité!AI126/2_Utilité!AO126,0)</f>
        <v>0.0133755597129295</v>
      </c>
      <c r="AJ126" s="0" t="n">
        <f aca="false">IF(2_Utilité!AO126&gt;0,2_Utilité!AJ126/2_Utilité!AO126,0)</f>
        <v>0.073425501718489</v>
      </c>
      <c r="AK126" s="0" t="n">
        <f aca="false">IF(2_Utilité!AO126&gt;0,2_Utilité!AK126/2_Utilité!AO126,0)</f>
        <v>0</v>
      </c>
      <c r="AL126" s="0" t="n">
        <f aca="false">IF(2_Utilité!AO126&gt;0,2_Utilité!AL126/2_Utilité!AO126,0)</f>
        <v>0</v>
      </c>
      <c r="AM126" s="48" t="n">
        <f aca="false">IF(2_Utilité!AO126&gt;0,2_Utilité!AM126/2_Utilité!AO126,0)</f>
        <v>0.016861677423834</v>
      </c>
      <c r="AN126" s="43" t="n">
        <f aca="false">IF(2_Utilité!AO126&gt;0,2_Utilité!AN126/2_Utilité!AO126,0)</f>
        <v>0</v>
      </c>
      <c r="AO126" s="43" t="n">
        <f aca="false">SUM(C126:AN126)</f>
        <v>1</v>
      </c>
      <c r="AP126" s="43" t="n">
        <f aca="false">COUNTIF(Matrice_OD!$C126:$AN126,"&lt;="&amp;Param!$B$2)</f>
        <v>30</v>
      </c>
    </row>
    <row r="127" customFormat="false" ht="15" hidden="false" customHeight="true" outlineLevel="0" collapsed="false">
      <c r="A127" s="0" t="s">
        <v>352</v>
      </c>
      <c r="B127" s="0" t="s">
        <v>353</v>
      </c>
      <c r="C127" s="0" t="n">
        <f aca="false">IF(2_Utilité!AO127&gt;0,2_Utilité!C127/2_Utilité!AO127,0)</f>
        <v>0</v>
      </c>
      <c r="D127" s="0" t="n">
        <f aca="false">IF(2_Utilité!AO127&gt;0,2_Utilité!D127/2_Utilité!AO127,0)</f>
        <v>0.00160513219441264</v>
      </c>
      <c r="E127" s="0" t="n">
        <f aca="false">IF(2_Utilité!AO127&gt;0,2_Utilité!E127/2_Utilité!AO127,0)</f>
        <v>0.0182947758566236</v>
      </c>
      <c r="F127" s="0" t="n">
        <f aca="false">IF(2_Utilité!AO127&gt;0,2_Utilité!F127/2_Utilité!AO127,0)</f>
        <v>0.00337829401029431</v>
      </c>
      <c r="G127" s="0" t="n">
        <f aca="false">IF(2_Utilité!AO127&gt;0,2_Utilité!G127/2_Utilité!AO127,0)</f>
        <v>0.0093775127050403</v>
      </c>
      <c r="H127" s="0" t="n">
        <f aca="false">IF(2_Utilité!AO127&gt;0,2_Utilité!H127/2_Utilité!AO127,0)</f>
        <v>0.00262013735640155</v>
      </c>
      <c r="I127" s="0" t="n">
        <f aca="false">IF(2_Utilité!AO127&gt;0,2_Utilité!I127/2_Utilité!AO127,0)</f>
        <v>0.00594020209707419</v>
      </c>
      <c r="J127" s="0" t="n">
        <f aca="false">IF(2_Utilité!AO127&gt;0,2_Utilité!J127/2_Utilité!AO127,0)</f>
        <v>0.004460607879985</v>
      </c>
      <c r="K127" s="0" t="n">
        <f aca="false">IF(2_Utilité!AO127&gt;0,2_Utilité!K127/2_Utilité!AO127,0)</f>
        <v>0.00261297586257018</v>
      </c>
      <c r="L127" s="0" t="n">
        <f aca="false">IF(2_Utilité!AO127&gt;0,2_Utilité!L127/2_Utilité!AO127,0)</f>
        <v>0.00297537827786531</v>
      </c>
      <c r="M127" s="0" t="n">
        <f aca="false">IF(2_Utilité!AO127&gt;0,2_Utilité!M127/2_Utilité!AO127,0)</f>
        <v>0.0176529257195171</v>
      </c>
      <c r="N127" s="0" t="n">
        <f aca="false">IF(2_Utilité!AO127&gt;0,2_Utilité!N127/2_Utilité!AO127,0)</f>
        <v>0.00207763932723443</v>
      </c>
      <c r="O127" s="0" t="n">
        <f aca="false">IF(2_Utilité!AO127&gt;0,2_Utilité!O127/2_Utilité!AO127,0)</f>
        <v>0.00670578408787706</v>
      </c>
      <c r="P127" s="0" t="n">
        <f aca="false">IF(2_Utilité!AO127&gt;0,2_Utilité!P127/2_Utilité!AO127,0)</f>
        <v>0.00336611452167537</v>
      </c>
      <c r="Q127" s="0" t="n">
        <f aca="false">IF(2_Utilité!AO127&gt;0,2_Utilité!Q127/2_Utilité!AO127,0)</f>
        <v>0.0299656749754839</v>
      </c>
      <c r="R127" s="0" t="n">
        <f aca="false">IF(2_Utilité!AO127&gt;0,2_Utilité!R127/2_Utilité!AO127,0)</f>
        <v>0.00392860336166023</v>
      </c>
      <c r="S127" s="0" t="n">
        <f aca="false">IF(2_Utilité!AO127&gt;0,2_Utilité!S127/2_Utilité!AO127,0)</f>
        <v>0.00279538064290492</v>
      </c>
      <c r="T127" s="0" t="n">
        <f aca="false">IF(2_Utilité!AO127&gt;0,2_Utilité!T127/2_Utilité!AO127,0)</f>
        <v>0.00460368346108793</v>
      </c>
      <c r="U127" s="0" t="n">
        <f aca="false">IF(2_Utilité!AO127&gt;0,2_Utilité!U127/2_Utilité!AO127,0)</f>
        <v>0.0871898600724365</v>
      </c>
      <c r="V127" s="0" t="n">
        <f aca="false">IF(2_Utilité!AO127&gt;0,2_Utilité!V127/2_Utilité!AO127,0)</f>
        <v>0.196920342457165</v>
      </c>
      <c r="W127" s="0" t="n">
        <f aca="false">IF(2_Utilité!AO127&gt;0,2_Utilité!W127/2_Utilité!AO127,0)</f>
        <v>0.0390905834912085</v>
      </c>
      <c r="X127" s="0" t="n">
        <f aca="false">IF(2_Utilité!AO127&gt;0,2_Utilité!X127/2_Utilité!AO127,0)</f>
        <v>0.056187976693152</v>
      </c>
      <c r="Y127" s="0" t="n">
        <f aca="false">IF(2_Utilité!AO127&gt;0,2_Utilité!Y127/2_Utilité!AO127,0)</f>
        <v>0.0365776220304669</v>
      </c>
      <c r="Z127" s="0" t="n">
        <f aca="false">IF(2_Utilité!AO127&gt;0,2_Utilité!Z127/2_Utilité!AO127,0)</f>
        <v>0.0883653887896388</v>
      </c>
      <c r="AA127" s="0" t="n">
        <f aca="false">IF(2_Utilité!AO127&gt;0,2_Utilité!AA127/2_Utilité!AO127,0)</f>
        <v>0.193263039512058</v>
      </c>
      <c r="AB127" s="0" t="n">
        <f aca="false">IF(2_Utilité!AO127&gt;0,2_Utilité!AB127/2_Utilité!AO127,0)</f>
        <v>0.0832652827779607</v>
      </c>
      <c r="AC127" s="0" t="n">
        <f aca="false">IF(2_Utilité!AO127&gt;0,2_Utilité!AC127/2_Utilité!AO127,0)</f>
        <v>0</v>
      </c>
      <c r="AD127" s="0" t="n">
        <f aca="false">IF(2_Utilité!AO127&gt;0,2_Utilité!AD127/2_Utilité!AO127,0)</f>
        <v>0</v>
      </c>
      <c r="AE127" s="0" t="n">
        <f aca="false">IF(2_Utilité!AO127&gt;0,2_Utilité!AE127/2_Utilité!AO127,0)</f>
        <v>0</v>
      </c>
      <c r="AF127" s="0" t="n">
        <f aca="false">IF(2_Utilité!AO127&gt;0,2_Utilité!AF127/2_Utilité!AO127,0)</f>
        <v>0</v>
      </c>
      <c r="AG127" s="0" t="n">
        <f aca="false">IF(2_Utilité!AO127&gt;0,2_Utilité!AG127/2_Utilité!AO127,0)</f>
        <v>0</v>
      </c>
      <c r="AH127" s="0" t="n">
        <f aca="false">IF(2_Utilité!AO127&gt;0,2_Utilité!AH127/2_Utilité!AO127,0)</f>
        <v>0.0105533221596043</v>
      </c>
      <c r="AI127" s="0" t="n">
        <f aca="false">IF(2_Utilité!AO127&gt;0,2_Utilité!AI127/2_Utilité!AO127,0)</f>
        <v>0.00179868186149435</v>
      </c>
      <c r="AJ127" s="0" t="n">
        <f aca="false">IF(2_Utilité!AO127&gt;0,2_Utilité!AJ127/2_Utilité!AO127,0)</f>
        <v>0.084427077817107</v>
      </c>
      <c r="AK127" s="0" t="n">
        <f aca="false">IF(2_Utilité!AO127&gt;0,2_Utilité!AK127/2_Utilité!AO127,0)</f>
        <v>0</v>
      </c>
      <c r="AL127" s="0" t="n">
        <f aca="false">IF(2_Utilité!AO127&gt;0,2_Utilité!AL127/2_Utilité!AO127,0)</f>
        <v>0</v>
      </c>
      <c r="AM127" s="49" t="n">
        <f aca="false">IF(2_Utilité!AO127&gt;0,2_Utilité!AM127/2_Utilité!AO127,0)</f>
        <v>0</v>
      </c>
      <c r="AN127" s="43" t="n">
        <f aca="false">IF(2_Utilité!AO127&gt;0,2_Utilité!AN127/2_Utilité!AO127,0)</f>
        <v>0</v>
      </c>
      <c r="AO127" s="43" t="n">
        <f aca="false">SUM(C127:AN127)</f>
        <v>1</v>
      </c>
      <c r="AP127" s="43" t="n">
        <f aca="false">COUNTIF(Matrice_OD!$C127:$AN127,"&lt;="&amp;Param!$B$2)</f>
        <v>28</v>
      </c>
    </row>
    <row r="128" customFormat="false" ht="15" hidden="false" customHeight="true" outlineLevel="0" collapsed="false">
      <c r="A128" s="0" t="s">
        <v>354</v>
      </c>
      <c r="B128" s="0" t="s">
        <v>355</v>
      </c>
      <c r="C128" s="0" t="n">
        <f aca="false">IF(2_Utilité!AO128&gt;0,2_Utilité!C128/2_Utilité!AO128,0)</f>
        <v>0</v>
      </c>
      <c r="D128" s="0" t="n">
        <f aca="false">IF(2_Utilité!AO128&gt;0,2_Utilité!D128/2_Utilité!AO128,0)</f>
        <v>0.0012948986886731</v>
      </c>
      <c r="E128" s="0" t="n">
        <f aca="false">IF(2_Utilité!AO128&gt;0,2_Utilité!E128/2_Utilité!AO128,0)</f>
        <v>0.014784066441438</v>
      </c>
      <c r="F128" s="0" t="n">
        <f aca="false">IF(2_Utilité!AO128&gt;0,2_Utilité!F128/2_Utilité!AO128,0)</f>
        <v>0.0027343551535894</v>
      </c>
      <c r="G128" s="0" t="n">
        <f aca="false">IF(2_Utilité!AO128&gt;0,2_Utilité!G128/2_Utilité!AO128,0)</f>
        <v>0.00758445838338618</v>
      </c>
      <c r="H128" s="0" t="n">
        <f aca="false">IF(2_Utilité!AO128&gt;0,2_Utilité!H128/2_Utilité!AO128,0)</f>
        <v>0.00214748898962436</v>
      </c>
      <c r="I128" s="0" t="n">
        <f aca="false">IF(2_Utilité!AO128&gt;0,2_Utilité!I128/2_Utilité!AO128,0)</f>
        <v>0.00486292408913601</v>
      </c>
      <c r="J128" s="0" t="n">
        <f aca="false">IF(2_Utilité!AO128&gt;0,2_Utilité!J128/2_Utilité!AO128,0)</f>
        <v>0.00363645004042466</v>
      </c>
      <c r="K128" s="0" t="n">
        <f aca="false">IF(2_Utilité!AO128&gt;0,2_Utilité!K128/2_Utilité!AO128,0)</f>
        <v>0.00212119577697837</v>
      </c>
      <c r="L128" s="0" t="n">
        <f aca="false">IF(2_Utilité!AO128&gt;0,2_Utilité!L128/2_Utilité!AO128,0)</f>
        <v>0.00243606862992947</v>
      </c>
      <c r="M128" s="0" t="n">
        <f aca="false">IF(2_Utilité!AO128&gt;0,2_Utilité!M128/2_Utilité!AO128,0)</f>
        <v>0.0145563758119656</v>
      </c>
      <c r="N128" s="0" t="n">
        <f aca="false">IF(2_Utilité!AO128&gt;0,2_Utilité!N128/2_Utilité!AO128,0)</f>
        <v>0.00169394610007849</v>
      </c>
      <c r="O128" s="0" t="n">
        <f aca="false">IF(2_Utilité!AO128&gt;0,2_Utilité!O128/2_Utilité!AO128,0)</f>
        <v>0.00547773720933977</v>
      </c>
      <c r="P128" s="0" t="n">
        <f aca="false">IF(2_Utilité!AO128&gt;0,2_Utilité!P128/2_Utilité!AO128,0)</f>
        <v>0.00275565698384374</v>
      </c>
      <c r="Q128" s="0" t="n">
        <f aca="false">IF(2_Utilité!AO128&gt;0,2_Utilité!Q128/2_Utilité!AO128,0)</f>
        <v>0.0245457124786943</v>
      </c>
      <c r="R128" s="0" t="n">
        <f aca="false">IF(2_Utilité!AO128&gt;0,2_Utilité!R128/2_Utilité!AO128,0)</f>
        <v>0.00321443520297207</v>
      </c>
      <c r="S128" s="0" t="n">
        <f aca="false">IF(2_Utilité!AO128&gt;0,2_Utilité!S128/2_Utilité!AO128,0)</f>
        <v>0.00227712399546585</v>
      </c>
      <c r="T128" s="0" t="n">
        <f aca="false">IF(2_Utilité!AO128&gt;0,2_Utilité!T128/2_Utilité!AO128,0)</f>
        <v>0.00386595316654846</v>
      </c>
      <c r="U128" s="0" t="n">
        <f aca="false">IF(2_Utilité!AO128&gt;0,2_Utilité!U128/2_Utilité!AO128,0)</f>
        <v>0.0927911371609459</v>
      </c>
      <c r="V128" s="0" t="n">
        <f aca="false">IF(2_Utilité!AO128&gt;0,2_Utilité!V128/2_Utilité!AO128,0)</f>
        <v>0.192786789741714</v>
      </c>
      <c r="W128" s="0" t="n">
        <f aca="false">IF(2_Utilité!AO128&gt;0,2_Utilité!W128/2_Utilité!AO128,0)</f>
        <v>0.0392502004747781</v>
      </c>
      <c r="X128" s="0" t="n">
        <f aca="false">IF(2_Utilité!AO128&gt;0,2_Utilité!X128/2_Utilité!AO128,0)</f>
        <v>0.0579492093535546</v>
      </c>
      <c r="Y128" s="0" t="n">
        <f aca="false">IF(2_Utilité!AO128&gt;0,2_Utilité!Y128/2_Utilité!AO128,0)</f>
        <v>0.0385882795748672</v>
      </c>
      <c r="Z128" s="0" t="n">
        <f aca="false">IF(2_Utilité!AO128&gt;0,2_Utilité!Z128/2_Utilité!AO128,0)</f>
        <v>0.0948661017057099</v>
      </c>
      <c r="AA128" s="0" t="n">
        <f aca="false">IF(2_Utilité!AO128&gt;0,2_Utilité!AA128/2_Utilité!AO128,0)</f>
        <v>0.195511878772028</v>
      </c>
      <c r="AB128" s="0" t="n">
        <f aca="false">IF(2_Utilité!AO128&gt;0,2_Utilité!AB128/2_Utilité!AO128,0)</f>
        <v>0.094336575583003</v>
      </c>
      <c r="AC128" s="0" t="n">
        <f aca="false">IF(2_Utilité!AO128&gt;0,2_Utilité!AC128/2_Utilité!AO128,0)</f>
        <v>0</v>
      </c>
      <c r="AD128" s="0" t="n">
        <f aca="false">IF(2_Utilité!AO128&gt;0,2_Utilité!AD128/2_Utilité!AO128,0)</f>
        <v>0</v>
      </c>
      <c r="AE128" s="0" t="n">
        <f aca="false">IF(2_Utilité!AO128&gt;0,2_Utilité!AE128/2_Utilité!AO128,0)</f>
        <v>0</v>
      </c>
      <c r="AF128" s="0" t="n">
        <f aca="false">IF(2_Utilité!AO128&gt;0,2_Utilité!AF128/2_Utilité!AO128,0)</f>
        <v>0</v>
      </c>
      <c r="AG128" s="0" t="n">
        <f aca="false">IF(2_Utilité!AO128&gt;0,2_Utilité!AG128/2_Utilité!AO128,0)</f>
        <v>0</v>
      </c>
      <c r="AH128" s="0" t="n">
        <f aca="false">IF(2_Utilité!AO128&gt;0,2_Utilité!AH128/2_Utilité!AO128,0)</f>
        <v>0.0086827158568129</v>
      </c>
      <c r="AI128" s="0" t="n">
        <f aca="false">IF(2_Utilité!AO128&gt;0,2_Utilité!AI128/2_Utilité!AO128,0)</f>
        <v>0.00149384551075177</v>
      </c>
      <c r="AJ128" s="0" t="n">
        <f aca="false">IF(2_Utilité!AO128&gt;0,2_Utilité!AJ128/2_Utilité!AO128,0)</f>
        <v>0.0837544191237464</v>
      </c>
      <c r="AK128" s="0" t="n">
        <f aca="false">IF(2_Utilité!AO128&gt;0,2_Utilité!AK128/2_Utilité!AO128,0)</f>
        <v>0</v>
      </c>
      <c r="AL128" s="0" t="n">
        <f aca="false">IF(2_Utilité!AO128&gt;0,2_Utilité!AL128/2_Utilité!AO128,0)</f>
        <v>0</v>
      </c>
      <c r="AM128" s="48" t="n">
        <f aca="false">IF(2_Utilité!AO128&gt;0,2_Utilité!AM128/2_Utilité!AO128,0)</f>
        <v>0</v>
      </c>
      <c r="AN128" s="43" t="n">
        <f aca="false">IF(2_Utilité!AO128&gt;0,2_Utilité!AN128/2_Utilité!AO128,0)</f>
        <v>0</v>
      </c>
      <c r="AO128" s="43" t="n">
        <f aca="false">SUM(C128:AN128)</f>
        <v>1</v>
      </c>
      <c r="AP128" s="43" t="n">
        <f aca="false">COUNTIF(Matrice_OD!$C128:$AN128,"&lt;="&amp;Param!$B$2)</f>
        <v>28</v>
      </c>
    </row>
    <row r="129" customFormat="false" ht="15" hidden="false" customHeight="true" outlineLevel="0" collapsed="false">
      <c r="A129" s="0" t="s">
        <v>356</v>
      </c>
      <c r="B129" s="0" t="s">
        <v>357</v>
      </c>
      <c r="C129" s="0" t="n">
        <f aca="false">IF(2_Utilité!AO129&gt;0,2_Utilité!C129/2_Utilité!AO129,0)</f>
        <v>0</v>
      </c>
      <c r="D129" s="0" t="n">
        <f aca="false">IF(2_Utilité!AO129&gt;0,2_Utilité!D129/2_Utilité!AO129,0)</f>
        <v>0</v>
      </c>
      <c r="E129" s="0" t="n">
        <f aca="false">IF(2_Utilité!AO129&gt;0,2_Utilité!E129/2_Utilité!AO129,0)</f>
        <v>0</v>
      </c>
      <c r="F129" s="0" t="n">
        <f aca="false">IF(2_Utilité!AO129&gt;0,2_Utilité!F129/2_Utilité!AO129,0)</f>
        <v>0</v>
      </c>
      <c r="G129" s="0" t="n">
        <f aca="false">IF(2_Utilité!AO129&gt;0,2_Utilité!G129/2_Utilité!AO129,0)</f>
        <v>0</v>
      </c>
      <c r="H129" s="0" t="n">
        <f aca="false">IF(2_Utilité!AO129&gt;0,2_Utilité!H129/2_Utilité!AO129,0)</f>
        <v>0</v>
      </c>
      <c r="I129" s="0" t="n">
        <f aca="false">IF(2_Utilité!AO129&gt;0,2_Utilité!I129/2_Utilité!AO129,0)</f>
        <v>0</v>
      </c>
      <c r="J129" s="0" t="n">
        <f aca="false">IF(2_Utilité!AO129&gt;0,2_Utilité!J129/2_Utilité!AO129,0)</f>
        <v>0</v>
      </c>
      <c r="K129" s="0" t="n">
        <f aca="false">IF(2_Utilité!AO129&gt;0,2_Utilité!K129/2_Utilité!AO129,0)</f>
        <v>0</v>
      </c>
      <c r="L129" s="0" t="n">
        <f aca="false">IF(2_Utilité!AO129&gt;0,2_Utilité!L129/2_Utilité!AO129,0)</f>
        <v>0</v>
      </c>
      <c r="M129" s="0" t="n">
        <f aca="false">IF(2_Utilité!AO129&gt;0,2_Utilité!M129/2_Utilité!AO129,0)</f>
        <v>0</v>
      </c>
      <c r="N129" s="0" t="n">
        <f aca="false">IF(2_Utilité!AO129&gt;0,2_Utilité!N129/2_Utilité!AO129,0)</f>
        <v>0</v>
      </c>
      <c r="O129" s="0" t="n">
        <f aca="false">IF(2_Utilité!AO129&gt;0,2_Utilité!O129/2_Utilité!AO129,0)</f>
        <v>0</v>
      </c>
      <c r="P129" s="0" t="n">
        <f aca="false">IF(2_Utilité!AO129&gt;0,2_Utilité!P129/2_Utilité!AO129,0)</f>
        <v>0</v>
      </c>
      <c r="Q129" s="0" t="n">
        <f aca="false">IF(2_Utilité!AO129&gt;0,2_Utilité!Q129/2_Utilité!AO129,0)</f>
        <v>0</v>
      </c>
      <c r="R129" s="0" t="n">
        <f aca="false">IF(2_Utilité!AO129&gt;0,2_Utilité!R129/2_Utilité!AO129,0)</f>
        <v>0</v>
      </c>
      <c r="S129" s="0" t="n">
        <f aca="false">IF(2_Utilité!AO129&gt;0,2_Utilité!S129/2_Utilité!AO129,0)</f>
        <v>0</v>
      </c>
      <c r="T129" s="0" t="n">
        <f aca="false">IF(2_Utilité!AO129&gt;0,2_Utilité!T129/2_Utilité!AO129,0)</f>
        <v>0.00233744613127902</v>
      </c>
      <c r="U129" s="0" t="n">
        <f aca="false">IF(2_Utilité!AO129&gt;0,2_Utilité!U129/2_Utilité!AO129,0)</f>
        <v>0.0279055750363376</v>
      </c>
      <c r="V129" s="0" t="n">
        <f aca="false">IF(2_Utilité!AO129&gt;0,2_Utilité!V129/2_Utilité!AO129,0)</f>
        <v>0.228197891495729</v>
      </c>
      <c r="W129" s="0" t="n">
        <f aca="false">IF(2_Utilité!AO129&gt;0,2_Utilité!W129/2_Utilité!AO129,0)</f>
        <v>0.0486456834134021</v>
      </c>
      <c r="X129" s="0" t="n">
        <f aca="false">IF(2_Utilité!AO129&gt;0,2_Utilité!X129/2_Utilité!AO129,0)</f>
        <v>0.0710375975936941</v>
      </c>
      <c r="Y129" s="0" t="n">
        <f aca="false">IF(2_Utilité!AO129&gt;0,2_Utilité!Y129/2_Utilité!AO129,0)</f>
        <v>0.0473349174353104</v>
      </c>
      <c r="Z129" s="0" t="n">
        <f aca="false">IF(2_Utilité!AO129&gt;0,2_Utilité!Z129/2_Utilité!AO129,0)</f>
        <v>0.11664175685476</v>
      </c>
      <c r="AA129" s="0" t="n">
        <f aca="false">IF(2_Utilité!AO129&gt;0,2_Utilité!AA129/2_Utilité!AO129,0)</f>
        <v>0.239264706091711</v>
      </c>
      <c r="AB129" s="0" t="n">
        <f aca="false">IF(2_Utilité!AO129&gt;0,2_Utilité!AB129/2_Utilité!AO129,0)</f>
        <v>0.114308645947931</v>
      </c>
      <c r="AC129" s="0" t="n">
        <f aca="false">IF(2_Utilité!AO129&gt;0,2_Utilité!AC129/2_Utilité!AO129,0)</f>
        <v>0</v>
      </c>
      <c r="AD129" s="0" t="n">
        <f aca="false">IF(2_Utilité!AO129&gt;0,2_Utilité!AD129/2_Utilité!AO129,0)</f>
        <v>0</v>
      </c>
      <c r="AE129" s="0" t="n">
        <f aca="false">IF(2_Utilité!AO129&gt;0,2_Utilité!AE129/2_Utilité!AO129,0)</f>
        <v>0</v>
      </c>
      <c r="AF129" s="0" t="n">
        <f aca="false">IF(2_Utilité!AO129&gt;0,2_Utilité!AF129/2_Utilité!AO129,0)</f>
        <v>0</v>
      </c>
      <c r="AG129" s="0" t="n">
        <f aca="false">IF(2_Utilité!AO129&gt;0,2_Utilité!AG129/2_Utilité!AO129,0)</f>
        <v>0</v>
      </c>
      <c r="AH129" s="0" t="n">
        <f aca="false">IF(2_Utilité!AO129&gt;0,2_Utilité!AH129/2_Utilité!AO129,0)</f>
        <v>0</v>
      </c>
      <c r="AI129" s="0" t="n">
        <f aca="false">IF(2_Utilité!AO129&gt;0,2_Utilité!AI129/2_Utilité!AO129,0)</f>
        <v>0.00089636651039414</v>
      </c>
      <c r="AJ129" s="0" t="n">
        <f aca="false">IF(2_Utilité!AO129&gt;0,2_Utilité!AJ129/2_Utilité!AO129,0)</f>
        <v>0.103429413489451</v>
      </c>
      <c r="AK129" s="0" t="n">
        <f aca="false">IF(2_Utilité!AO129&gt;0,2_Utilité!AK129/2_Utilité!AO129,0)</f>
        <v>0</v>
      </c>
      <c r="AL129" s="0" t="n">
        <f aca="false">IF(2_Utilité!AO129&gt;0,2_Utilité!AL129/2_Utilité!AO129,0)</f>
        <v>0</v>
      </c>
      <c r="AM129" s="49" t="n">
        <f aca="false">IF(2_Utilité!AO129&gt;0,2_Utilité!AM129/2_Utilité!AO129,0)</f>
        <v>0</v>
      </c>
      <c r="AN129" s="43" t="n">
        <f aca="false">IF(2_Utilité!AO129&gt;0,2_Utilité!AN129/2_Utilité!AO129,0)</f>
        <v>0</v>
      </c>
      <c r="AO129" s="43" t="n">
        <f aca="false">SUM(C129:AN129)</f>
        <v>1</v>
      </c>
      <c r="AP129" s="43" t="n">
        <f aca="false">COUNTIF(Matrice_OD!$C129:$AN129,"&lt;="&amp;Param!$B$2)</f>
        <v>11</v>
      </c>
    </row>
    <row r="130" customFormat="false" ht="15" hidden="false" customHeight="true" outlineLevel="0" collapsed="false">
      <c r="A130" s="0" t="s">
        <v>358</v>
      </c>
      <c r="B130" s="0" t="s">
        <v>359</v>
      </c>
      <c r="C130" s="0" t="n">
        <f aca="false">IF(2_Utilité!AO130&gt;0,2_Utilité!C130/2_Utilité!AO130,0)</f>
        <v>0</v>
      </c>
      <c r="D130" s="0" t="n">
        <f aca="false">IF(2_Utilité!AO130&gt;0,2_Utilité!D130/2_Utilité!AO130,0)</f>
        <v>0.00130589878381804</v>
      </c>
      <c r="E130" s="0" t="n">
        <f aca="false">IF(2_Utilité!AO130&gt;0,2_Utilité!E130/2_Utilité!AO130,0)</f>
        <v>0.0148743036928267</v>
      </c>
      <c r="F130" s="0" t="n">
        <f aca="false">IF(2_Utilité!AO130&gt;0,2_Utilité!F130/2_Utilité!AO130,0)</f>
        <v>0.00274985056312152</v>
      </c>
      <c r="G130" s="0" t="n">
        <f aca="false">IF(2_Utilité!AO130&gt;0,2_Utilité!G130/2_Utilité!AO130,0)</f>
        <v>0.00763113329855885</v>
      </c>
      <c r="H130" s="0" t="n">
        <f aca="false">IF(2_Utilité!AO130&gt;0,2_Utilité!H130/2_Utilité!AO130,0)</f>
        <v>0.00213641095200879</v>
      </c>
      <c r="I130" s="0" t="n">
        <f aca="false">IF(2_Utilité!AO130&gt;0,2_Utilité!I130/2_Utilité!AO130,0)</f>
        <v>0.00484268151360544</v>
      </c>
      <c r="J130" s="0" t="n">
        <f aca="false">IF(2_Utilité!AO130&gt;0,2_Utilité!J130/2_Utilité!AO130,0)</f>
        <v>0.00363419945677926</v>
      </c>
      <c r="K130" s="0" t="n">
        <f aca="false">IF(2_Utilité!AO130&gt;0,2_Utilité!K130/2_Utilité!AO130,0)</f>
        <v>0.00212753313184471</v>
      </c>
      <c r="L130" s="0" t="n">
        <f aca="false">IF(2_Utilité!AO130&gt;0,2_Utilité!L130/2_Utilité!AO130,0)</f>
        <v>0.00242568543323147</v>
      </c>
      <c r="M130" s="0" t="n">
        <f aca="false">IF(2_Utilité!AO130&gt;0,2_Utilité!M130/2_Utilité!AO130,0)</f>
        <v>0.0144068516656915</v>
      </c>
      <c r="N130" s="0" t="n">
        <f aca="false">IF(2_Utilité!AO130&gt;0,2_Utilité!N130/2_Utilité!AO130,0)</f>
        <v>0.00169298579310146</v>
      </c>
      <c r="O130" s="0" t="n">
        <f aca="false">IF(2_Utilité!AO130&gt;0,2_Utilité!O130/2_Utilité!AO130,0)</f>
        <v>0.00546504272767142</v>
      </c>
      <c r="P130" s="0" t="n">
        <f aca="false">IF(2_Utilité!AO130&gt;0,2_Utilité!P130/2_Utilité!AO130,0)</f>
        <v>0.00274418619104308</v>
      </c>
      <c r="Q130" s="0" t="n">
        <f aca="false">IF(2_Utilité!AO130&gt;0,2_Utilité!Q130/2_Utilité!AO130,0)</f>
        <v>0.024431311244856</v>
      </c>
      <c r="R130" s="0" t="n">
        <f aca="false">IF(2_Utilité!AO130&gt;0,2_Utilité!R130/2_Utilité!AO130,0)</f>
        <v>0.00320249639018672</v>
      </c>
      <c r="S130" s="0" t="n">
        <f aca="false">IF(2_Utilité!AO130&gt;0,2_Utilité!S130/2_Utilité!AO130,0)</f>
        <v>0.00227754555694067</v>
      </c>
      <c r="T130" s="0" t="n">
        <f aca="false">IF(2_Utilité!AO130&gt;0,2_Utilité!T130/2_Utilité!AO130,0)</f>
        <v>0.00376735556592846</v>
      </c>
      <c r="U130" s="0" t="n">
        <f aca="false">IF(2_Utilité!AO130&gt;0,2_Utilité!U130/2_Utilité!AO130,0)</f>
        <v>0.0739130438614769</v>
      </c>
      <c r="V130" s="0" t="n">
        <f aca="false">IF(2_Utilité!AO130&gt;0,2_Utilité!V130/2_Utilité!AO130,0)</f>
        <v>0.192883957919876</v>
      </c>
      <c r="W130" s="0" t="n">
        <f aca="false">IF(2_Utilité!AO130&gt;0,2_Utilité!W130/2_Utilité!AO130,0)</f>
        <v>0.0410169449038724</v>
      </c>
      <c r="X130" s="0" t="n">
        <f aca="false">IF(2_Utilité!AO130&gt;0,2_Utilité!X130/2_Utilité!AO130,0)</f>
        <v>0.0598113611209672</v>
      </c>
      <c r="Y130" s="0" t="n">
        <f aca="false">IF(2_Utilité!AO130&gt;0,2_Utilité!Y130/2_Utilité!AO130,0)</f>
        <v>0.0398358379969014</v>
      </c>
      <c r="Z130" s="0" t="n">
        <f aca="false">IF(2_Utilité!AO130&gt;0,2_Utilité!Z130/2_Utilité!AO130,0)</f>
        <v>0.0982028215825802</v>
      </c>
      <c r="AA130" s="0" t="n">
        <f aca="false">IF(2_Utilité!AO130&gt;0,2_Utilité!AA130/2_Utilité!AO130,0)</f>
        <v>0.201393027679093</v>
      </c>
      <c r="AB130" s="0" t="n">
        <f aca="false">IF(2_Utilité!AO130&gt;0,2_Utilité!AB130/2_Utilité!AO130,0)</f>
        <v>0.0960027144295558</v>
      </c>
      <c r="AC130" s="0" t="n">
        <f aca="false">IF(2_Utilité!AO130&gt;0,2_Utilité!AC130/2_Utilité!AO130,0)</f>
        <v>0</v>
      </c>
      <c r="AD130" s="0" t="n">
        <f aca="false">IF(2_Utilité!AO130&gt;0,2_Utilité!AD130/2_Utilité!AO130,0)</f>
        <v>0</v>
      </c>
      <c r="AE130" s="0" t="n">
        <f aca="false">IF(2_Utilité!AO130&gt;0,2_Utilité!AE130/2_Utilité!AO130,0)</f>
        <v>0</v>
      </c>
      <c r="AF130" s="0" t="n">
        <f aca="false">IF(2_Utilité!AO130&gt;0,2_Utilité!AF130/2_Utilité!AO130,0)</f>
        <v>0</v>
      </c>
      <c r="AG130" s="0" t="n">
        <f aca="false">IF(2_Utilité!AO130&gt;0,2_Utilité!AG130/2_Utilité!AO130,0)</f>
        <v>0</v>
      </c>
      <c r="AH130" s="0" t="n">
        <f aca="false">IF(2_Utilité!AO130&gt;0,2_Utilité!AH130/2_Utilité!AO130,0)</f>
        <v>0.00860987989112704</v>
      </c>
      <c r="AI130" s="0" t="n">
        <f aca="false">IF(2_Utilité!AO130&gt;0,2_Utilité!AI130/2_Utilité!AO130,0)</f>
        <v>0.00146950357590171</v>
      </c>
      <c r="AJ130" s="0" t="n">
        <f aca="false">IF(2_Utilité!AO130&gt;0,2_Utilité!AJ130/2_Utilité!AO130,0)</f>
        <v>0.0871454350774338</v>
      </c>
      <c r="AK130" s="0" t="n">
        <f aca="false">IF(2_Utilité!AO130&gt;0,2_Utilité!AK130/2_Utilité!AO130,0)</f>
        <v>0</v>
      </c>
      <c r="AL130" s="0" t="n">
        <f aca="false">IF(2_Utilité!AO130&gt;0,2_Utilité!AL130/2_Utilité!AO130,0)</f>
        <v>0</v>
      </c>
      <c r="AM130" s="48" t="n">
        <f aca="false">IF(2_Utilité!AO130&gt;0,2_Utilité!AM130/2_Utilité!AO130,0)</f>
        <v>0</v>
      </c>
      <c r="AN130" s="43" t="n">
        <f aca="false">IF(2_Utilité!AO130&gt;0,2_Utilité!AN130/2_Utilité!AO130,0)</f>
        <v>0</v>
      </c>
      <c r="AO130" s="43" t="n">
        <f aca="false">SUM(C130:AN130)</f>
        <v>1</v>
      </c>
      <c r="AP130" s="43" t="n">
        <f aca="false">COUNTIF(Matrice_OD!$C130:$AN130,"&lt;="&amp;Param!$B$2)</f>
        <v>28</v>
      </c>
    </row>
    <row r="131" customFormat="false" ht="15" hidden="false" customHeight="true" outlineLevel="0" collapsed="false">
      <c r="A131" s="0" t="s">
        <v>360</v>
      </c>
      <c r="B131" s="0" t="s">
        <v>361</v>
      </c>
      <c r="C131" s="0" t="n">
        <f aca="false">IF(2_Utilité!AO131&gt;0,2_Utilité!C131/2_Utilité!AO131,0)</f>
        <v>0.00383464576515258</v>
      </c>
      <c r="D131" s="0" t="n">
        <f aca="false">IF(2_Utilité!AO131&gt;0,2_Utilité!D131/2_Utilité!AO131,0)</f>
        <v>0.0030078071301173</v>
      </c>
      <c r="E131" s="0" t="n">
        <f aca="false">IF(2_Utilité!AO131&gt;0,2_Utilité!E131/2_Utilité!AO131,0)</f>
        <v>0.0341552937673434</v>
      </c>
      <c r="F131" s="0" t="n">
        <f aca="false">IF(2_Utilité!AO131&gt;0,2_Utilité!F131/2_Utilité!AO131,0)</f>
        <v>0.00628537280152069</v>
      </c>
      <c r="G131" s="0" t="n">
        <f aca="false">IF(2_Utilité!AO131&gt;0,2_Utilité!G131/2_Utilité!AO131,0)</f>
        <v>0.0175117483180752</v>
      </c>
      <c r="H131" s="0" t="n">
        <f aca="false">IF(2_Utilité!AO131&gt;0,2_Utilité!H131/2_Utilité!AO131,0)</f>
        <v>0.00475731306340788</v>
      </c>
      <c r="I131" s="0" t="n">
        <f aca="false">IF(2_Utilité!AO131&gt;0,2_Utilité!I131/2_Utilité!AO131,0)</f>
        <v>0.0108048556108032</v>
      </c>
      <c r="J131" s="0" t="n">
        <f aca="false">IF(2_Utilité!AO131&gt;0,2_Utilité!J131/2_Utilité!AO131,0)</f>
        <v>0.00819375137240831</v>
      </c>
      <c r="K131" s="0" t="n">
        <f aca="false">IF(2_Utilité!AO131&gt;0,2_Utilité!K131/2_Utilité!AO131,0)</f>
        <v>0.00484418339773395</v>
      </c>
      <c r="L131" s="0" t="n">
        <f aca="false">IF(2_Utilité!AO131&gt;0,2_Utilité!L131/2_Utilité!AO131,0)</f>
        <v>0.00541064476509027</v>
      </c>
      <c r="M131" s="0" t="n">
        <f aca="false">IF(2_Utilité!AO131&gt;0,2_Utilité!M131/2_Utilité!AO131,0)</f>
        <v>0.0316327705195256</v>
      </c>
      <c r="N131" s="0" t="n">
        <f aca="false">IF(2_Utilité!AO131&gt;0,2_Utilité!N131/2_Utilité!AO131,0)</f>
        <v>0.00380475865916763</v>
      </c>
      <c r="O131" s="0" t="n">
        <f aca="false">IF(2_Utilité!AO131&gt;0,2_Utilité!O131/2_Utilité!AO131,0)</f>
        <v>0.0122645351033519</v>
      </c>
      <c r="P131" s="0" t="n">
        <f aca="false">IF(2_Utilité!AO131&gt;0,2_Utilité!P131/2_Utilité!AO131,0)</f>
        <v>0.0061227515127885</v>
      </c>
      <c r="Q131" s="0" t="n">
        <f aca="false">IF(2_Utilité!AO131&gt;0,2_Utilité!Q131/2_Utilité!AO131,0)</f>
        <v>0.0544774535563724</v>
      </c>
      <c r="R131" s="0" t="n">
        <f aca="false">IF(2_Utilité!AO131&gt;0,2_Utilité!R131/2_Utilité!AO131,0)</f>
        <v>0.00715410058443082</v>
      </c>
      <c r="S131" s="0" t="n">
        <f aca="false">IF(2_Utilité!AO131&gt;0,2_Utilité!S131/2_Utilité!AO131,0)</f>
        <v>0.00512896531447323</v>
      </c>
      <c r="T131" s="0" t="n">
        <f aca="false">IF(2_Utilité!AO131&gt;0,2_Utilité!T131/2_Utilité!AO131,0)</f>
        <v>0.0245736040368354</v>
      </c>
      <c r="U131" s="0" t="n">
        <f aca="false">IF(2_Utilité!AO131&gt;0,2_Utilité!U131/2_Utilité!AO131,0)</f>
        <v>0.100880455887431</v>
      </c>
      <c r="V131" s="0" t="n">
        <f aca="false">IF(2_Utilité!AO131&gt;0,2_Utilité!V131/2_Utilité!AO131,0)</f>
        <v>0.156421146598414</v>
      </c>
      <c r="W131" s="0" t="n">
        <f aca="false">IF(2_Utilité!AO131&gt;0,2_Utilité!W131/2_Utilité!AO131,0)</f>
        <v>0.0310279783789977</v>
      </c>
      <c r="X131" s="0" t="n">
        <f aca="false">IF(2_Utilité!AO131&gt;0,2_Utilité!X131/2_Utilité!AO131,0)</f>
        <v>0.0445076785675434</v>
      </c>
      <c r="Y131" s="0" t="n">
        <f aca="false">IF(2_Utilité!AO131&gt;0,2_Utilité!Y131/2_Utilité!AO131,0)</f>
        <v>0.0290157141505013</v>
      </c>
      <c r="Z131" s="0" t="n">
        <f aca="false">IF(2_Utilité!AO131&gt;0,2_Utilité!Z131/2_Utilité!AO131,0)</f>
        <v>0.0701905037346893</v>
      </c>
      <c r="AA131" s="0" t="n">
        <f aca="false">IF(2_Utilité!AO131&gt;0,2_Utilité!AA131/2_Utilité!AO131,0)</f>
        <v>0.152974031713368</v>
      </c>
      <c r="AB131" s="0" t="n">
        <f aca="false">IF(2_Utilité!AO131&gt;0,2_Utilité!AB131/2_Utilité!AO131,0)</f>
        <v>0.0659875838218553</v>
      </c>
      <c r="AC131" s="0" t="n">
        <f aca="false">IF(2_Utilité!AO131&gt;0,2_Utilité!AC131/2_Utilité!AO131,0)</f>
        <v>0</v>
      </c>
      <c r="AD131" s="0" t="n">
        <f aca="false">IF(2_Utilité!AO131&gt;0,2_Utilité!AD131/2_Utilité!AO131,0)</f>
        <v>0</v>
      </c>
      <c r="AE131" s="0" t="n">
        <f aca="false">IF(2_Utilité!AO131&gt;0,2_Utilité!AE131/2_Utilité!AO131,0)</f>
        <v>0</v>
      </c>
      <c r="AF131" s="0" t="n">
        <f aca="false">IF(2_Utilité!AO131&gt;0,2_Utilité!AF131/2_Utilité!AO131,0)</f>
        <v>0</v>
      </c>
      <c r="AG131" s="0" t="n">
        <f aca="false">IF(2_Utilité!AO131&gt;0,2_Utilité!AG131/2_Utilité!AO131,0)</f>
        <v>0</v>
      </c>
      <c r="AH131" s="0" t="n">
        <f aca="false">IF(2_Utilité!AO131&gt;0,2_Utilité!AH131/2_Utilité!AO131,0)</f>
        <v>0.0189886074163084</v>
      </c>
      <c r="AI131" s="0" t="n">
        <f aca="false">IF(2_Utilité!AO131&gt;0,2_Utilité!AI131/2_Utilité!AO131,0)</f>
        <v>0.0102360517375985</v>
      </c>
      <c r="AJ131" s="0" t="n">
        <f aca="false">IF(2_Utilité!AO131&gt;0,2_Utilité!AJ131/2_Utilité!AO131,0)</f>
        <v>0.0669041504178746</v>
      </c>
      <c r="AK131" s="0" t="n">
        <f aca="false">IF(2_Utilité!AO131&gt;0,2_Utilité!AK131/2_Utilité!AO131,0)</f>
        <v>0</v>
      </c>
      <c r="AL131" s="0" t="n">
        <f aca="false">IF(2_Utilité!AO131&gt;0,2_Utilité!AL131/2_Utilité!AO131,0)</f>
        <v>0</v>
      </c>
      <c r="AM131" s="49" t="n">
        <f aca="false">IF(2_Utilité!AO131&gt;0,2_Utilité!AM131/2_Utilité!AO131,0)</f>
        <v>0.00890154229682116</v>
      </c>
      <c r="AN131" s="43" t="n">
        <f aca="false">IF(2_Utilité!AO131&gt;0,2_Utilité!AN131/2_Utilité!AO131,0)</f>
        <v>0</v>
      </c>
      <c r="AO131" s="43" t="n">
        <f aca="false">SUM(C131:AN131)</f>
        <v>1</v>
      </c>
      <c r="AP131" s="43" t="n">
        <f aca="false">COUNTIF(Matrice_OD!$C131:$AN131,"&lt;="&amp;Param!$B$2)</f>
        <v>30</v>
      </c>
    </row>
    <row r="132" customFormat="false" ht="15" hidden="false" customHeight="true" outlineLevel="0" collapsed="false">
      <c r="A132" s="0" t="s">
        <v>362</v>
      </c>
      <c r="B132" s="0" t="s">
        <v>363</v>
      </c>
      <c r="C132" s="0" t="n">
        <f aca="false">IF(2_Utilité!AO132&gt;0,2_Utilité!C132/2_Utilité!AO132,0)</f>
        <v>0.00107095558194571</v>
      </c>
      <c r="D132" s="0" t="n">
        <f aca="false">IF(2_Utilité!AO132&gt;0,2_Utilité!D132/2_Utilité!AO132,0)</f>
        <v>0.00381016273827854</v>
      </c>
      <c r="E132" s="0" t="n">
        <f aca="false">IF(2_Utilité!AO132&gt;0,2_Utilité!E132/2_Utilité!AO132,0)</f>
        <v>0.0431381230604328</v>
      </c>
      <c r="F132" s="0" t="n">
        <f aca="false">IF(2_Utilité!AO132&gt;0,2_Utilité!F132/2_Utilité!AO132,0)</f>
        <v>0.00791649475873294</v>
      </c>
      <c r="G132" s="0" t="n">
        <f aca="false">IF(2_Utilité!AO132&gt;0,2_Utilité!G132/2_Utilité!AO132,0)</f>
        <v>0.0221369326062896</v>
      </c>
      <c r="H132" s="0" t="n">
        <f aca="false">IF(2_Utilité!AO132&gt;0,2_Utilité!H132/2_Utilité!AO132,0)</f>
        <v>0.00587156456403307</v>
      </c>
      <c r="I132" s="0" t="n">
        <f aca="false">IF(2_Utilité!AO132&gt;0,2_Utilité!I132/2_Utilité!AO132,0)</f>
        <v>0.0133642763306606</v>
      </c>
      <c r="J132" s="0" t="n">
        <f aca="false">IF(2_Utilité!AO132&gt;0,2_Utilité!J132/2_Utilité!AO132,0)</f>
        <v>0.0102076043647672</v>
      </c>
      <c r="K132" s="0" t="n">
        <f aca="false">IF(2_Utilité!AO132&gt;0,2_Utilité!K132/2_Utilité!AO132,0)</f>
        <v>0.00607946243942969</v>
      </c>
      <c r="L132" s="0" t="n">
        <f aca="false">IF(2_Utilité!AO132&gt;0,2_Utilité!L132/2_Utilité!AO132,0)</f>
        <v>0.00669532972744374</v>
      </c>
      <c r="M132" s="0" t="n">
        <f aca="false">IF(2_Utilité!AO132&gt;0,2_Utilité!M132/2_Utilité!AO132,0)</f>
        <v>0.0386319362258955</v>
      </c>
      <c r="N132" s="0" t="n">
        <f aca="false">IF(2_Utilité!AO132&gt;0,2_Utilité!N132/2_Utilité!AO132,0)</f>
        <v>0.00473164078083131</v>
      </c>
      <c r="O132" s="0" t="n">
        <f aca="false">IF(2_Utilité!AO132&gt;0,2_Utilité!O132/2_Utilité!AO132,0)</f>
        <v>0.0152257728944021</v>
      </c>
      <c r="P132" s="0" t="n">
        <f aca="false">IF(2_Utilité!AO132&gt;0,2_Utilité!P132/2_Utilité!AO132,0)</f>
        <v>0.00757807098562366</v>
      </c>
      <c r="Q132" s="0" t="n">
        <f aca="false">IF(2_Utilité!AO132&gt;0,2_Utilité!Q132/2_Utilité!AO132,0)</f>
        <v>0.0673060100904449</v>
      </c>
      <c r="R132" s="0" t="n">
        <f aca="false">IF(2_Utilité!AO132&gt;0,2_Utilité!R132/2_Utilité!AO132,0)</f>
        <v>0.00885690457557033</v>
      </c>
      <c r="S132" s="0" t="n">
        <f aca="false">IF(2_Utilité!AO132&gt;0,2_Utilité!S132/2_Utilité!AO132,0)</f>
        <v>0.00638824879325123</v>
      </c>
      <c r="T132" s="0" t="n">
        <f aca="false">IF(2_Utilité!AO132&gt;0,2_Utilité!T132/2_Utilité!AO132,0)</f>
        <v>0.00938069976983634</v>
      </c>
      <c r="U132" s="0" t="n">
        <f aca="false">IF(2_Utilité!AO132&gt;0,2_Utilité!U132/2_Utilité!AO132,0)</f>
        <v>0.0702312829340581</v>
      </c>
      <c r="V132" s="0" t="n">
        <f aca="false">IF(2_Utilité!AO132&gt;0,2_Utilité!V132/2_Utilité!AO132,0)</f>
        <v>0.156577703698873</v>
      </c>
      <c r="W132" s="0" t="n">
        <f aca="false">IF(2_Utilité!AO132&gt;0,2_Utilité!W132/2_Utilité!AO132,0)</f>
        <v>0.0309435514438985</v>
      </c>
      <c r="X132" s="0" t="n">
        <f aca="false">IF(2_Utilité!AO132&gt;0,2_Utilité!X132/2_Utilité!AO132,0)</f>
        <v>0.0445006936155954</v>
      </c>
      <c r="Y132" s="0" t="n">
        <f aca="false">IF(2_Utilité!AO132&gt;0,2_Utilité!Y132/2_Utilité!AO132,0)</f>
        <v>0.029655306025026</v>
      </c>
      <c r="Z132" s="0" t="n">
        <f aca="false">IF(2_Utilité!AO132&gt;0,2_Utilité!Z132/2_Utilité!AO132,0)</f>
        <v>0.0732825739658405</v>
      </c>
      <c r="AA132" s="0" t="n">
        <f aca="false">IF(2_Utilité!AO132&gt;0,2_Utilité!AA132/2_Utilité!AO132,0)</f>
        <v>0.15005285611954</v>
      </c>
      <c r="AB132" s="0" t="n">
        <f aca="false">IF(2_Utilité!AO132&gt;0,2_Utilité!AB132/2_Utilité!AO132,0)</f>
        <v>0.0706106946052321</v>
      </c>
      <c r="AC132" s="0" t="n">
        <f aca="false">IF(2_Utilité!AO132&gt;0,2_Utilité!AC132/2_Utilité!AO132,0)</f>
        <v>0</v>
      </c>
      <c r="AD132" s="0" t="n">
        <f aca="false">IF(2_Utilité!AO132&gt;0,2_Utilité!AD132/2_Utilité!AO132,0)</f>
        <v>0</v>
      </c>
      <c r="AE132" s="0" t="n">
        <f aca="false">IF(2_Utilité!AO132&gt;0,2_Utilité!AE132/2_Utilité!AO132,0)</f>
        <v>0</v>
      </c>
      <c r="AF132" s="0" t="n">
        <f aca="false">IF(2_Utilité!AO132&gt;0,2_Utilité!AF132/2_Utilité!AO132,0)</f>
        <v>0</v>
      </c>
      <c r="AG132" s="0" t="n">
        <f aca="false">IF(2_Utilité!AO132&gt;0,2_Utilité!AG132/2_Utilité!AO132,0)</f>
        <v>0</v>
      </c>
      <c r="AH132" s="0" t="n">
        <f aca="false">IF(2_Utilité!AO132&gt;0,2_Utilité!AH132/2_Utilité!AO132,0)</f>
        <v>0.0232829293126703</v>
      </c>
      <c r="AI132" s="0" t="n">
        <f aca="false">IF(2_Utilité!AO132&gt;0,2_Utilité!AI132/2_Utilité!AO132,0)</f>
        <v>0.00382722625075398</v>
      </c>
      <c r="AJ132" s="0" t="n">
        <f aca="false">IF(2_Utilité!AO132&gt;0,2_Utilité!AJ132/2_Utilité!AO132,0)</f>
        <v>0.0661789105617396</v>
      </c>
      <c r="AK132" s="0" t="n">
        <f aca="false">IF(2_Utilité!AO132&gt;0,2_Utilité!AK132/2_Utilité!AO132,0)</f>
        <v>0</v>
      </c>
      <c r="AL132" s="0" t="n">
        <f aca="false">IF(2_Utilité!AO132&gt;0,2_Utilité!AL132/2_Utilité!AO132,0)</f>
        <v>0</v>
      </c>
      <c r="AM132" s="48" t="n">
        <f aca="false">IF(2_Utilité!AO132&gt;0,2_Utilité!AM132/2_Utilité!AO132,0)</f>
        <v>0.00246608117890325</v>
      </c>
      <c r="AN132" s="43" t="n">
        <f aca="false">IF(2_Utilité!AO132&gt;0,2_Utilité!AN132/2_Utilité!AO132,0)</f>
        <v>0</v>
      </c>
      <c r="AO132" s="43" t="n">
        <f aca="false">SUM(C132:AN132)</f>
        <v>1</v>
      </c>
      <c r="AP132" s="43" t="n">
        <f aca="false">COUNTIF(Matrice_OD!$C132:$AN132,"&lt;="&amp;Param!$B$2)</f>
        <v>30</v>
      </c>
    </row>
    <row r="133" customFormat="false" ht="15" hidden="false" customHeight="true" outlineLevel="0" collapsed="false">
      <c r="A133" s="0" t="s">
        <v>364</v>
      </c>
      <c r="B133" s="0" t="s">
        <v>365</v>
      </c>
      <c r="C133" s="0" t="n">
        <f aca="false">IF(2_Utilité!AO133&gt;0,2_Utilité!C133/2_Utilité!AO133,0)</f>
        <v>0.0014337442497768</v>
      </c>
      <c r="D133" s="0" t="n">
        <f aca="false">IF(2_Utilité!AO133&gt;0,2_Utilité!D133/2_Utilité!AO133,0)</f>
        <v>0.00469378361373295</v>
      </c>
      <c r="E133" s="0" t="n">
        <f aca="false">IF(2_Utilité!AO133&gt;0,2_Utilité!E133/2_Utilité!AO133,0)</f>
        <v>0.0531674185146077</v>
      </c>
      <c r="F133" s="0" t="n">
        <f aca="false">IF(2_Utilité!AO133&gt;0,2_Utilité!F133/2_Utilité!AO133,0)</f>
        <v>0.00976130593218155</v>
      </c>
      <c r="G133" s="0" t="n">
        <f aca="false">IF(2_Utilité!AO133&gt;0,2_Utilité!G133/2_Utilité!AO133,0)</f>
        <v>0.0272641473440907</v>
      </c>
      <c r="H133" s="0" t="n">
        <f aca="false">IF(2_Utilité!AO133&gt;0,2_Utilité!H133/2_Utilité!AO133,0)</f>
        <v>0.0072583086012124</v>
      </c>
      <c r="I133" s="0" t="n">
        <f aca="false">IF(2_Utilité!AO133&gt;0,2_Utilité!I133/2_Utilité!AO133,0)</f>
        <v>0.0165260997042762</v>
      </c>
      <c r="J133" s="0" t="n">
        <f aca="false">IF(2_Utilité!AO133&gt;0,2_Utilité!J133/2_Utilité!AO133,0)</f>
        <v>0.0125996449224385</v>
      </c>
      <c r="K133" s="0" t="n">
        <f aca="false">IF(2_Utilité!AO133&gt;0,2_Utilité!K133/2_Utilité!AO133,0)</f>
        <v>0.0075004502695548</v>
      </c>
      <c r="L133" s="0" t="n">
        <f aca="false">IF(2_Utilité!AO133&gt;0,2_Utilité!L133/2_Utilité!AO133,0)</f>
        <v>0.00827419130968683</v>
      </c>
      <c r="M133" s="0" t="n">
        <f aca="false">IF(2_Utilité!AO133&gt;0,2_Utilité!M133/2_Utilité!AO133,0)</f>
        <v>0.0478366224475312</v>
      </c>
      <c r="N133" s="0" t="n">
        <f aca="false">IF(2_Utilité!AO133&gt;0,2_Utilité!N133/2_Utilité!AO133,0)</f>
        <v>0.00584604853067988</v>
      </c>
      <c r="O133" s="0" t="n">
        <f aca="false">IF(2_Utilité!AO133&gt;0,2_Utilité!O133/2_Utilité!AO133,0)</f>
        <v>0.0188042320840444</v>
      </c>
      <c r="P133" s="0" t="n">
        <f aca="false">IF(2_Utilité!AO133&gt;0,2_Utilité!P133/2_Utilité!AO133,0)</f>
        <v>0.00936478983242316</v>
      </c>
      <c r="Q133" s="0" t="n">
        <f aca="false">IF(2_Utilité!AO133&gt;0,2_Utilité!Q133/2_Utilité!AO133,0)</f>
        <v>0.0832446721065478</v>
      </c>
      <c r="R133" s="0" t="n">
        <f aca="false">IF(2_Utilité!AO133&gt;0,2_Utilité!R133/2_Utilité!AO133,0)</f>
        <v>0.0109507365704684</v>
      </c>
      <c r="S133" s="0" t="n">
        <f aca="false">IF(2_Utilité!AO133&gt;0,2_Utilité!S133/2_Utilité!AO133,0)</f>
        <v>0.00789090011055449</v>
      </c>
      <c r="T133" s="0" t="n">
        <f aca="false">IF(2_Utilité!AO133&gt;0,2_Utilité!T133/2_Utilité!AO133,0)</f>
        <v>0.012627151548719</v>
      </c>
      <c r="U133" s="0" t="n">
        <f aca="false">IF(2_Utilité!AO133&gt;0,2_Utilité!U133/2_Utilité!AO133,0)</f>
        <v>0.0947637017909427</v>
      </c>
      <c r="V133" s="0" t="n">
        <f aca="false">IF(2_Utilité!AO133&gt;0,2_Utilité!V133/2_Utilité!AO133,0)</f>
        <v>0.132165724591898</v>
      </c>
      <c r="W133" s="0" t="n">
        <f aca="false">IF(2_Utilité!AO133&gt;0,2_Utilité!W133/2_Utilité!AO133,0)</f>
        <v>0.0262129884068903</v>
      </c>
      <c r="X133" s="0" t="n">
        <f aca="false">IF(2_Utilité!AO133&gt;0,2_Utilité!X133/2_Utilité!AO133,0)</f>
        <v>0.0376415355336414</v>
      </c>
      <c r="Y133" s="0" t="n">
        <f aca="false">IF(2_Utilité!AO133&gt;0,2_Utilité!Y133/2_Utilité!AO133,0)</f>
        <v>0.0245277132434677</v>
      </c>
      <c r="Z133" s="0" t="n">
        <f aca="false">IF(2_Utilité!AO133&gt;0,2_Utilité!Z133/2_Utilité!AO133,0)</f>
        <v>0.0592923615048775</v>
      </c>
      <c r="AA133" s="0" t="n">
        <f aca="false">IF(2_Utilité!AO133&gt;0,2_Utilité!AA133/2_Utilité!AO133,0)</f>
        <v>0.129461098185716</v>
      </c>
      <c r="AB133" s="0" t="n">
        <f aca="false">IF(2_Utilité!AO133&gt;0,2_Utilité!AB133/2_Utilité!AO133,0)</f>
        <v>0.0570473700378721</v>
      </c>
      <c r="AC133" s="0" t="n">
        <f aca="false">IF(2_Utilité!AO133&gt;0,2_Utilité!AC133/2_Utilité!AO133,0)</f>
        <v>0</v>
      </c>
      <c r="AD133" s="0" t="n">
        <f aca="false">IF(2_Utilité!AO133&gt;0,2_Utilité!AD133/2_Utilité!AO133,0)</f>
        <v>0</v>
      </c>
      <c r="AE133" s="0" t="n">
        <f aca="false">IF(2_Utilité!AO133&gt;0,2_Utilité!AE133/2_Utilité!AO133,0)</f>
        <v>0</v>
      </c>
      <c r="AF133" s="0" t="n">
        <f aca="false">IF(2_Utilité!AO133&gt;0,2_Utilité!AF133/2_Utilité!AO133,0)</f>
        <v>0</v>
      </c>
      <c r="AG133" s="0" t="n">
        <f aca="false">IF(2_Utilité!AO133&gt;0,2_Utilité!AG133/2_Utilité!AO133,0)</f>
        <v>0</v>
      </c>
      <c r="AH133" s="0" t="n">
        <f aca="false">IF(2_Utilité!AO133&gt;0,2_Utilité!AH133/2_Utilité!AO133,0)</f>
        <v>0.0288312046114456</v>
      </c>
      <c r="AI133" s="0" t="n">
        <f aca="false">IF(2_Utilité!AO133&gt;0,2_Utilité!AI133/2_Utilité!AO133,0)</f>
        <v>0.00514987236884197</v>
      </c>
      <c r="AJ133" s="0" t="n">
        <f aca="false">IF(2_Utilité!AO133&gt;0,2_Utilité!AJ133/2_Utilité!AO133,0)</f>
        <v>0.0565705803312351</v>
      </c>
      <c r="AK133" s="0" t="n">
        <f aca="false">IF(2_Utilité!AO133&gt;0,2_Utilité!AK133/2_Utilité!AO133,0)</f>
        <v>0</v>
      </c>
      <c r="AL133" s="0" t="n">
        <f aca="false">IF(2_Utilité!AO133&gt;0,2_Utilité!AL133/2_Utilité!AO133,0)</f>
        <v>0</v>
      </c>
      <c r="AM133" s="49" t="n">
        <f aca="false">IF(2_Utilité!AO133&gt;0,2_Utilité!AM133/2_Utilité!AO133,0)</f>
        <v>0.00329160170064519</v>
      </c>
      <c r="AN133" s="43" t="n">
        <f aca="false">IF(2_Utilité!AO133&gt;0,2_Utilité!AN133/2_Utilité!AO133,0)</f>
        <v>0</v>
      </c>
      <c r="AO133" s="43" t="n">
        <f aca="false">SUM(C133:AN133)</f>
        <v>1</v>
      </c>
      <c r="AP133" s="43" t="n">
        <f aca="false">COUNTIF(Matrice_OD!$C133:$AN133,"&lt;="&amp;Param!$B$2)</f>
        <v>30</v>
      </c>
    </row>
    <row r="134" customFormat="false" ht="15" hidden="false" customHeight="true" outlineLevel="0" collapsed="false">
      <c r="A134" s="0" t="s">
        <v>366</v>
      </c>
      <c r="B134" s="0" t="s">
        <v>367</v>
      </c>
      <c r="C134" s="0" t="n">
        <f aca="false">IF(2_Utilité!AO134&gt;0,2_Utilité!C134/2_Utilité!AO134,0)</f>
        <v>0</v>
      </c>
      <c r="D134" s="0" t="n">
        <f aca="false">IF(2_Utilité!AO134&gt;0,2_Utilité!D134/2_Utilité!AO134,0)</f>
        <v>0.00146001527387629</v>
      </c>
      <c r="E134" s="0" t="n">
        <f aca="false">IF(2_Utilité!AO134&gt;0,2_Utilité!E134/2_Utilité!AO134,0)</f>
        <v>0.0166878183268589</v>
      </c>
      <c r="F134" s="0" t="n">
        <f aca="false">IF(2_Utilité!AO134&gt;0,2_Utilité!F134/2_Utilité!AO134,0)</f>
        <v>0.00308966395782069</v>
      </c>
      <c r="G134" s="0" t="n">
        <f aca="false">IF(2_Utilité!AO134&gt;0,2_Utilité!G134/2_Utilité!AO134,0)</f>
        <v>0.00856078398859657</v>
      </c>
      <c r="H134" s="0" t="n">
        <f aca="false">IF(2_Utilité!AO134&gt;0,2_Utilité!H134/2_Utilité!AO134,0)</f>
        <v>0.00244507485193323</v>
      </c>
      <c r="I134" s="0" t="n">
        <f aca="false">IF(2_Utilité!AO134&gt;0,2_Utilité!I134/2_Utilité!AO134,0)</f>
        <v>0.0055270971507945</v>
      </c>
      <c r="J134" s="0" t="n">
        <f aca="false">IF(2_Utilité!AO134&gt;0,2_Utilité!J134/2_Utilité!AO134,0)</f>
        <v>0.00412591165785159</v>
      </c>
      <c r="K134" s="0" t="n">
        <f aca="false">IF(2_Utilité!AO134&gt;0,2_Utilité!K134/2_Utilité!AO134,0)</f>
        <v>0.00240005544939159</v>
      </c>
      <c r="L134" s="0" t="n">
        <f aca="false">IF(2_Utilité!AO134&gt;0,2_Utilité!L134/2_Utilité!AO134,0)</f>
        <v>0.00277172594973117</v>
      </c>
      <c r="M134" s="0" t="n">
        <f aca="false">IF(2_Utilité!AO134&gt;0,2_Utilité!M134/2_Utilité!AO134,0)</f>
        <v>0.0166392475289364</v>
      </c>
      <c r="N134" s="0" t="n">
        <f aca="false">IF(2_Utilité!AO134&gt;0,2_Utilité!N134/2_Utilité!AO134,0)</f>
        <v>0.00192320526772557</v>
      </c>
      <c r="O134" s="0" t="n">
        <f aca="false">IF(2_Utilité!AO134&gt;0,2_Utilité!O134/2_Utilité!AO134,0)</f>
        <v>0.00622316045920352</v>
      </c>
      <c r="P134" s="0" t="n">
        <f aca="false">IF(2_Utilité!AO134&gt;0,2_Utilité!P134/2_Utilité!AO134,0)</f>
        <v>0.00313510826354965</v>
      </c>
      <c r="Q134" s="0" t="n">
        <f aca="false">IF(2_Utilité!AO134&gt;0,2_Utilité!Q134/2_Utilité!AO134,0)</f>
        <v>0.0279363679504551</v>
      </c>
      <c r="R134" s="0" t="n">
        <f aca="false">IF(2_Utilité!AO134&gt;0,2_Utilité!R134/2_Utilité!AO134,0)</f>
        <v>0.00365219213634784</v>
      </c>
      <c r="S134" s="0" t="n">
        <f aca="false">IF(2_Utilité!AO134&gt;0,2_Utilité!S134/2_Utilité!AO134,0)</f>
        <v>0.00258382063278361</v>
      </c>
      <c r="T134" s="0" t="n">
        <f aca="false">IF(2_Utilité!AO134&gt;0,2_Utilité!T134/2_Utilité!AO134,0)</f>
        <v>0.00646628641811011</v>
      </c>
      <c r="U134" s="0" t="n">
        <f aca="false">IF(2_Utilité!AO134&gt;0,2_Utilité!U134/2_Utilité!AO134,0)</f>
        <v>0.150580949426585</v>
      </c>
      <c r="V134" s="0" t="n">
        <f aca="false">IF(2_Utilité!AO134&gt;0,2_Utilité!V134/2_Utilité!AO134,0)</f>
        <v>0.180062950073603</v>
      </c>
      <c r="W134" s="0" t="n">
        <f aca="false">IF(2_Utilité!AO134&gt;0,2_Utilité!W134/2_Utilité!AO134,0)</f>
        <v>0.0359389217338121</v>
      </c>
      <c r="X134" s="0" t="n">
        <f aca="false">IF(2_Utilité!AO134&gt;0,2_Utilité!X134/2_Utilité!AO134,0)</f>
        <v>0.052435309896856</v>
      </c>
      <c r="Y134" s="0" t="n">
        <f aca="false">IF(2_Utilité!AO134&gt;0,2_Utilité!Y134/2_Utilité!AO134,0)</f>
        <v>0.0339036943763114</v>
      </c>
      <c r="Z134" s="0" t="n">
        <f aca="false">IF(2_Utilité!AO134&gt;0,2_Utilité!Z134/2_Utilité!AO134,0)</f>
        <v>0.0811184743254146</v>
      </c>
      <c r="AA134" s="0" t="n">
        <f aca="false">IF(2_Utilité!AO134&gt;0,2_Utilité!AA134/2_Utilité!AO134,0)</f>
        <v>0.181995689859404</v>
      </c>
      <c r="AB134" s="0" t="n">
        <f aca="false">IF(2_Utilité!AO134&gt;0,2_Utilité!AB134/2_Utilité!AO134,0)</f>
        <v>0.0773823497143391</v>
      </c>
      <c r="AC134" s="0" t="n">
        <f aca="false">IF(2_Utilité!AO134&gt;0,2_Utilité!AC134/2_Utilité!AO134,0)</f>
        <v>0</v>
      </c>
      <c r="AD134" s="0" t="n">
        <f aca="false">IF(2_Utilité!AO134&gt;0,2_Utilité!AD134/2_Utilité!AO134,0)</f>
        <v>0</v>
      </c>
      <c r="AE134" s="0" t="n">
        <f aca="false">IF(2_Utilité!AO134&gt;0,2_Utilité!AE134/2_Utilité!AO134,0)</f>
        <v>0</v>
      </c>
      <c r="AF134" s="0" t="n">
        <f aca="false">IF(2_Utilité!AO134&gt;0,2_Utilité!AF134/2_Utilité!AO134,0)</f>
        <v>0</v>
      </c>
      <c r="AG134" s="0" t="n">
        <f aca="false">IF(2_Utilité!AO134&gt;0,2_Utilité!AG134/2_Utilité!AO134,0)</f>
        <v>0</v>
      </c>
      <c r="AH134" s="0" t="n">
        <f aca="false">IF(2_Utilité!AO134&gt;0,2_Utilité!AH134/2_Utilité!AO134,0)</f>
        <v>0.0099009794693155</v>
      </c>
      <c r="AI134" s="0" t="n">
        <f aca="false">IF(2_Utilité!AO134&gt;0,2_Utilité!AI134/2_Utilité!AO134,0)</f>
        <v>0.00250216978743035</v>
      </c>
      <c r="AJ134" s="0" t="n">
        <f aca="false">IF(2_Utilité!AO134&gt;0,2_Utilité!AJ134/2_Utilité!AO134,0)</f>
        <v>0.0785509760729621</v>
      </c>
      <c r="AK134" s="0" t="n">
        <f aca="false">IF(2_Utilité!AO134&gt;0,2_Utilité!AK134/2_Utilité!AO134,0)</f>
        <v>0</v>
      </c>
      <c r="AL134" s="0" t="n">
        <f aca="false">IF(2_Utilité!AO134&gt;0,2_Utilité!AL134/2_Utilité!AO134,0)</f>
        <v>0</v>
      </c>
      <c r="AM134" s="48" t="n">
        <f aca="false">IF(2_Utilité!AO134&gt;0,2_Utilité!AM134/2_Utilité!AO134,0)</f>
        <v>0</v>
      </c>
      <c r="AN134" s="43" t="n">
        <f aca="false">IF(2_Utilité!AO134&gt;0,2_Utilité!AN134/2_Utilité!AO134,0)</f>
        <v>0</v>
      </c>
      <c r="AO134" s="43" t="n">
        <f aca="false">SUM(C134:AN134)</f>
        <v>1</v>
      </c>
      <c r="AP134" s="43" t="n">
        <f aca="false">COUNTIF(Matrice_OD!$C134:$AN134,"&lt;="&amp;Param!$B$2)</f>
        <v>28</v>
      </c>
    </row>
    <row r="135" customFormat="false" ht="15" hidden="false" customHeight="true" outlineLevel="0" collapsed="false">
      <c r="A135" s="0" t="s">
        <v>368</v>
      </c>
      <c r="B135" s="0" t="s">
        <v>369</v>
      </c>
      <c r="C135" s="0" t="n">
        <f aca="false">IF(2_Utilité!AO135&gt;0,2_Utilité!C135/2_Utilité!AO135,0)</f>
        <v>0</v>
      </c>
      <c r="D135" s="0" t="n">
        <f aca="false">IF(2_Utilité!AO135&gt;0,2_Utilité!D135/2_Utilité!AO135,0)</f>
        <v>0</v>
      </c>
      <c r="E135" s="0" t="n">
        <f aca="false">IF(2_Utilité!AO135&gt;0,2_Utilité!E135/2_Utilité!AO135,0)</f>
        <v>0</v>
      </c>
      <c r="F135" s="0" t="n">
        <f aca="false">IF(2_Utilité!AO135&gt;0,2_Utilité!F135/2_Utilité!AO135,0)</f>
        <v>0</v>
      </c>
      <c r="G135" s="0" t="n">
        <f aca="false">IF(2_Utilité!AO135&gt;0,2_Utilité!G135/2_Utilité!AO135,0)</f>
        <v>0</v>
      </c>
      <c r="H135" s="0" t="n">
        <f aca="false">IF(2_Utilité!AO135&gt;0,2_Utilité!H135/2_Utilité!AO135,0)</f>
        <v>0.00449828448168925</v>
      </c>
      <c r="I135" s="0" t="n">
        <f aca="false">IF(2_Utilité!AO135&gt;0,2_Utilité!I135/2_Utilité!AO135,0)</f>
        <v>0.0101708364783695</v>
      </c>
      <c r="J135" s="0" t="n">
        <f aca="false">IF(2_Utilité!AO135&gt;0,2_Utilité!J135/2_Utilité!AO135,0)</f>
        <v>0</v>
      </c>
      <c r="K135" s="0" t="n">
        <f aca="false">IF(2_Utilité!AO135&gt;0,2_Utilité!K135/2_Utilité!AO135,0)</f>
        <v>0</v>
      </c>
      <c r="L135" s="0" t="n">
        <f aca="false">IF(2_Utilité!AO135&gt;0,2_Utilité!L135/2_Utilité!AO135,0)</f>
        <v>0.00509582353243492</v>
      </c>
      <c r="M135" s="0" t="n">
        <f aca="false">IF(2_Utilité!AO135&gt;0,2_Utilité!M135/2_Utilité!AO135,0)</f>
        <v>0.0307292315949396</v>
      </c>
      <c r="N135" s="0" t="n">
        <f aca="false">IF(2_Utilité!AO135&gt;0,2_Utilité!N135/2_Utilité!AO135,0)</f>
        <v>0</v>
      </c>
      <c r="O135" s="0" t="n">
        <f aca="false">IF(2_Utilité!AO135&gt;0,2_Utilité!O135/2_Utilité!AO135,0)</f>
        <v>0</v>
      </c>
      <c r="P135" s="0" t="n">
        <f aca="false">IF(2_Utilité!AO135&gt;0,2_Utilité!P135/2_Utilité!AO135,0)</f>
        <v>0.00576347400440938</v>
      </c>
      <c r="Q135" s="0" t="n">
        <f aca="false">IF(2_Utilité!AO135&gt;0,2_Utilité!Q135/2_Utilité!AO135,0)</f>
        <v>0.0513763467695671</v>
      </c>
      <c r="R135" s="0" t="n">
        <f aca="false">IF(2_Utilité!AO135&gt;0,2_Utilité!R135/2_Utilité!AO135,0)</f>
        <v>0.00671156702250268</v>
      </c>
      <c r="S135" s="0" t="n">
        <f aca="false">IF(2_Utilité!AO135&gt;0,2_Utilité!S135/2_Utilité!AO135,0)</f>
        <v>0</v>
      </c>
      <c r="T135" s="0" t="n">
        <f aca="false">IF(2_Utilité!AO135&gt;0,2_Utilité!T135/2_Utilité!AO135,0)</f>
        <v>0.00943584090609631</v>
      </c>
      <c r="U135" s="0" t="n">
        <f aca="false">IF(2_Utilité!AO135&gt;0,2_Utilité!U135/2_Utilité!AO135,0)</f>
        <v>0.284737029800083</v>
      </c>
      <c r="V135" s="0" t="n">
        <f aca="false">IF(2_Utilité!AO135&gt;0,2_Utilité!V135/2_Utilité!AO135,0)</f>
        <v>0.12555838259498</v>
      </c>
      <c r="W135" s="0" t="n">
        <f aca="false">IF(2_Utilité!AO135&gt;0,2_Utilité!W135/2_Utilité!AO135,0)</f>
        <v>0.0277635683265477</v>
      </c>
      <c r="X135" s="0" t="n">
        <f aca="false">IF(2_Utilité!AO135&gt;0,2_Utilité!X135/2_Utilité!AO135,0)</f>
        <v>0.0425329554193386</v>
      </c>
      <c r="Y135" s="0" t="n">
        <f aca="false">IF(2_Utilité!AO135&gt;0,2_Utilité!Y135/2_Utilité!AO135,0)</f>
        <v>0.0283072390006374</v>
      </c>
      <c r="Z135" s="0" t="n">
        <f aca="false">IF(2_Utilité!AO135&gt;0,2_Utilité!Z135/2_Utilité!AO135,0)</f>
        <v>0.0690449415120967</v>
      </c>
      <c r="AA135" s="0" t="n">
        <f aca="false">IF(2_Utilité!AO135&gt;0,2_Utilité!AA135/2_Utilité!AO135,0)</f>
        <v>0.144320716573243</v>
      </c>
      <c r="AB135" s="0" t="n">
        <f aca="false">IF(2_Utilité!AO135&gt;0,2_Utilité!AB135/2_Utilité!AO135,0)</f>
        <v>0.0720023378361469</v>
      </c>
      <c r="AC135" s="0" t="n">
        <f aca="false">IF(2_Utilité!AO135&gt;0,2_Utilité!AC135/2_Utilité!AO135,0)</f>
        <v>0</v>
      </c>
      <c r="AD135" s="0" t="n">
        <f aca="false">IF(2_Utilité!AO135&gt;0,2_Utilité!AD135/2_Utilité!AO135,0)</f>
        <v>0</v>
      </c>
      <c r="AE135" s="0" t="n">
        <f aca="false">IF(2_Utilité!AO135&gt;0,2_Utilité!AE135/2_Utilité!AO135,0)</f>
        <v>0</v>
      </c>
      <c r="AF135" s="0" t="n">
        <f aca="false">IF(2_Utilité!AO135&gt;0,2_Utilité!AF135/2_Utilité!AO135,0)</f>
        <v>0</v>
      </c>
      <c r="AG135" s="0" t="n">
        <f aca="false">IF(2_Utilité!AO135&gt;0,2_Utilité!AG135/2_Utilité!AO135,0)</f>
        <v>0</v>
      </c>
      <c r="AH135" s="0" t="n">
        <f aca="false">IF(2_Utilité!AO135&gt;0,2_Utilité!AH135/2_Utilité!AO135,0)</f>
        <v>0.0182770512108253</v>
      </c>
      <c r="AI135" s="0" t="n">
        <f aca="false">IF(2_Utilité!AO135&gt;0,2_Utilité!AI135/2_Utilité!AO135,0)</f>
        <v>0.00360433922521223</v>
      </c>
      <c r="AJ135" s="0" t="n">
        <f aca="false">IF(2_Utilité!AO135&gt;0,2_Utilité!AJ135/2_Utilité!AO135,0)</f>
        <v>0.0600700337108806</v>
      </c>
      <c r="AK135" s="0" t="n">
        <f aca="false">IF(2_Utilité!AO135&gt;0,2_Utilité!AK135/2_Utilité!AO135,0)</f>
        <v>0</v>
      </c>
      <c r="AL135" s="0" t="n">
        <f aca="false">IF(2_Utilité!AO135&gt;0,2_Utilité!AL135/2_Utilité!AO135,0)</f>
        <v>0</v>
      </c>
      <c r="AM135" s="49" t="n">
        <f aca="false">IF(2_Utilité!AO135&gt;0,2_Utilité!AM135/2_Utilité!AO135,0)</f>
        <v>0</v>
      </c>
      <c r="AN135" s="43" t="n">
        <f aca="false">IF(2_Utilité!AO135&gt;0,2_Utilité!AN135/2_Utilité!AO135,0)</f>
        <v>0</v>
      </c>
      <c r="AO135" s="43" t="n">
        <f aca="false">SUM(C135:AN135)</f>
        <v>1</v>
      </c>
      <c r="AP135" s="43" t="n">
        <f aca="false">COUNTIF(Matrice_OD!$C135:$AN135,"&lt;="&amp;Param!$B$2)</f>
        <v>19</v>
      </c>
    </row>
    <row r="136" customFormat="false" ht="15" hidden="false" customHeight="true" outlineLevel="0" collapsed="false">
      <c r="A136" s="0" t="s">
        <v>370</v>
      </c>
      <c r="B136" s="0" t="s">
        <v>371</v>
      </c>
      <c r="C136" s="0" t="n">
        <f aca="false">IF(2_Utilité!AO136&gt;0,2_Utilité!C136/2_Utilité!AO136,0)</f>
        <v>0</v>
      </c>
      <c r="D136" s="0" t="n">
        <f aca="false">IF(2_Utilité!AO136&gt;0,2_Utilité!D136/2_Utilité!AO136,0)</f>
        <v>0</v>
      </c>
      <c r="E136" s="0" t="n">
        <f aca="false">IF(2_Utilité!AO136&gt;0,2_Utilité!E136/2_Utilité!AO136,0)</f>
        <v>0</v>
      </c>
      <c r="F136" s="0" t="n">
        <f aca="false">IF(2_Utilité!AO136&gt;0,2_Utilité!F136/2_Utilité!AO136,0)</f>
        <v>0</v>
      </c>
      <c r="G136" s="0" t="n">
        <f aca="false">IF(2_Utilité!AO136&gt;0,2_Utilité!G136/2_Utilité!AO136,0)</f>
        <v>0</v>
      </c>
      <c r="H136" s="0" t="n">
        <f aca="false">IF(2_Utilité!AO136&gt;0,2_Utilité!H136/2_Utilité!AO136,0)</f>
        <v>0</v>
      </c>
      <c r="I136" s="0" t="n">
        <f aca="false">IF(2_Utilité!AO136&gt;0,2_Utilité!I136/2_Utilité!AO136,0)</f>
        <v>0</v>
      </c>
      <c r="J136" s="0" t="n">
        <f aca="false">IF(2_Utilité!AO136&gt;0,2_Utilité!J136/2_Utilité!AO136,0)</f>
        <v>0</v>
      </c>
      <c r="K136" s="0" t="n">
        <f aca="false">IF(2_Utilité!AO136&gt;0,2_Utilité!K136/2_Utilité!AO136,0)</f>
        <v>0</v>
      </c>
      <c r="L136" s="0" t="n">
        <f aca="false">IF(2_Utilité!AO136&gt;0,2_Utilité!L136/2_Utilité!AO136,0)</f>
        <v>0</v>
      </c>
      <c r="M136" s="0" t="n">
        <f aca="false">IF(2_Utilité!AO136&gt;0,2_Utilité!M136/2_Utilité!AO136,0)</f>
        <v>0</v>
      </c>
      <c r="N136" s="0" t="n">
        <f aca="false">IF(2_Utilité!AO136&gt;0,2_Utilité!N136/2_Utilité!AO136,0)</f>
        <v>0</v>
      </c>
      <c r="O136" s="0" t="n">
        <f aca="false">IF(2_Utilité!AO136&gt;0,2_Utilité!O136/2_Utilité!AO136,0)</f>
        <v>0</v>
      </c>
      <c r="P136" s="0" t="n">
        <f aca="false">IF(2_Utilité!AO136&gt;0,2_Utilité!P136/2_Utilité!AO136,0)</f>
        <v>0</v>
      </c>
      <c r="Q136" s="0" t="n">
        <f aca="false">IF(2_Utilité!AO136&gt;0,2_Utilité!Q136/2_Utilité!AO136,0)</f>
        <v>0</v>
      </c>
      <c r="R136" s="0" t="n">
        <f aca="false">IF(2_Utilité!AO136&gt;0,2_Utilité!R136/2_Utilité!AO136,0)</f>
        <v>0</v>
      </c>
      <c r="S136" s="0" t="n">
        <f aca="false">IF(2_Utilité!AO136&gt;0,2_Utilité!S136/2_Utilité!AO136,0)</f>
        <v>0</v>
      </c>
      <c r="T136" s="0" t="n">
        <f aca="false">IF(2_Utilité!AO136&gt;0,2_Utilité!T136/2_Utilité!AO136,0)</f>
        <v>0</v>
      </c>
      <c r="U136" s="0" t="n">
        <f aca="false">IF(2_Utilité!AO136&gt;0,2_Utilité!U136/2_Utilité!AO136,0)</f>
        <v>0.351880326334792</v>
      </c>
      <c r="V136" s="0" t="n">
        <f aca="false">IF(2_Utilité!AO136&gt;0,2_Utilité!V136/2_Utilité!AO136,0)</f>
        <v>0.14294046569664</v>
      </c>
      <c r="W136" s="0" t="n">
        <f aca="false">IF(2_Utilité!AO136&gt;0,2_Utilité!W136/2_Utilité!AO136,0)</f>
        <v>0.0313357983178345</v>
      </c>
      <c r="X136" s="0" t="n">
        <f aca="false">IF(2_Utilité!AO136&gt;0,2_Utilité!X136/2_Utilité!AO136,0)</f>
        <v>0.0483743881942857</v>
      </c>
      <c r="Y136" s="0" t="n">
        <f aca="false">IF(2_Utilité!AO136&gt;0,2_Utilité!Y136/2_Utilité!AO136,0)</f>
        <v>0.0321913023668814</v>
      </c>
      <c r="Z136" s="0" t="n">
        <f aca="false">IF(2_Utilité!AO136&gt;0,2_Utilité!Z136/2_Utilité!AO136,0)</f>
        <v>0.0783906043789356</v>
      </c>
      <c r="AA136" s="0" t="n">
        <f aca="false">IF(2_Utilité!AO136&gt;0,2_Utilité!AA136/2_Utilité!AO136,0)</f>
        <v>0.164335705801775</v>
      </c>
      <c r="AB136" s="0" t="n">
        <f aca="false">IF(2_Utilité!AO136&gt;0,2_Utilité!AB136/2_Utilité!AO136,0)</f>
        <v>0.0825574979147053</v>
      </c>
      <c r="AC136" s="0" t="n">
        <f aca="false">IF(2_Utilité!AO136&gt;0,2_Utilité!AC136/2_Utilité!AO136,0)</f>
        <v>0</v>
      </c>
      <c r="AD136" s="0" t="n">
        <f aca="false">IF(2_Utilité!AO136&gt;0,2_Utilité!AD136/2_Utilité!AO136,0)</f>
        <v>0</v>
      </c>
      <c r="AE136" s="0" t="n">
        <f aca="false">IF(2_Utilité!AO136&gt;0,2_Utilité!AE136/2_Utilité!AO136,0)</f>
        <v>0</v>
      </c>
      <c r="AF136" s="0" t="n">
        <f aca="false">IF(2_Utilité!AO136&gt;0,2_Utilité!AF136/2_Utilité!AO136,0)</f>
        <v>0</v>
      </c>
      <c r="AG136" s="0" t="n">
        <f aca="false">IF(2_Utilité!AO136&gt;0,2_Utilité!AG136/2_Utilité!AO136,0)</f>
        <v>0</v>
      </c>
      <c r="AH136" s="0" t="n">
        <f aca="false">IF(2_Utilité!AO136&gt;0,2_Utilité!AH136/2_Utilité!AO136,0)</f>
        <v>0</v>
      </c>
      <c r="AI136" s="0" t="n">
        <f aca="false">IF(2_Utilité!AO136&gt;0,2_Utilité!AI136/2_Utilité!AO136,0)</f>
        <v>0</v>
      </c>
      <c r="AJ136" s="0" t="n">
        <f aca="false">IF(2_Utilité!AO136&gt;0,2_Utilité!AJ136/2_Utilité!AO136,0)</f>
        <v>0.0679939109941504</v>
      </c>
      <c r="AK136" s="0" t="n">
        <f aca="false">IF(2_Utilité!AO136&gt;0,2_Utilité!AK136/2_Utilité!AO136,0)</f>
        <v>0</v>
      </c>
      <c r="AL136" s="0" t="n">
        <f aca="false">IF(2_Utilité!AO136&gt;0,2_Utilité!AL136/2_Utilité!AO136,0)</f>
        <v>0</v>
      </c>
      <c r="AM136" s="48" t="n">
        <f aca="false">IF(2_Utilité!AO136&gt;0,2_Utilité!AM136/2_Utilité!AO136,0)</f>
        <v>0</v>
      </c>
      <c r="AN136" s="43" t="n">
        <f aca="false">IF(2_Utilité!AO136&gt;0,2_Utilité!AN136/2_Utilité!AO136,0)</f>
        <v>0</v>
      </c>
      <c r="AO136" s="43" t="n">
        <f aca="false">SUM(C136:AN136)</f>
        <v>1</v>
      </c>
      <c r="AP136" s="43" t="n">
        <f aca="false">COUNTIF(Matrice_OD!$C136:$AN136,"&lt;="&amp;Param!$B$2)</f>
        <v>9</v>
      </c>
    </row>
    <row r="138" customFormat="false" ht="15" hidden="false" customHeight="true" outlineLevel="0" collapsed="false">
      <c r="B138" s="50" t="s">
        <v>457</v>
      </c>
      <c r="C138" s="43" t="n">
        <f aca="false">SUMPRODUCT((Matrice_OD!C$2:C$136&lt;=Param!$B$2)*C$2:C$136*Demande!$C$2:$C$136)</f>
        <v>37121.676757343</v>
      </c>
      <c r="D138" s="43" t="n">
        <f aca="false">SUMPRODUCT((Matrice_OD!D$2:D$136&lt;=Param!$B$2)*D$2:D$136*Demande!$C$2:$C$136)</f>
        <v>15787.2774533249</v>
      </c>
      <c r="E138" s="43" t="n">
        <f aca="false">SUMPRODUCT((Matrice_OD!E$2:E$136&lt;=Param!$B$2)*E$2:E$136*Demande!$C$2:$C$136)</f>
        <v>169416.608686063</v>
      </c>
      <c r="F138" s="43" t="n">
        <f aca="false">SUMPRODUCT((Matrice_OD!F$2:F$136&lt;=Param!$B$2)*F$2:F$136*Demande!$C$2:$C$136)</f>
        <v>30761.8710285056</v>
      </c>
      <c r="G138" s="43" t="n">
        <f aca="false">SUMPRODUCT((Matrice_OD!G$2:G$136&lt;=Param!$B$2)*G$2:G$136*Demande!$C$2:$C$136)</f>
        <v>86023.6620957661</v>
      </c>
      <c r="H138" s="43" t="n">
        <f aca="false">SUMPRODUCT((Matrice_OD!H$2:H$136&lt;=Param!$B$2)*H$2:H$136*Demande!$C$2:$C$136)</f>
        <v>20326.9232228846</v>
      </c>
      <c r="I138" s="43" t="n">
        <f aca="false">SUMPRODUCT((Matrice_OD!I$2:I$136&lt;=Param!$B$2)*I$2:I$136*Demande!$C$2:$C$136)</f>
        <v>46078.4440227322</v>
      </c>
      <c r="J138" s="43" t="n">
        <f aca="false">SUMPRODUCT((Matrice_OD!J$2:J$136&lt;=Param!$B$2)*J$2:J$136*Demande!$C$2:$C$136)</f>
        <v>35985.9847704685</v>
      </c>
      <c r="K138" s="43" t="n">
        <f aca="false">SUMPRODUCT((Matrice_OD!K$2:K$136&lt;=Param!$B$2)*K$2:K$136*Demande!$C$2:$C$136)</f>
        <v>22130.8178160768</v>
      </c>
      <c r="L138" s="43" t="n">
        <f aca="false">SUMPRODUCT((Matrice_OD!L$2:L$136&lt;=Param!$B$2)*L$2:L$136*Demande!$C$2:$C$136)</f>
        <v>22912.4233111455</v>
      </c>
      <c r="M138" s="43" t="n">
        <f aca="false">SUMPRODUCT((Matrice_OD!M$2:M$136&lt;=Param!$B$2)*M$2:M$136*Demande!$C$2:$C$136)</f>
        <v>124942.762417947</v>
      </c>
      <c r="N138" s="43" t="n">
        <f aca="false">SUMPRODUCT((Matrice_OD!N$2:N$136&lt;=Param!$B$2)*N$2:N$136*Demande!$C$2:$C$136)</f>
        <v>16441.043512323</v>
      </c>
      <c r="O138" s="43" t="n">
        <f aca="false">SUMPRODUCT((Matrice_OD!O$2:O$136&lt;=Param!$B$2)*O$2:O$136*Demande!$C$2:$C$136)</f>
        <v>52544.2886042142</v>
      </c>
      <c r="P138" s="43" t="n">
        <f aca="false">SUMPRODUCT((Matrice_OD!P$2:P$136&lt;=Param!$B$2)*P$2:P$136*Demande!$C$2:$C$136)</f>
        <v>25654.7399261406</v>
      </c>
      <c r="Q138" s="43" t="n">
        <f aca="false">SUMPRODUCT((Matrice_OD!Q$2:Q$136&lt;=Param!$B$2)*Q$2:Q$136*Demande!$C$2:$C$136)</f>
        <v>225512.616500973</v>
      </c>
      <c r="R138" s="43" t="n">
        <f aca="false">SUMPRODUCT((Matrice_OD!R$2:R$136&lt;=Param!$B$2)*R$2:R$136*Demande!$C$2:$C$136)</f>
        <v>29803.7155296174</v>
      </c>
      <c r="S138" s="43" t="n">
        <f aca="false">SUMPRODUCT((Matrice_OD!S$2:S$136&lt;=Param!$B$2)*S$2:S$136*Demande!$C$2:$C$136)</f>
        <v>22002.7111549761</v>
      </c>
      <c r="T138" s="43" t="n">
        <f aca="false">SUMPRODUCT((Matrice_OD!T$2:T$136&lt;=Param!$B$2)*T$2:T$136*Demande!$C$2:$C$136)</f>
        <v>29147.9551037331</v>
      </c>
      <c r="U138" s="43" t="n">
        <f aca="false">SUMPRODUCT((Matrice_OD!U$2:U$136&lt;=Param!$B$2)*U$2:U$136*Demande!$C$2:$C$136)</f>
        <v>60423.504156481</v>
      </c>
      <c r="V138" s="43" t="n">
        <f aca="false">SUMPRODUCT((Matrice_OD!V$2:V$136&lt;=Param!$B$2)*V$2:V$136*Demande!$C$2:$C$136)</f>
        <v>126258.905038553</v>
      </c>
      <c r="W138" s="43" t="n">
        <f aca="false">SUMPRODUCT((Matrice_OD!W$2:W$136&lt;=Param!$B$2)*W$2:W$136*Demande!$C$2:$C$136)</f>
        <v>24185.2022043035</v>
      </c>
      <c r="X138" s="43" t="n">
        <f aca="false">SUMPRODUCT((Matrice_OD!X$2:X$136&lt;=Param!$B$2)*X$2:X$136*Demande!$C$2:$C$136)</f>
        <v>33786.2676687772</v>
      </c>
      <c r="Y138" s="43" t="n">
        <f aca="false">SUMPRODUCT((Matrice_OD!Y$2:Y$136&lt;=Param!$B$2)*Y$2:Y$136*Demande!$C$2:$C$136)</f>
        <v>22436.3800455929</v>
      </c>
      <c r="Z138" s="43" t="n">
        <f aca="false">SUMPRODUCT((Matrice_OD!Z$2:Z$136&lt;=Param!$B$2)*Z$2:Z$136*Demande!$C$2:$C$136)</f>
        <v>55430.8220385968</v>
      </c>
      <c r="AA138" s="43" t="n">
        <f aca="false">SUMPRODUCT((Matrice_OD!AA$2:AA$136&lt;=Param!$B$2)*AA$2:AA$136*Demande!$C$2:$C$136)</f>
        <v>110693.661454599</v>
      </c>
      <c r="AB138" s="43" t="n">
        <f aca="false">SUMPRODUCT((Matrice_OD!AB$2:AB$136&lt;=Param!$B$2)*AB$2:AB$136*Demande!$C$2:$C$136)</f>
        <v>49894.3732736414</v>
      </c>
      <c r="AC138" s="43" t="n">
        <f aca="false">SUMPRODUCT((Matrice_OD!AC$2:AC$136&lt;=Param!$B$2)*AC$2:AC$136*Demande!$C$2:$C$136)</f>
        <v>12999.7433913305</v>
      </c>
      <c r="AD138" s="43" t="n">
        <f aca="false">SUMPRODUCT((Matrice_OD!AD$2:AD$136&lt;=Param!$B$2)*AD$2:AD$136*Demande!$C$2:$C$136)</f>
        <v>65001.5542836508</v>
      </c>
      <c r="AE138" s="43" t="n">
        <f aca="false">SUMPRODUCT((Matrice_OD!AE$2:AE$136&lt;=Param!$B$2)*AE$2:AE$136*Demande!$C$2:$C$136)</f>
        <v>38680.6492894227</v>
      </c>
      <c r="AF138" s="43" t="n">
        <f aca="false">SUMPRODUCT((Matrice_OD!AF$2:AF$136&lt;=Param!$B$2)*AF$2:AF$136*Demande!$C$2:$C$136)</f>
        <v>25537.8968815896</v>
      </c>
      <c r="AG138" s="43" t="n">
        <f aca="false">SUMPRODUCT((Matrice_OD!AG$2:AG$136&lt;=Param!$B$2)*AG$2:AG$136*Demande!$C$2:$C$136)</f>
        <v>120740.48413945</v>
      </c>
      <c r="AH138" s="43" t="n">
        <f aca="false">SUMPRODUCT((Matrice_OD!AH$2:AH$136&lt;=Param!$B$2)*AH$2:AH$136*Demande!$C$2:$C$136)</f>
        <v>73390.9297692047</v>
      </c>
      <c r="AI138" s="43" t="n">
        <f aca="false">SUMPRODUCT((Matrice_OD!AI$2:AI$136&lt;=Param!$B$2)*AI$2:AI$136*Demande!$C$2:$C$136)</f>
        <v>13181.3511809301</v>
      </c>
      <c r="AJ138" s="43" t="n">
        <f aca="false">SUMPRODUCT((Matrice_OD!AJ$2:AJ$136&lt;=Param!$B$2)*AJ$2:AJ$136*Demande!$C$2:$C$136)</f>
        <v>50214.6449640035</v>
      </c>
      <c r="AK138" s="43" t="n">
        <f aca="false">SUMPRODUCT((Matrice_OD!AK$2:AK$136&lt;=Param!$B$2)*AK$2:AK$136*Demande!$C$2:$C$136)</f>
        <v>84244.3923363053</v>
      </c>
      <c r="AL138" s="43" t="n">
        <f aca="false">SUMPRODUCT((Matrice_OD!AL$2:AL$136&lt;=Param!$B$2)*AL$2:AL$136*Demande!$C$2:$C$136)</f>
        <v>127188.468047189</v>
      </c>
      <c r="AM138" s="0" t="n">
        <f aca="false">SUMPRODUCT((Matrice_OD!AM$2:AM$136&lt;=Param!$B$2)*AM$2:AM$136*Demande!$C$2:$C$136)</f>
        <v>87161.3083195306</v>
      </c>
      <c r="AN138" s="43" t="n">
        <f aca="false">SUMPRODUCT((Matrice_OD!AN$2:AN$136&lt;=Param!$B$2)*AN$2:AN$136*Demande!$C$2:$C$136)</f>
        <v>217342.939602613</v>
      </c>
      <c r="AO138" s="43" t="s">
        <v>98</v>
      </c>
      <c r="AP138" s="43" t="s">
        <v>98</v>
      </c>
    </row>
    <row r="139" customFormat="false" ht="15" hidden="false" customHeight="true" outlineLevel="0" collapsed="false">
      <c r="B139" s="51" t="s">
        <v>458</v>
      </c>
      <c r="C139" s="43" t="n">
        <f aca="false">IF(C138&gt;0,Offre!$F$2/C138,0)</f>
        <v>0.000387913511938858</v>
      </c>
      <c r="D139" s="43" t="n">
        <f aca="false">IF(D138&gt;0,Offre!$F$3/D138,0)</f>
        <v>0.000570079294964473</v>
      </c>
      <c r="E139" s="43" t="n">
        <f aca="false">IF(E138&gt;0,Offre!$F$4/E138,0)</f>
        <v>0.000589670639583628</v>
      </c>
      <c r="F139" s="43" t="n">
        <f aca="false">IF(F138&gt;0,Offre!$F$5/F138,0)</f>
        <v>0.000585139960547922</v>
      </c>
      <c r="G139" s="43" t="n">
        <f aca="false">IF(G138&gt;0,Offre!$F$6/G138,0)</f>
        <v>0.000596347548455797</v>
      </c>
      <c r="H139" s="43" t="n">
        <f aca="false">IF(H138&gt;0,Offre!$F$7/H138,0)</f>
        <v>0.000575591291987949</v>
      </c>
      <c r="I139" s="43" t="n">
        <f aca="false">IF(I138&gt;0,Offre!$F$8/I138,0)</f>
        <v>0.000585957285942206</v>
      </c>
      <c r="J139" s="43" t="n">
        <f aca="false">IF(J138&gt;0,Offre!$F$9/J138,0)</f>
        <v>0.000600233678132544</v>
      </c>
      <c r="K139" s="43" t="n">
        <f aca="false">IF(K138&gt;0,Offre!$F$10/K138,0)</f>
        <v>0.0006100090883308</v>
      </c>
      <c r="L139" s="43" t="n">
        <f aca="false">IF(L138&gt;0,Offre!$F$11/L138,0)</f>
        <v>0.000589200008077411</v>
      </c>
      <c r="M139" s="43" t="n">
        <f aca="false">IF(M138&gt;0,Offre!$F$12/M138,0)</f>
        <v>0.000576263871605083</v>
      </c>
      <c r="N139" s="43" t="n">
        <f aca="false">IF(N138&gt;0,Offre!$F$13/N138,0)</f>
        <v>0.000602151560062455</v>
      </c>
      <c r="O139" s="43" t="n">
        <f aca="false">IF(O138&gt;0,Offre!$F$14/O138,0)</f>
        <v>0.00059949427115231</v>
      </c>
      <c r="P139" s="43" t="n">
        <f aca="false">IF(P138&gt;0,Offre!$F$15/P138,0)</f>
        <v>0.000596381021364799</v>
      </c>
      <c r="Q139" s="43" t="n">
        <f aca="false">IF(Q138&gt;0,Offre!$F$16/Q138,0)</f>
        <v>0.000598636129963122</v>
      </c>
      <c r="R139" s="43" t="n">
        <f aca="false">IF(R138&gt;0,Offre!$F$17/R138,0)</f>
        <v>0.000603951543629267</v>
      </c>
      <c r="S139" s="43" t="n">
        <f aca="false">IF(S138&gt;0,Offre!$F$18/S138,0)</f>
        <v>0.000613560751896107</v>
      </c>
      <c r="T139" s="43" t="n">
        <f aca="false">IF(T138&gt;0,Offre!$F$19/T138,0)</f>
        <v>0.000494031226161581</v>
      </c>
      <c r="U139" s="43" t="n">
        <f aca="false">IF(U138&gt;0,Offre!$F$20/U138,0)</f>
        <v>0.000387266517006365</v>
      </c>
      <c r="V139" s="43" t="n">
        <f aca="false">IF(V138&gt;0,Offre!$F$21/V138,0)</f>
        <v>0.000805487739410901</v>
      </c>
      <c r="W139" s="43" t="n">
        <f aca="false">IF(W138&gt;0,Offre!$F$22/W138,0)</f>
        <v>0.000818682425424452</v>
      </c>
      <c r="X139" s="43" t="n">
        <f aca="false">IF(X138&gt;0,Offre!$F$23/X138,0)</f>
        <v>0.000799141244741616</v>
      </c>
      <c r="Y139" s="43" t="n">
        <f aca="false">IF(Y138&gt;0,Offre!$F$24/Y138,0)</f>
        <v>0.000802268457006978</v>
      </c>
      <c r="Z139" s="43" t="n">
        <f aca="false">IF(Z138&gt;0,Offre!$F$25/Z138,0)</f>
        <v>0.000811822707025097</v>
      </c>
      <c r="AA139" s="43" t="n">
        <f aca="false">IF(AA138&gt;0,Offre!$F$26/AA138,0)</f>
        <v>0.000813054684589263</v>
      </c>
      <c r="AB139" s="43" t="n">
        <f aca="false">IF(AB138&gt;0,Offre!$F$27/AB138,0)</f>
        <v>0.000811714775489437</v>
      </c>
      <c r="AC139" s="43" t="n">
        <f aca="false">IF(AC138&gt;0,Offre!$F$28/AC138,0)</f>
        <v>0.000276928543251156</v>
      </c>
      <c r="AD139" s="43" t="n">
        <f aca="false">IF(AD138&gt;0,Offre!$F$29/AD138,0)</f>
        <v>0.000276916455281245</v>
      </c>
      <c r="AE139" s="43" t="n">
        <f aca="false">IF(AE138&gt;0,Offre!$F$30/AE138,0)</f>
        <v>0.0002792093772571</v>
      </c>
      <c r="AF139" s="43" t="n">
        <f aca="false">IF(AF138&gt;0,Offre!$F$31/AF138,0)</f>
        <v>0.000281933944419304</v>
      </c>
      <c r="AG139" s="43" t="n">
        <f aca="false">IF(AG138&gt;0,Offre!$F$32/AG138,0)</f>
        <v>0.00010766894047721</v>
      </c>
      <c r="AH139" s="43" t="n">
        <f aca="false">IF(AH138&gt;0,Offre!$F$33/AH138,0)</f>
        <v>0.000606341957241049</v>
      </c>
      <c r="AI139" s="43" t="n">
        <f aca="false">IF(AI138&gt;0,Offre!$F$34/AI138,0)</f>
        <v>0.000500707394060514</v>
      </c>
      <c r="AJ139" s="43" t="n">
        <f aca="false">IF(AJ138&gt;0,Offre!$F$35/AJ138,0)</f>
        <v>0.000816494869761421</v>
      </c>
      <c r="AK139" s="43" t="n">
        <f aca="false">IF(AK138&gt;0,Offre!$F$36/AK138,0)</f>
        <v>0.000302690770184483</v>
      </c>
      <c r="AL139" s="43" t="n">
        <f aca="false">IF(AL138&gt;0,Offre!$F$37/AL138,0)</f>
        <v>0.000283044528743309</v>
      </c>
      <c r="AM139" s="0" t="n">
        <f aca="false">IF(AM138&gt;0,Offre!$F$38/AM138,0)</f>
        <v>0.000413027301839311</v>
      </c>
      <c r="AN139" s="43" t="n">
        <f aca="false">IF(AN138&gt;0,Offre!$F$39/AN138,0)</f>
        <v>0.000165636850526739</v>
      </c>
      <c r="AO139" s="43" t="s">
        <v>98</v>
      </c>
      <c r="AP139" s="43" t="s">
        <v>98</v>
      </c>
    </row>
    <row r="141" customFormat="false" ht="19.5" hidden="false" customHeight="true" outlineLevel="0" collapsed="false">
      <c r="A141" s="34" t="s">
        <v>459</v>
      </c>
      <c r="B141" s="34"/>
      <c r="C141" s="34"/>
      <c r="D141" s="34"/>
      <c r="E141" s="34"/>
      <c r="F141" s="34"/>
    </row>
    <row r="142" customFormat="false" ht="30" hidden="false" customHeight="true" outlineLevel="0" collapsed="false">
      <c r="A142" s="35" t="s">
        <v>460</v>
      </c>
      <c r="B142" s="35"/>
      <c r="C142" s="35"/>
      <c r="D142" s="35"/>
      <c r="E142" s="35"/>
      <c r="F142" s="35"/>
    </row>
    <row r="143" customFormat="false" ht="18" hidden="false" customHeight="true" outlineLevel="0" collapsed="false">
      <c r="A143" s="36" t="s">
        <v>461</v>
      </c>
      <c r="B143" s="36"/>
      <c r="C143" s="36"/>
      <c r="D143" s="36"/>
      <c r="E143" s="36"/>
      <c r="F143" s="36"/>
    </row>
    <row r="144" customFormat="false" ht="18" hidden="false" customHeight="true" outlineLevel="0" collapsed="false">
      <c r="A144" s="36" t="s">
        <v>462</v>
      </c>
      <c r="B144" s="36"/>
      <c r="C144" s="36"/>
      <c r="D144" s="36"/>
      <c r="E144" s="36"/>
      <c r="F144" s="36"/>
    </row>
    <row r="145" customFormat="false" ht="18" hidden="false" customHeight="true" outlineLevel="0" collapsed="false">
      <c r="A145" s="36" t="s">
        <v>463</v>
      </c>
      <c r="B145" s="36"/>
      <c r="C145" s="36"/>
      <c r="D145" s="36"/>
      <c r="E145" s="36"/>
      <c r="F145" s="36"/>
    </row>
    <row r="146" customFormat="false" ht="18" hidden="false" customHeight="true" outlineLevel="0" collapsed="false">
      <c r="A146" s="36" t="s">
        <v>464</v>
      </c>
      <c r="B146" s="36"/>
      <c r="C146" s="36"/>
      <c r="D146" s="36"/>
      <c r="E146" s="36"/>
      <c r="F146" s="36"/>
    </row>
    <row r="147" customFormat="false" ht="18" hidden="false" customHeight="true" outlineLevel="0" collapsed="false">
      <c r="A147" s="36" t="s">
        <v>465</v>
      </c>
      <c r="B147" s="36"/>
      <c r="C147" s="36"/>
      <c r="D147" s="36"/>
      <c r="E147" s="36"/>
      <c r="F147" s="36"/>
    </row>
    <row r="148" customFormat="false" ht="18" hidden="false" customHeight="true" outlineLevel="0" collapsed="false">
      <c r="A148" s="36" t="s">
        <v>466</v>
      </c>
      <c r="B148" s="36"/>
      <c r="C148" s="36"/>
      <c r="D148" s="36"/>
      <c r="E148" s="36"/>
      <c r="F148" s="36"/>
    </row>
    <row r="149" customFormat="false" ht="18" hidden="false" customHeight="true" outlineLevel="0" collapsed="false">
      <c r="A149" s="36" t="s">
        <v>467</v>
      </c>
      <c r="B149" s="36"/>
      <c r="C149" s="36"/>
      <c r="D149" s="36"/>
      <c r="E149" s="36"/>
      <c r="F149" s="36"/>
    </row>
    <row r="150" customFormat="false" ht="18" hidden="false" customHeight="true" outlineLevel="0" collapsed="false">
      <c r="A150" s="36"/>
      <c r="B150" s="36"/>
      <c r="C150" s="36"/>
      <c r="D150" s="36"/>
      <c r="E150" s="36"/>
      <c r="F150" s="36"/>
    </row>
    <row r="151" customFormat="false" ht="18" hidden="false" customHeight="true" outlineLevel="0" collapsed="false">
      <c r="A151" s="36" t="s">
        <v>468</v>
      </c>
      <c r="B151" s="36"/>
      <c r="C151" s="36"/>
      <c r="D151" s="36"/>
      <c r="E151" s="36"/>
      <c r="F151" s="36"/>
    </row>
    <row r="152" customFormat="false" ht="18" hidden="false" customHeight="true" outlineLevel="0" collapsed="false">
      <c r="A152" s="36" t="s">
        <v>469</v>
      </c>
      <c r="B152" s="36"/>
      <c r="C152" s="36"/>
      <c r="D152" s="36"/>
      <c r="E152" s="36"/>
      <c r="F152" s="36"/>
    </row>
    <row r="153" customFormat="false" ht="18" hidden="false" customHeight="true" outlineLevel="0" collapsed="false">
      <c r="A153" s="36" t="s">
        <v>470</v>
      </c>
      <c r="B153" s="36"/>
      <c r="C153" s="36"/>
      <c r="D153" s="36"/>
      <c r="E153" s="36"/>
      <c r="F153" s="36"/>
    </row>
    <row r="154" customFormat="false" ht="18" hidden="false" customHeight="true" outlineLevel="0" collapsed="false">
      <c r="A154" s="36"/>
      <c r="B154" s="36"/>
      <c r="C154" s="36"/>
      <c r="D154" s="36"/>
      <c r="E154" s="36"/>
      <c r="F154" s="36"/>
    </row>
    <row r="155" customFormat="false" ht="18" hidden="false" customHeight="true" outlineLevel="0" collapsed="false">
      <c r="A155" s="36" t="s">
        <v>471</v>
      </c>
      <c r="B155" s="36"/>
      <c r="C155" s="36"/>
      <c r="D155" s="36"/>
      <c r="E155" s="36"/>
      <c r="F155" s="36"/>
    </row>
    <row r="156" customFormat="false" ht="18" hidden="false" customHeight="true" outlineLevel="0" collapsed="false">
      <c r="A156" s="36" t="s">
        <v>472</v>
      </c>
      <c r="B156" s="36"/>
      <c r="C156" s="36"/>
      <c r="D156" s="36"/>
      <c r="E156" s="36"/>
      <c r="F156" s="36"/>
    </row>
    <row r="157" customFormat="false" ht="18" hidden="false" customHeight="true" outlineLevel="0" collapsed="false">
      <c r="A157" s="36" t="s">
        <v>473</v>
      </c>
      <c r="B157" s="36"/>
      <c r="C157" s="36"/>
      <c r="D157" s="36"/>
      <c r="E157" s="36"/>
      <c r="F157" s="36"/>
    </row>
    <row r="158" customFormat="false" ht="18" hidden="false" customHeight="true" outlineLevel="0" collapsed="false">
      <c r="A158" s="36" t="s">
        <v>474</v>
      </c>
      <c r="B158" s="36"/>
      <c r="C158" s="36"/>
      <c r="D158" s="36"/>
      <c r="E158" s="36"/>
      <c r="F158" s="36"/>
    </row>
    <row r="159" customFormat="false" ht="18" hidden="false" customHeight="true" outlineLevel="0" collapsed="false">
      <c r="A159" s="36" t="s">
        <v>475</v>
      </c>
      <c r="B159" s="36"/>
      <c r="C159" s="36"/>
      <c r="D159" s="36"/>
      <c r="E159" s="36"/>
      <c r="F159" s="36"/>
    </row>
  </sheetData>
  <mergeCells count="19">
    <mergeCell ref="A141:F141"/>
    <mergeCell ref="A142:F142"/>
    <mergeCell ref="A143:F143"/>
    <mergeCell ref="A144:F144"/>
    <mergeCell ref="A145:F145"/>
    <mergeCell ref="A146:F146"/>
    <mergeCell ref="A147:F147"/>
    <mergeCell ref="A148:F148"/>
    <mergeCell ref="A149:F149"/>
    <mergeCell ref="A150:F150"/>
    <mergeCell ref="A151:F151"/>
    <mergeCell ref="A152:F152"/>
    <mergeCell ref="A153:F153"/>
    <mergeCell ref="A154:F154"/>
    <mergeCell ref="A155:F155"/>
    <mergeCell ref="A156:F156"/>
    <mergeCell ref="A157:F157"/>
    <mergeCell ref="A158:F158"/>
    <mergeCell ref="A159:F1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1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39" min="39" style="0" width="14"/>
    <col collapsed="false" customWidth="true" hidden="false" outlineLevel="0" max="40" min="40" style="0" width="12"/>
    <col collapsed="false" customWidth="true" hidden="false" outlineLevel="0" max="41" min="41" style="0" width="8"/>
    <col collapsed="false" customWidth="true" hidden="false" outlineLevel="0" max="42" min="42" style="0" width="16"/>
  </cols>
  <sheetData>
    <row r="1" customFormat="false" ht="79.5" hidden="false" customHeight="true" outlineLevel="0" collapsed="false">
      <c r="A1" s="31" t="s">
        <v>99</v>
      </c>
      <c r="B1" s="31" t="s">
        <v>100</v>
      </c>
      <c r="C1" s="31" t="s">
        <v>101</v>
      </c>
      <c r="D1" s="31" t="s">
        <v>378</v>
      </c>
      <c r="E1" s="31" t="s">
        <v>380</v>
      </c>
      <c r="F1" s="31" t="s">
        <v>381</v>
      </c>
      <c r="G1" s="31" t="s">
        <v>382</v>
      </c>
      <c r="H1" s="31" t="s">
        <v>383</v>
      </c>
      <c r="I1" s="31" t="s">
        <v>384</v>
      </c>
      <c r="J1" s="31" t="s">
        <v>385</v>
      </c>
      <c r="K1" s="31" t="s">
        <v>386</v>
      </c>
      <c r="L1" s="31" t="s">
        <v>387</v>
      </c>
      <c r="M1" s="31" t="s">
        <v>388</v>
      </c>
      <c r="N1" s="31" t="s">
        <v>389</v>
      </c>
      <c r="O1" s="31" t="s">
        <v>390</v>
      </c>
      <c r="P1" s="31" t="s">
        <v>391</v>
      </c>
      <c r="Q1" s="31" t="s">
        <v>392</v>
      </c>
      <c r="R1" s="31" t="s">
        <v>393</v>
      </c>
      <c r="S1" s="31" t="s">
        <v>394</v>
      </c>
      <c r="T1" s="31" t="s">
        <v>395</v>
      </c>
      <c r="U1" s="31" t="s">
        <v>396</v>
      </c>
      <c r="V1" s="31" t="s">
        <v>397</v>
      </c>
      <c r="W1" s="31" t="s">
        <v>398</v>
      </c>
      <c r="X1" s="31" t="s">
        <v>399</v>
      </c>
      <c r="Y1" s="31" t="s">
        <v>400</v>
      </c>
      <c r="Z1" s="31" t="s">
        <v>401</v>
      </c>
      <c r="AA1" s="31" t="s">
        <v>402</v>
      </c>
      <c r="AB1" s="31" t="s">
        <v>403</v>
      </c>
      <c r="AC1" s="31" t="s">
        <v>404</v>
      </c>
      <c r="AD1" s="31" t="s">
        <v>405</v>
      </c>
      <c r="AE1" s="31" t="s">
        <v>406</v>
      </c>
      <c r="AF1" s="31" t="s">
        <v>407</v>
      </c>
      <c r="AG1" s="31" t="s">
        <v>408</v>
      </c>
      <c r="AH1" s="31" t="s">
        <v>409</v>
      </c>
      <c r="AI1" s="31" t="s">
        <v>411</v>
      </c>
      <c r="AJ1" s="31" t="s">
        <v>412</v>
      </c>
      <c r="AK1" s="31" t="s">
        <v>413</v>
      </c>
      <c r="AL1" s="31" t="s">
        <v>414</v>
      </c>
      <c r="AM1" s="31" t="s">
        <v>415</v>
      </c>
      <c r="AN1" s="31" t="s">
        <v>416</v>
      </c>
      <c r="AO1" s="31" t="s">
        <v>417</v>
      </c>
      <c r="AP1" s="46" t="s">
        <v>476</v>
      </c>
      <c r="AQ1" s="43" t="s">
        <v>477</v>
      </c>
      <c r="AR1" s="43" t="s">
        <v>478</v>
      </c>
      <c r="AS1" s="47" t="s">
        <v>456</v>
      </c>
    </row>
    <row r="2" customFormat="false" ht="15" hidden="false" customHeight="true" outlineLevel="0" collapsed="false">
      <c r="A2" s="0" t="s">
        <v>102</v>
      </c>
      <c r="B2" s="0" t="s">
        <v>103</v>
      </c>
      <c r="C2" s="0" t="n">
        <f aca="false">Demande!C2</f>
        <v>209594</v>
      </c>
      <c r="D2" s="43" t="n">
        <f aca="false">IF(Matrice_OD!C2&lt;=Param!$B$2,3_Huff!C2*3_Huff!C$139*1_Friction!C2,0)</f>
        <v>1.96184346996394E-006</v>
      </c>
      <c r="E2" s="43" t="n">
        <f aca="false">IF(Matrice_OD!D2&lt;=Param!$B$2,3_Huff!D2*3_Huff!D$139*1_Friction!D2,0)</f>
        <v>7.61787890023915E-006</v>
      </c>
      <c r="F2" s="43" t="n">
        <f aca="false">IF(Matrice_OD!E2&lt;=Param!$B$2,3_Huff!E2*3_Huff!E$139*1_Friction!E2,0)</f>
        <v>8.77506797830798E-005</v>
      </c>
      <c r="G2" s="43" t="n">
        <f aca="false">IF(Matrice_OD!F2&lt;=Param!$B$2,3_Huff!F2*3_Huff!F$139*1_Friction!F2,0)</f>
        <v>1.58668231968159E-005</v>
      </c>
      <c r="H2" s="43" t="n">
        <f aca="false">IF(Matrice_OD!G2&lt;=Param!$B$2,3_Huff!G2*3_Huff!G$139*1_Friction!G2,0)</f>
        <v>4.62612682705833E-005</v>
      </c>
      <c r="I2" s="43" t="n">
        <f aca="false">IF(Matrice_OD!H2&lt;=Param!$B$2,3_Huff!H2*3_Huff!H$139*1_Friction!H2,0)</f>
        <v>1.0148475516301E-005</v>
      </c>
      <c r="J2" s="43" t="n">
        <f aca="false">IF(Matrice_OD!I2&lt;=Param!$B$2,3_Huff!I2*3_Huff!I$139*1_Friction!I2,0)</f>
        <v>2.40373180607227E-005</v>
      </c>
      <c r="K2" s="43" t="n">
        <f aca="false">IF(Matrice_OD!J2&lt;=Param!$B$2,3_Huff!J2*3_Huff!J$139*1_Friction!J2,0)</f>
        <v>1.96109438582038E-005</v>
      </c>
      <c r="L2" s="43" t="n">
        <f aca="false">IF(Matrice_OD!K2&lt;=Param!$B$2,3_Huff!K2*3_Huff!K$139*1_Friction!K2,0)</f>
        <v>1.25580544313712E-005</v>
      </c>
      <c r="M2" s="43" t="n">
        <f aca="false">IF(Matrice_OD!L2&lt;=Param!$B$2,3_Huff!L2*3_Huff!L$139*1_Friction!L2,0)</f>
        <v>1.21218125876447E-005</v>
      </c>
      <c r="N2" s="43" t="n">
        <f aca="false">IF(Matrice_OD!M2&lt;=Param!$B$2,3_Huff!M2*3_Huff!M$139*1_Friction!M2,0)</f>
        <v>6.22865923105624E-005</v>
      </c>
      <c r="O2" s="43" t="n">
        <f aca="false">IF(Matrice_OD!N2&lt;=Param!$B$2,3_Huff!N2*3_Huff!N$139*1_Friction!N2,0)</f>
        <v>8.95078854949853E-006</v>
      </c>
      <c r="P2" s="43" t="n">
        <f aca="false">IF(Matrice_OD!O2&lt;=Param!$B$2,3_Huff!O2*3_Huff!O$139*1_Friction!O2,0)</f>
        <v>2.87749151091624E-005</v>
      </c>
      <c r="Q2" s="43" t="n">
        <f aca="false">IF(Matrice_OD!P2&lt;=Param!$B$2,3_Huff!P2*3_Huff!P$139*1_Friction!P2,0)</f>
        <v>1.38708677550263E-005</v>
      </c>
      <c r="R2" s="43" t="n">
        <f aca="false">IF(Matrice_OD!Q2&lt;=Param!$B$2,3_Huff!Q2*3_Huff!Q$139*1_Friction!Q2,0)</f>
        <v>0.000122981656448353</v>
      </c>
      <c r="S2" s="43" t="n">
        <f aca="false">IF(Matrice_OD!R2&lt;=Param!$B$2,3_Huff!R2*3_Huff!R$139*1_Friction!R2,0)</f>
        <v>1.64991925285714E-005</v>
      </c>
      <c r="T2" s="43" t="n">
        <f aca="false">IF(Matrice_OD!S2&lt;=Param!$B$2,3_Huff!S2*3_Huff!S$139*1_Friction!S2,0)</f>
        <v>1.2577111485441E-005</v>
      </c>
      <c r="U2" s="43" t="n">
        <f aca="false">IF(Matrice_OD!T2&lt;=Param!$B$2,3_Huff!T2*3_Huff!T$139*1_Friction!T2,0)</f>
        <v>1.71474599314829E-006</v>
      </c>
      <c r="V2" s="43" t="n">
        <f aca="false">IF(Matrice_OD!U2&lt;=Param!$B$2,3_Huff!U2*3_Huff!U$139*1_Friction!U2,0)</f>
        <v>6.42625852367976E-007</v>
      </c>
      <c r="W2" s="43" t="n">
        <f aca="false">IF(Matrice_OD!V2&lt;=Param!$B$2,3_Huff!V2*3_Huff!V$139*1_Friction!V2,0)</f>
        <v>2.32187555782185E-007</v>
      </c>
      <c r="X2" s="43" t="n">
        <f aca="false">IF(Matrice_OD!W2&lt;=Param!$B$2,3_Huff!W2*3_Huff!W$139*1_Friction!W2,0)</f>
        <v>3.44095481446389E-008</v>
      </c>
      <c r="Y2" s="43" t="n">
        <f aca="false">IF(Matrice_OD!X2&lt;=Param!$B$2,3_Huff!X2*3_Huff!X$139*1_Friction!X2,0)</f>
        <v>5.78296034625723E-008</v>
      </c>
      <c r="Z2" s="43" t="n">
        <f aca="false">IF(Matrice_OD!Y2&lt;=Param!$B$2,3_Huff!Y2*3_Huff!Y$139*1_Friction!Y2,0)</f>
        <v>3.85726233203672E-008</v>
      </c>
      <c r="AA2" s="43" t="n">
        <f aca="false">IF(Matrice_OD!Z2&lt;=Param!$B$2,3_Huff!Z2*3_Huff!Z$139*1_Friction!Z2,0)</f>
        <v>9.28784551452846E-008</v>
      </c>
      <c r="AB2" s="43" t="n">
        <f aca="false">IF(Matrice_OD!AA2&lt;=Param!$B$2,3_Huff!AA2*3_Huff!AA$139*1_Friction!AA2,0)</f>
        <v>2.03235139508185E-007</v>
      </c>
      <c r="AC2" s="43" t="n">
        <f aca="false">IF(Matrice_OD!AB2&lt;=Param!$B$2,3_Huff!AB2*3_Huff!AB$139*1_Friction!AB2,0)</f>
        <v>1.12266866538222E-007</v>
      </c>
      <c r="AD2" s="43" t="n">
        <f aca="false">IF(Matrice_OD!AC2&lt;=Param!$B$2,3_Huff!AC2*3_Huff!AC$139*1_Friction!AC2,0)</f>
        <v>0</v>
      </c>
      <c r="AE2" s="43" t="n">
        <f aca="false">IF(Matrice_OD!AD2&lt;=Param!$B$2,3_Huff!AD2*3_Huff!AD$139*1_Friction!AD2,0)</f>
        <v>0</v>
      </c>
      <c r="AF2" s="43" t="n">
        <f aca="false">IF(Matrice_OD!AE2&lt;=Param!$B$2,3_Huff!AE2*3_Huff!AE$139*1_Friction!AE2,0)</f>
        <v>0</v>
      </c>
      <c r="AG2" s="43" t="n">
        <f aca="false">IF(Matrice_OD!AF2&lt;=Param!$B$2,3_Huff!AF2*3_Huff!AF$139*1_Friction!AF2,0)</f>
        <v>0</v>
      </c>
      <c r="AH2" s="43" t="n">
        <f aca="false">IF(Matrice_OD!AG2&lt;=Param!$B$2,3_Huff!AG2*3_Huff!AG$139*1_Friction!AG2,0)</f>
        <v>0</v>
      </c>
      <c r="AI2" s="43" t="n">
        <f aca="false">IF(Matrice_OD!AH2&lt;=Param!$B$2,3_Huff!AH2*3_Huff!AH$139*1_Friction!AH2,0)</f>
        <v>4.07629469533423E-005</v>
      </c>
      <c r="AJ2" s="43" t="n">
        <f aca="false">IF(Matrice_OD!AI2&lt;=Param!$B$2,3_Huff!AI2*3_Huff!AI$139*1_Friction!AI2,0)</f>
        <v>7.31417776707302E-007</v>
      </c>
      <c r="AK2" s="43" t="n">
        <f aca="false">IF(Matrice_OD!AJ2&lt;=Param!$B$2,3_Huff!AJ2*3_Huff!AJ$139*1_Friction!AJ2,0)</f>
        <v>7.7593246864928E-008</v>
      </c>
      <c r="AL2" s="43" t="n">
        <f aca="false">IF(Matrice_OD!AK2&lt;=Param!$B$2,3_Huff!AK2*3_Huff!AK$139*1_Friction!AK2,0)</f>
        <v>0</v>
      </c>
      <c r="AM2" s="0" t="n">
        <f aca="false">IF(Matrice_OD!AL2&lt;=Param!$B$2,3_Huff!AL2*3_Huff!AL$139*1_Friction!AL2,0)</f>
        <v>0</v>
      </c>
      <c r="AN2" s="0" t="n">
        <f aca="false">IF(Matrice_OD!AM2&lt;=Param!$B$2,3_Huff!AM2*3_Huff!AM$139*1_Friction!AM2,0)</f>
        <v>4.55647410207971E-006</v>
      </c>
      <c r="AO2" s="0" t="n">
        <f aca="false">IF(Matrice_OD!AN2&lt;=Param!$B$2,3_Huff!AN2*3_Huff!AN$139*1_Friction!AN2,0)</f>
        <v>0</v>
      </c>
      <c r="AP2" s="48" t="n">
        <f aca="false">SUM(D2:AO2)</f>
        <v>0.000553133405977952</v>
      </c>
      <c r="AQ2" s="43" t="n">
        <f aca="false">AP2*1000</f>
        <v>0.553133405977952</v>
      </c>
      <c r="AR2" s="43" t="n">
        <f aca="false">RANK(AP2,AP$2:AP$136,0)</f>
        <v>8</v>
      </c>
      <c r="AS2" s="43" t="n">
        <f aca="false">COUNTIF(Matrice_OD!$C2:$AN2,"&lt;="&amp;Param!$B$2)</f>
        <v>30</v>
      </c>
    </row>
    <row r="3" customFormat="false" ht="15" hidden="false" customHeight="true" outlineLevel="0" collapsed="false">
      <c r="A3" s="0" t="s">
        <v>104</v>
      </c>
      <c r="B3" s="0" t="s">
        <v>105</v>
      </c>
      <c r="C3" s="0" t="n">
        <f aca="false">Demande!C3</f>
        <v>48172</v>
      </c>
      <c r="D3" s="43" t="n">
        <f aca="false">IF(Matrice_OD!C3&lt;=Param!$B$2,3_Huff!C3*3_Huff!C$139*1_Friction!C3,0)</f>
        <v>6.44653673383836E-008</v>
      </c>
      <c r="E3" s="43" t="n">
        <f aca="false">IF(Matrice_OD!D3&lt;=Param!$B$2,3_Huff!D3*3_Huff!D$139*1_Friction!D3,0)</f>
        <v>2.65719745158852E-006</v>
      </c>
      <c r="F3" s="43" t="n">
        <f aca="false">IF(Matrice_OD!E3&lt;=Param!$B$2,3_Huff!E3*3_Huff!E$139*1_Friction!E3,0)</f>
        <v>3.13231149051065E-005</v>
      </c>
      <c r="G3" s="43" t="n">
        <f aca="false">IF(Matrice_OD!F3&lt;=Param!$B$2,3_Huff!F3*3_Huff!F$139*1_Friction!F3,0)</f>
        <v>5.73855058586691E-006</v>
      </c>
      <c r="H3" s="43" t="n">
        <f aca="false">IF(Matrice_OD!G3&lt;=Param!$B$2,3_Huff!G3*3_Huff!G$139*1_Friction!G3,0)</f>
        <v>1.62522509616506E-005</v>
      </c>
      <c r="I3" s="43" t="n">
        <f aca="false">IF(Matrice_OD!H3&lt;=Param!$B$2,3_Huff!H3*3_Huff!H$139*1_Friction!H3,0)</f>
        <v>4.36472307426404E-006</v>
      </c>
      <c r="J3" s="43" t="n">
        <f aca="false">IF(Matrice_OD!I3&lt;=Param!$B$2,3_Huff!I3*3_Huff!I$139*1_Friction!I3,0)</f>
        <v>1.00796935454521E-005</v>
      </c>
      <c r="K3" s="43" t="n">
        <f aca="false">IF(Matrice_OD!J3&lt;=Param!$B$2,3_Huff!J3*3_Huff!J$139*1_Friction!J3,0)</f>
        <v>7.76719413944927E-006</v>
      </c>
      <c r="L3" s="43" t="n">
        <f aca="false">IF(Matrice_OD!K3&lt;=Param!$B$2,3_Huff!K3*3_Huff!K$139*1_Friction!K3,0)</f>
        <v>4.6296448799119E-006</v>
      </c>
      <c r="M3" s="43" t="n">
        <f aca="false">IF(Matrice_OD!L3&lt;=Param!$B$2,3_Huff!L3*3_Huff!L$139*1_Friction!L3,0)</f>
        <v>5.07644630748328E-006</v>
      </c>
      <c r="N3" s="43" t="n">
        <f aca="false">IF(Matrice_OD!M3&lt;=Param!$B$2,3_Huff!M3*3_Huff!M$139*1_Friction!M3,0)</f>
        <v>2.93289010880873E-005</v>
      </c>
      <c r="O3" s="43" t="n">
        <f aca="false">IF(Matrice_OD!N3&lt;=Param!$B$2,3_Huff!N3*3_Huff!N$139*1_Friction!N3,0)</f>
        <v>3.6247323955132E-006</v>
      </c>
      <c r="P3" s="43" t="n">
        <f aca="false">IF(Matrice_OD!O3&lt;=Param!$B$2,3_Huff!O3*3_Huff!O$139*1_Friction!O3,0)</f>
        <v>1.16532449547149E-005</v>
      </c>
      <c r="Q3" s="43" t="n">
        <f aca="false">IF(Matrice_OD!P3&lt;=Param!$B$2,3_Huff!P3*3_Huff!P$139*1_Friction!P3,0)</f>
        <v>5.81343539823908E-006</v>
      </c>
      <c r="R3" s="43" t="n">
        <f aca="false">IF(Matrice_OD!Q3&lt;=Param!$B$2,3_Huff!Q3*3_Huff!Q$139*1_Friction!Q3,0)</f>
        <v>5.19324417945378E-005</v>
      </c>
      <c r="S3" s="43" t="n">
        <f aca="false">IF(Matrice_OD!R3&lt;=Param!$B$2,3_Huff!R3*3_Huff!R$139*1_Friction!R3,0)</f>
        <v>6.86685513020978E-006</v>
      </c>
      <c r="T3" s="43" t="n">
        <f aca="false">IF(Matrice_OD!S3&lt;=Param!$B$2,3_Huff!S3*3_Huff!S$139*1_Friction!S3,0)</f>
        <v>4.97096943842393E-006</v>
      </c>
      <c r="U3" s="43" t="n">
        <f aca="false">IF(Matrice_OD!T3&lt;=Param!$B$2,3_Huff!T3*3_Huff!T$139*1_Friction!T3,0)</f>
        <v>2.609286438094E-006</v>
      </c>
      <c r="V3" s="43" t="n">
        <f aca="false">IF(Matrice_OD!U3&lt;=Param!$B$2,3_Huff!U3*3_Huff!U$139*1_Friction!U3,0)</f>
        <v>3.23869778912698E-006</v>
      </c>
      <c r="W3" s="43" t="n">
        <f aca="false">IF(Matrice_OD!V3&lt;=Param!$B$2,3_Huff!V3*3_Huff!V$139*1_Friction!V3,0)</f>
        <v>1.03366618102801E-006</v>
      </c>
      <c r="X3" s="43" t="n">
        <f aca="false">IF(Matrice_OD!W3&lt;=Param!$B$2,3_Huff!W3*3_Huff!W$139*1_Friction!W3,0)</f>
        <v>2.6870325657011E-007</v>
      </c>
      <c r="Y3" s="43" t="n">
        <f aca="false">IF(Matrice_OD!X3&lt;=Param!$B$2,3_Huff!X3*3_Huff!X$139*1_Friction!X3,0)</f>
        <v>4.40566963347035E-007</v>
      </c>
      <c r="Z3" s="43" t="n">
        <f aca="false">IF(Matrice_OD!Y3&lt;=Param!$B$2,3_Huff!Y3*3_Huff!Y$139*1_Friction!Y3,0)</f>
        <v>2.94413572969087E-007</v>
      </c>
      <c r="AA3" s="43" t="n">
        <f aca="false">IF(Matrice_OD!Z3&lt;=Param!$B$2,3_Huff!Z3*3_Huff!Z$139*1_Friction!Z3,0)</f>
        <v>7.12664281769747E-007</v>
      </c>
      <c r="AB3" s="43" t="n">
        <f aca="false">IF(Matrice_OD!AA3&lt;=Param!$B$2,3_Huff!AA3*3_Huff!AA$139*1_Friction!AA3,0)</f>
        <v>1.5424224157839E-006</v>
      </c>
      <c r="AC3" s="43" t="n">
        <f aca="false">IF(Matrice_OD!AB3&lt;=Param!$B$2,3_Huff!AB3*3_Huff!AB$139*1_Friction!AB3,0)</f>
        <v>8.33200955114265E-007</v>
      </c>
      <c r="AD3" s="43" t="n">
        <f aca="false">IF(Matrice_OD!AC3&lt;=Param!$B$2,3_Huff!AC3*3_Huff!AC$139*1_Friction!AC3,0)</f>
        <v>0</v>
      </c>
      <c r="AE3" s="43" t="n">
        <f aca="false">IF(Matrice_OD!AD3&lt;=Param!$B$2,3_Huff!AD3*3_Huff!AD$139*1_Friction!AD3,0)</f>
        <v>0</v>
      </c>
      <c r="AF3" s="43" t="n">
        <f aca="false">IF(Matrice_OD!AE3&lt;=Param!$B$2,3_Huff!AE3*3_Huff!AE$139*1_Friction!AE3,0)</f>
        <v>0</v>
      </c>
      <c r="AG3" s="43" t="n">
        <f aca="false">IF(Matrice_OD!AF3&lt;=Param!$B$2,3_Huff!AF3*3_Huff!AF$139*1_Friction!AF3,0)</f>
        <v>0</v>
      </c>
      <c r="AH3" s="43" t="n">
        <f aca="false">IF(Matrice_OD!AG3&lt;=Param!$B$2,3_Huff!AG3*3_Huff!AG$139*1_Friction!AG3,0)</f>
        <v>0</v>
      </c>
      <c r="AI3" s="43" t="n">
        <f aca="false">IF(Matrice_OD!AH3&lt;=Param!$B$2,3_Huff!AH3*3_Huff!AH$139*1_Friction!AH3,0)</f>
        <v>1.84772868352443E-005</v>
      </c>
      <c r="AJ3" s="43" t="n">
        <f aca="false">IF(Matrice_OD!AI3&lt;=Param!$B$2,3_Huff!AI3*3_Huff!AI$139*1_Friction!AI3,0)</f>
        <v>1.10506799888378E-006</v>
      </c>
      <c r="AK3" s="43" t="n">
        <f aca="false">IF(Matrice_OD!AJ3&lt;=Param!$B$2,3_Huff!AJ3*3_Huff!AJ$139*1_Friction!AJ3,0)</f>
        <v>6.01257631192183E-007</v>
      </c>
      <c r="AL3" s="43" t="n">
        <f aca="false">IF(Matrice_OD!AK3&lt;=Param!$B$2,3_Huff!AK3*3_Huff!AK$139*1_Friction!AK3,0)</f>
        <v>0</v>
      </c>
      <c r="AM3" s="0" t="n">
        <f aca="false">IF(Matrice_OD!AL3&lt;=Param!$B$2,3_Huff!AL3*3_Huff!AL$139*1_Friction!AL3,0)</f>
        <v>0</v>
      </c>
      <c r="AN3" s="0" t="n">
        <f aca="false">IF(Matrice_OD!AM3&lt;=Param!$B$2,3_Huff!AM3*3_Huff!AM$139*1_Friction!AM3,0)</f>
        <v>1.4795925153776E-007</v>
      </c>
      <c r="AO3" s="0" t="n">
        <f aca="false">IF(Matrice_OD!AN3&lt;=Param!$B$2,3_Huff!AN3*3_Huff!AN$139*1_Friction!AN3,0)</f>
        <v>0</v>
      </c>
      <c r="AP3" s="49" t="n">
        <f aca="false">SUM(D3:AO3)</f>
        <v>0.000233449054988499</v>
      </c>
      <c r="AQ3" s="43" t="n">
        <f aca="false">AP3*1000</f>
        <v>0.233449054988499</v>
      </c>
      <c r="AR3" s="43" t="n">
        <f aca="false">RANK(AP3,AP$2:AP$136,0)</f>
        <v>39</v>
      </c>
      <c r="AS3" s="43" t="n">
        <f aca="false">COUNTIF(Matrice_OD!$C3:$AN3,"&lt;="&amp;Param!$B$2)</f>
        <v>30</v>
      </c>
    </row>
    <row r="4" customFormat="false" ht="15" hidden="false" customHeight="true" outlineLevel="0" collapsed="false">
      <c r="A4" s="0" t="s">
        <v>106</v>
      </c>
      <c r="B4" s="0" t="s">
        <v>107</v>
      </c>
      <c r="C4" s="0" t="n">
        <f aca="false">Demande!C4</f>
        <v>25088</v>
      </c>
      <c r="D4" s="43" t="n">
        <f aca="false">IF(Matrice_OD!C4&lt;=Param!$B$2,3_Huff!C4*3_Huff!C$139*1_Friction!C4,0)</f>
        <v>0</v>
      </c>
      <c r="E4" s="43" t="n">
        <f aca="false">IF(Matrice_OD!D4&lt;=Param!$B$2,3_Huff!D4*3_Huff!D$139*1_Friction!D4,0)</f>
        <v>5.91137550666554E-007</v>
      </c>
      <c r="F4" s="43" t="n">
        <f aca="false">IF(Matrice_OD!E4&lt;=Param!$B$2,3_Huff!E4*3_Huff!E$139*1_Friction!E4,0)</f>
        <v>7.06902698446554E-006</v>
      </c>
      <c r="G4" s="43" t="n">
        <f aca="false">IF(Matrice_OD!F4&lt;=Param!$B$2,3_Huff!F4*3_Huff!F$139*1_Friction!F4,0)</f>
        <v>1.31617414314963E-006</v>
      </c>
      <c r="H4" s="43" t="n">
        <f aca="false">IF(Matrice_OD!G4&lt;=Param!$B$2,3_Huff!G4*3_Huff!G$139*1_Friction!G4,0)</f>
        <v>3.66582369277767E-006</v>
      </c>
      <c r="I4" s="43" t="n">
        <f aca="false">IF(Matrice_OD!H4&lt;=Param!$B$2,3_Huff!H4*3_Huff!H$139*1_Friction!H4,0)</f>
        <v>1.1135143925463E-006</v>
      </c>
      <c r="J4" s="43" t="n">
        <f aca="false">IF(Matrice_OD!I4&lt;=Param!$B$2,3_Huff!I4*3_Huff!I$139*1_Friction!I4,0)</f>
        <v>2.54362818837029E-006</v>
      </c>
      <c r="K4" s="43" t="n">
        <f aca="false">IF(Matrice_OD!J4&lt;=Param!$B$2,3_Huff!J4*3_Huff!J$139*1_Friction!J4,0)</f>
        <v>1.88568384728402E-006</v>
      </c>
      <c r="L4" s="43" t="n">
        <f aca="false">IF(Matrice_OD!K4&lt;=Param!$B$2,3_Huff!K4*3_Huff!K$139*1_Friction!K4,0)</f>
        <v>1.08072246127902E-006</v>
      </c>
      <c r="M4" s="43" t="n">
        <f aca="false">IF(Matrice_OD!L4&lt;=Param!$B$2,3_Huff!L4*3_Huff!L$139*1_Friction!L4,0)</f>
        <v>1.28244686970589E-006</v>
      </c>
      <c r="N4" s="43" t="n">
        <f aca="false">IF(Matrice_OD!M4&lt;=Param!$B$2,3_Huff!M4*3_Huff!M$139*1_Friction!M4,0)</f>
        <v>7.91423705684368E-006</v>
      </c>
      <c r="O4" s="43" t="n">
        <f aca="false">IF(Matrice_OD!N4&lt;=Param!$B$2,3_Huff!N4*3_Huff!N$139*1_Friction!N4,0)</f>
        <v>8.894436677681E-007</v>
      </c>
      <c r="P4" s="43" t="n">
        <f aca="false">IF(Matrice_OD!O4&lt;=Param!$B$2,3_Huff!O4*3_Huff!O$139*1_Friction!O4,0)</f>
        <v>2.88202287303502E-006</v>
      </c>
      <c r="Q4" s="43" t="n">
        <f aca="false">IF(Matrice_OD!P4&lt;=Param!$B$2,3_Huff!P4*3_Huff!P$139*1_Friction!P4,0)</f>
        <v>1.4670305286119E-006</v>
      </c>
      <c r="R4" s="43" t="n">
        <f aca="false">IF(Matrice_OD!Q4&lt;=Param!$B$2,3_Huff!Q4*3_Huff!Q$139*1_Friction!Q4,0)</f>
        <v>1.31768457957649E-005</v>
      </c>
      <c r="S4" s="43" t="n">
        <f aca="false">IF(Matrice_OD!R4&lt;=Param!$B$2,3_Huff!R4*3_Huff!R$139*1_Friction!R4,0)</f>
        <v>1.72587081496256E-006</v>
      </c>
      <c r="T4" s="43" t="n">
        <f aca="false">IF(Matrice_OD!S4&lt;=Param!$B$2,3_Huff!S4*3_Huff!S$139*1_Friction!S4,0)</f>
        <v>1.20986090484729E-006</v>
      </c>
      <c r="U4" s="43" t="n">
        <f aca="false">IF(Matrice_OD!T4&lt;=Param!$B$2,3_Huff!T4*3_Huff!T$139*1_Friction!T4,0)</f>
        <v>2.45160962121455E-007</v>
      </c>
      <c r="V4" s="43" t="n">
        <f aca="false">IF(Matrice_OD!U4&lt;=Param!$B$2,3_Huff!U4*3_Huff!U$139*1_Friction!U4,0)</f>
        <v>2.99277392108907E-007</v>
      </c>
      <c r="W4" s="43" t="n">
        <f aca="false">IF(Matrice_OD!V4&lt;=Param!$B$2,3_Huff!V4*3_Huff!V$139*1_Friction!V4,0)</f>
        <v>0</v>
      </c>
      <c r="X4" s="43" t="n">
        <f aca="false">IF(Matrice_OD!W4&lt;=Param!$B$2,3_Huff!W4*3_Huff!W$139*1_Friction!W4,0)</f>
        <v>0</v>
      </c>
      <c r="Y4" s="43" t="n">
        <f aca="false">IF(Matrice_OD!X4&lt;=Param!$B$2,3_Huff!X4*3_Huff!X$139*1_Friction!X4,0)</f>
        <v>0</v>
      </c>
      <c r="Z4" s="43" t="n">
        <f aca="false">IF(Matrice_OD!Y4&lt;=Param!$B$2,3_Huff!Y4*3_Huff!Y$139*1_Friction!Y4,0)</f>
        <v>0</v>
      </c>
      <c r="AA4" s="43" t="n">
        <f aca="false">IF(Matrice_OD!Z4&lt;=Param!$B$2,3_Huff!Z4*3_Huff!Z$139*1_Friction!Z4,0)</f>
        <v>0</v>
      </c>
      <c r="AB4" s="43" t="n">
        <f aca="false">IF(Matrice_OD!AA4&lt;=Param!$B$2,3_Huff!AA4*3_Huff!AA$139*1_Friction!AA4,0)</f>
        <v>0</v>
      </c>
      <c r="AC4" s="43" t="n">
        <f aca="false">IF(Matrice_OD!AB4&lt;=Param!$B$2,3_Huff!AB4*3_Huff!AB$139*1_Friction!AB4,0)</f>
        <v>0</v>
      </c>
      <c r="AD4" s="43" t="n">
        <f aca="false">IF(Matrice_OD!AC4&lt;=Param!$B$2,3_Huff!AC4*3_Huff!AC$139*1_Friction!AC4,0)</f>
        <v>2.34715052913928E-007</v>
      </c>
      <c r="AE4" s="43" t="n">
        <f aca="false">IF(Matrice_OD!AD4&lt;=Param!$B$2,3_Huff!AD4*3_Huff!AD$139*1_Friction!AD4,0)</f>
        <v>1.10756538097316E-006</v>
      </c>
      <c r="AF4" s="43" t="n">
        <f aca="false">IF(Matrice_OD!AE4&lt;=Param!$B$2,3_Huff!AE4*3_Huff!AE$139*1_Friction!AE4,0)</f>
        <v>5.99359563642494E-007</v>
      </c>
      <c r="AG4" s="43" t="n">
        <f aca="false">IF(Matrice_OD!AF4&lt;=Param!$B$2,3_Huff!AF4*3_Huff!AF$139*1_Friction!AF4,0)</f>
        <v>3.98528445932361E-007</v>
      </c>
      <c r="AH4" s="43" t="n">
        <f aca="false">IF(Matrice_OD!AG4&lt;=Param!$B$2,3_Huff!AG4*3_Huff!AG$139*1_Friction!AG4,0)</f>
        <v>0</v>
      </c>
      <c r="AI4" s="43" t="n">
        <f aca="false">IF(Matrice_OD!AH4&lt;=Param!$B$2,3_Huff!AH4*3_Huff!AH$139*1_Friction!AH4,0)</f>
        <v>4.883813481626E-006</v>
      </c>
      <c r="AJ4" s="43" t="n">
        <f aca="false">IF(Matrice_OD!AI4&lt;=Param!$B$2,3_Huff!AI4*3_Huff!AI$139*1_Friction!AI4,0)</f>
        <v>9.77305883391797E-008</v>
      </c>
      <c r="AK4" s="43" t="n">
        <f aca="false">IF(Matrice_OD!AJ4&lt;=Param!$B$2,3_Huff!AJ4*3_Huff!AJ$139*1_Friction!AJ4,0)</f>
        <v>0</v>
      </c>
      <c r="AL4" s="43" t="n">
        <f aca="false">IF(Matrice_OD!AK4&lt;=Param!$B$2,3_Huff!AK4*3_Huff!AK$139*1_Friction!AK4,0)</f>
        <v>8.02650854733981E-007</v>
      </c>
      <c r="AM4" s="0" t="n">
        <f aca="false">IF(Matrice_OD!AL4&lt;=Param!$B$2,3_Huff!AL4*3_Huff!AL$139*1_Friction!AL4,0)</f>
        <v>2.02253679222123E-006</v>
      </c>
      <c r="AN4" s="0" t="n">
        <f aca="false">IF(Matrice_OD!AM4&lt;=Param!$B$2,3_Huff!AM4*3_Huff!AM$139*1_Friction!AM4,0)</f>
        <v>0</v>
      </c>
      <c r="AO4" s="0" t="n">
        <f aca="false">IF(Matrice_OD!AN4&lt;=Param!$B$2,3_Huff!AN4*3_Huff!AN$139*1_Friction!AN4,0)</f>
        <v>0</v>
      </c>
      <c r="AP4" s="48" t="n">
        <f aca="false">SUM(D4:AO4)</f>
        <v>6.05048082866911E-005</v>
      </c>
      <c r="AQ4" s="43" t="n">
        <f aca="false">AP4*1000</f>
        <v>0.0605048082866911</v>
      </c>
      <c r="AR4" s="43" t="n">
        <f aca="false">RANK(AP4,AP$2:AP$136,0)</f>
        <v>87</v>
      </c>
      <c r="AS4" s="43" t="n">
        <f aca="false">COUNTIF(Matrice_OD!$C4:$AN4,"&lt;="&amp;Param!$B$2)</f>
        <v>26</v>
      </c>
    </row>
    <row r="5" customFormat="false" ht="15" hidden="false" customHeight="true" outlineLevel="0" collapsed="false">
      <c r="A5" s="0" t="s">
        <v>108</v>
      </c>
      <c r="B5" s="0" t="s">
        <v>109</v>
      </c>
      <c r="C5" s="0" t="n">
        <f aca="false">Demande!C5</f>
        <v>19964</v>
      </c>
      <c r="D5" s="43" t="n">
        <f aca="false">IF(Matrice_OD!C5&lt;=Param!$B$2,3_Huff!C5*3_Huff!C$139*1_Friction!C5,0)</f>
        <v>5.83100296622206E-009</v>
      </c>
      <c r="E5" s="43" t="n">
        <f aca="false">IF(Matrice_OD!D5&lt;=Param!$B$2,3_Huff!D5*3_Huff!D$139*1_Friction!D5,0)</f>
        <v>9.83503896057585E-007</v>
      </c>
      <c r="F5" s="43" t="n">
        <f aca="false">IF(Matrice_OD!E5&lt;=Param!$B$2,3_Huff!E5*3_Huff!E$139*1_Friction!E5,0)</f>
        <v>1.17375911763469E-005</v>
      </c>
      <c r="G5" s="43" t="n">
        <f aca="false">IF(Matrice_OD!F5&lt;=Param!$B$2,3_Huff!F5*3_Huff!F$139*1_Friction!F5,0)</f>
        <v>2.1752453529881E-006</v>
      </c>
      <c r="H5" s="43" t="n">
        <f aca="false">IF(Matrice_OD!G5&lt;=Param!$B$2,3_Huff!G5*3_Huff!G$139*1_Friction!G5,0)</f>
        <v>6.08755175118467E-006</v>
      </c>
      <c r="I5" s="43" t="n">
        <f aca="false">IF(Matrice_OD!H5&lt;=Param!$B$2,3_Huff!H5*3_Huff!H$139*1_Friction!H5,0)</f>
        <v>1.79999264164572E-006</v>
      </c>
      <c r="J5" s="43" t="n">
        <f aca="false">IF(Matrice_OD!I5&lt;=Param!$B$2,3_Huff!I5*3_Huff!I$139*1_Friction!I5,0)</f>
        <v>4.11628758564023E-006</v>
      </c>
      <c r="K5" s="43" t="n">
        <f aca="false">IF(Matrice_OD!J5&lt;=Param!$B$2,3_Huff!J5*3_Huff!J$139*1_Friction!J5,0)</f>
        <v>3.08143709719129E-006</v>
      </c>
      <c r="L5" s="43" t="n">
        <f aca="false">IF(Matrice_OD!K5&lt;=Param!$B$2,3_Huff!K5*3_Huff!K$139*1_Friction!K5,0)</f>
        <v>1.78124978834506E-006</v>
      </c>
      <c r="M5" s="43" t="n">
        <f aca="false">IF(Matrice_OD!L5&lt;=Param!$B$2,3_Huff!L5*3_Huff!L$139*1_Friction!L5,0)</f>
        <v>2.07752296075736E-006</v>
      </c>
      <c r="N5" s="43" t="n">
        <f aca="false">IF(Matrice_OD!M5&lt;=Param!$B$2,3_Huff!M5*3_Huff!M$139*1_Friction!M5,0)</f>
        <v>1.26372734101296E-005</v>
      </c>
      <c r="O5" s="43" t="n">
        <f aca="false">IF(Matrice_OD!N5&lt;=Param!$B$2,3_Huff!N5*3_Huff!N$139*1_Friction!N5,0)</f>
        <v>1.44846567071416E-006</v>
      </c>
      <c r="P5" s="43" t="n">
        <f aca="false">IF(Matrice_OD!O5&lt;=Param!$B$2,3_Huff!O5*3_Huff!O$139*1_Friction!O5,0)</f>
        <v>4.69053352183147E-006</v>
      </c>
      <c r="Q5" s="43" t="n">
        <f aca="false">IF(Matrice_OD!P5&lt;=Param!$B$2,3_Huff!P5*3_Huff!P$139*1_Friction!P5,0)</f>
        <v>2.37710906470779E-006</v>
      </c>
      <c r="R5" s="43" t="n">
        <f aca="false">IF(Matrice_OD!Q5&lt;=Param!$B$2,3_Huff!Q5*3_Huff!Q$139*1_Friction!Q5,0)</f>
        <v>2.13257291616796E-005</v>
      </c>
      <c r="S5" s="43" t="n">
        <f aca="false">IF(Matrice_OD!R5&lt;=Param!$B$2,3_Huff!R5*3_Huff!R$139*1_Friction!R5,0)</f>
        <v>2.79592330259489E-006</v>
      </c>
      <c r="T5" s="43" t="n">
        <f aca="false">IF(Matrice_OD!S5&lt;=Param!$B$2,3_Huff!S5*3_Huff!S$139*1_Friction!S5,0)</f>
        <v>1.97378578628048E-006</v>
      </c>
      <c r="U5" s="43" t="n">
        <f aca="false">IF(Matrice_OD!T5&lt;=Param!$B$2,3_Huff!T5*3_Huff!T$139*1_Friction!T5,0)</f>
        <v>3.83629189313561E-007</v>
      </c>
      <c r="V5" s="43" t="n">
        <f aca="false">IF(Matrice_OD!U5&lt;=Param!$B$2,3_Huff!U5*3_Huff!U$139*1_Friction!U5,0)</f>
        <v>4.69480860705031E-007</v>
      </c>
      <c r="W5" s="43" t="n">
        <f aca="false">IF(Matrice_OD!V5&lt;=Param!$B$2,3_Huff!V5*3_Huff!V$139*1_Friction!V5,0)</f>
        <v>0</v>
      </c>
      <c r="X5" s="43" t="n">
        <f aca="false">IF(Matrice_OD!W5&lt;=Param!$B$2,3_Huff!W5*3_Huff!W$139*1_Friction!W5,0)</f>
        <v>0</v>
      </c>
      <c r="Y5" s="43" t="n">
        <f aca="false">IF(Matrice_OD!X5&lt;=Param!$B$2,3_Huff!X5*3_Huff!X$139*1_Friction!X5,0)</f>
        <v>0</v>
      </c>
      <c r="Z5" s="43" t="n">
        <f aca="false">IF(Matrice_OD!Y5&lt;=Param!$B$2,3_Huff!Y5*3_Huff!Y$139*1_Friction!Y5,0)</f>
        <v>0</v>
      </c>
      <c r="AA5" s="43" t="n">
        <f aca="false">IF(Matrice_OD!Z5&lt;=Param!$B$2,3_Huff!Z5*3_Huff!Z$139*1_Friction!Z5,0)</f>
        <v>0</v>
      </c>
      <c r="AB5" s="43" t="n">
        <f aca="false">IF(Matrice_OD!AA5&lt;=Param!$B$2,3_Huff!AA5*3_Huff!AA$139*1_Friction!AA5,0)</f>
        <v>0</v>
      </c>
      <c r="AC5" s="43" t="n">
        <f aca="false">IF(Matrice_OD!AB5&lt;=Param!$B$2,3_Huff!AB5*3_Huff!AB$139*1_Friction!AB5,0)</f>
        <v>3.79132749558963E-008</v>
      </c>
      <c r="AD5" s="43" t="n">
        <f aca="false">IF(Matrice_OD!AC5&lt;=Param!$B$2,3_Huff!AC5*3_Huff!AC$139*1_Friction!AC5,0)</f>
        <v>7.45798604297511E-009</v>
      </c>
      <c r="AE5" s="43" t="n">
        <f aca="false">IF(Matrice_OD!AD5&lt;=Param!$B$2,3_Huff!AD5*3_Huff!AD$139*1_Friction!AD5,0)</f>
        <v>3.44936836596488E-008</v>
      </c>
      <c r="AF5" s="43" t="n">
        <f aca="false">IF(Matrice_OD!AE5&lt;=Param!$B$2,3_Huff!AE5*3_Huff!AE$139*1_Friction!AE5,0)</f>
        <v>1.7965821282396E-008</v>
      </c>
      <c r="AG5" s="43" t="n">
        <f aca="false">IF(Matrice_OD!AF5&lt;=Param!$B$2,3_Huff!AF5*3_Huff!AF$139*1_Friction!AF5,0)</f>
        <v>1.18958601582076E-008</v>
      </c>
      <c r="AH5" s="43" t="n">
        <f aca="false">IF(Matrice_OD!AG5&lt;=Param!$B$2,3_Huff!AG5*3_Huff!AG$139*1_Friction!AG5,0)</f>
        <v>0</v>
      </c>
      <c r="AI5" s="43" t="n">
        <f aca="false">IF(Matrice_OD!AH5&lt;=Param!$B$2,3_Huff!AH5*3_Huff!AH$139*1_Friction!AH5,0)</f>
        <v>7.82385030080245E-006</v>
      </c>
      <c r="AJ5" s="43" t="n">
        <f aca="false">IF(Matrice_OD!AI5&lt;=Param!$B$2,3_Huff!AI5*3_Huff!AI$139*1_Friction!AI5,0)</f>
        <v>1.54541162063718E-007</v>
      </c>
      <c r="AK5" s="43" t="n">
        <f aca="false">IF(Matrice_OD!AJ5&lt;=Param!$B$2,3_Huff!AJ5*3_Huff!AJ$139*1_Friction!AJ5,0)</f>
        <v>0</v>
      </c>
      <c r="AL5" s="43" t="n">
        <f aca="false">IF(Matrice_OD!AK5&lt;=Param!$B$2,3_Huff!AK5*3_Huff!AK$139*1_Friction!AK5,0)</f>
        <v>1.94498091945295E-008</v>
      </c>
      <c r="AM5" s="0" t="n">
        <f aca="false">IF(Matrice_OD!AL5&lt;=Param!$B$2,3_Huff!AL5*3_Huff!AL$139*1_Friction!AL5,0)</f>
        <v>6.07086513153391E-008</v>
      </c>
      <c r="AN5" s="0" t="n">
        <f aca="false">IF(Matrice_OD!AM5&lt;=Param!$B$2,3_Huff!AM5*3_Huff!AM$139*1_Friction!AM5,0)</f>
        <v>0</v>
      </c>
      <c r="AO5" s="0" t="n">
        <f aca="false">IF(Matrice_OD!AN5&lt;=Param!$B$2,3_Huff!AN5*3_Huff!AN$139*1_Friction!AN5,0)</f>
        <v>0</v>
      </c>
      <c r="AP5" s="49" t="n">
        <f aca="false">SUM(D5:AO5)</f>
        <v>9.01164197705549E-005</v>
      </c>
      <c r="AQ5" s="43" t="n">
        <f aca="false">AP5*1000</f>
        <v>0.0901164197705549</v>
      </c>
      <c r="AR5" s="43" t="n">
        <f aca="false">RANK(AP5,AP$2:AP$136,0)</f>
        <v>74</v>
      </c>
      <c r="AS5" s="43" t="n">
        <f aca="false">COUNTIF(Matrice_OD!$C5:$AN5,"&lt;="&amp;Param!$B$2)</f>
        <v>28</v>
      </c>
    </row>
    <row r="6" customFormat="false" ht="15" hidden="false" customHeight="true" outlineLevel="0" collapsed="false">
      <c r="A6" s="0" t="s">
        <v>110</v>
      </c>
      <c r="B6" s="0" t="s">
        <v>111</v>
      </c>
      <c r="C6" s="0" t="n">
        <f aca="false">Demande!C6</f>
        <v>13366</v>
      </c>
      <c r="D6" s="43" t="n">
        <f aca="false">IF(Matrice_OD!C6&lt;=Param!$B$2,3_Huff!C6*3_Huff!C$139*1_Friction!C6,0)</f>
        <v>4.6893870577438E-006</v>
      </c>
      <c r="E6" s="43" t="n">
        <f aca="false">IF(Matrice_OD!D6&lt;=Param!$B$2,3_Huff!D6*3_Huff!D$139*1_Friction!D6,0)</f>
        <v>5.98048436887969E-006</v>
      </c>
      <c r="F6" s="43" t="n">
        <f aca="false">IF(Matrice_OD!E6&lt;=Param!$B$2,3_Huff!E6*3_Huff!E$139*1_Friction!E6,0)</f>
        <v>6.39097553440793E-005</v>
      </c>
      <c r="G6" s="43" t="n">
        <f aca="false">IF(Matrice_OD!F6&lt;=Param!$B$2,3_Huff!F6*3_Huff!F$139*1_Friction!F6,0)</f>
        <v>1.15900619960298E-005</v>
      </c>
      <c r="H6" s="43" t="n">
        <f aca="false">IF(Matrice_OD!G6&lt;=Param!$B$2,3_Huff!G6*3_Huff!G$139*1_Friction!G6,0)</f>
        <v>3.20713114224656E-005</v>
      </c>
      <c r="I6" s="43" t="n">
        <f aca="false">IF(Matrice_OD!H6&lt;=Param!$B$2,3_Huff!H6*3_Huff!H$139*1_Friction!H6,0)</f>
        <v>8.18157062505572E-006</v>
      </c>
      <c r="J6" s="43" t="n">
        <f aca="false">IF(Matrice_OD!I6&lt;=Param!$B$2,3_Huff!I6*3_Huff!I$139*1_Friction!I6,0)</f>
        <v>1.75094598864877E-005</v>
      </c>
      <c r="K6" s="43" t="n">
        <f aca="false">IF(Matrice_OD!J6&lt;=Param!$B$2,3_Huff!J6*3_Huff!J$139*1_Friction!J6,0)</f>
        <v>1.39544331316869E-005</v>
      </c>
      <c r="L6" s="43" t="n">
        <f aca="false">IF(Matrice_OD!K6&lt;=Param!$B$2,3_Huff!K6*3_Huff!K$139*1_Friction!K6,0)</f>
        <v>8.77407011666691E-006</v>
      </c>
      <c r="M6" s="43" t="n">
        <f aca="false">IF(Matrice_OD!L6&lt;=Param!$B$2,3_Huff!L6*3_Huff!L$139*1_Friction!L6,0)</f>
        <v>8.81691041691553E-006</v>
      </c>
      <c r="N6" s="43" t="n">
        <f aca="false">IF(Matrice_OD!M6&lt;=Param!$B$2,3_Huff!M6*3_Huff!M$139*1_Friction!M6,0)</f>
        <v>4.86031671332265E-005</v>
      </c>
      <c r="O6" s="43" t="n">
        <f aca="false">IF(Matrice_OD!N6&lt;=Param!$B$2,3_Huff!N6*3_Huff!N$139*1_Friction!N6,0)</f>
        <v>6.57014046334442E-006</v>
      </c>
      <c r="P6" s="43" t="n">
        <f aca="false">IF(Matrice_OD!O6&lt;=Param!$B$2,3_Huff!O6*3_Huff!O$139*1_Friction!O6,0)</f>
        <v>2.05091007141054E-005</v>
      </c>
      <c r="Q6" s="43" t="n">
        <f aca="false">IF(Matrice_OD!P6&lt;=Param!$B$2,3_Huff!P6*3_Huff!P$139*1_Friction!P6,0)</f>
        <v>9.8627556131164E-006</v>
      </c>
      <c r="R6" s="43" t="n">
        <f aca="false">IF(Matrice_OD!Q6&lt;=Param!$B$2,3_Huff!Q6*3_Huff!Q$139*1_Friction!Q6,0)</f>
        <v>8.5781784760162E-005</v>
      </c>
      <c r="S6" s="43" t="n">
        <f aca="false">IF(Matrice_OD!R6&lt;=Param!$B$2,3_Huff!R6*3_Huff!R$139*1_Friction!R6,0)</f>
        <v>1.14585086402679E-005</v>
      </c>
      <c r="T6" s="43" t="n">
        <f aca="false">IF(Matrice_OD!S6&lt;=Param!$B$2,3_Huff!S6*3_Huff!S$139*1_Friction!S6,0)</f>
        <v>8.59864307014682E-006</v>
      </c>
      <c r="U6" s="43" t="n">
        <f aca="false">IF(Matrice_OD!T6&lt;=Param!$B$2,3_Huff!T6*3_Huff!T$139*1_Friction!T6,0)</f>
        <v>2.05651143579756E-006</v>
      </c>
      <c r="V6" s="43" t="n">
        <f aca="false">IF(Matrice_OD!U6&lt;=Param!$B$2,3_Huff!U6*3_Huff!U$139*1_Friction!U6,0)</f>
        <v>7.77087317991798E-008</v>
      </c>
      <c r="W6" s="43" t="n">
        <f aca="false">IF(Matrice_OD!V6&lt;=Param!$B$2,3_Huff!V6*3_Huff!V$139*1_Friction!V6,0)</f>
        <v>2.58503760075877E-007</v>
      </c>
      <c r="X6" s="43" t="n">
        <f aca="false">IF(Matrice_OD!W6&lt;=Param!$B$2,3_Huff!W6*3_Huff!W$139*1_Friction!W6,0)</f>
        <v>3.51429570543674E-008</v>
      </c>
      <c r="Y6" s="43" t="n">
        <f aca="false">IF(Matrice_OD!X6&lt;=Param!$B$2,3_Huff!X6*3_Huff!X$139*1_Friction!X6,0)</f>
        <v>4.58795580243356E-008</v>
      </c>
      <c r="Z6" s="43" t="n">
        <f aca="false">IF(Matrice_OD!Y6&lt;=Param!$B$2,3_Huff!Y6*3_Huff!Y$139*1_Friction!Y6,0)</f>
        <v>3.0597849447233E-008</v>
      </c>
      <c r="AA6" s="43" t="n">
        <f aca="false">IF(Matrice_OD!Z6&lt;=Param!$B$2,3_Huff!Z6*3_Huff!Z$139*1_Friction!Z6,0)</f>
        <v>7.35353380169724E-008</v>
      </c>
      <c r="AB6" s="43" t="n">
        <f aca="false">IF(Matrice_OD!AA6&lt;=Param!$B$2,3_Huff!AA6*3_Huff!AA$139*1_Friction!AA6,0)</f>
        <v>1.13646808265172E-007</v>
      </c>
      <c r="AC6" s="43" t="n">
        <f aca="false">IF(Matrice_OD!AB6&lt;=Param!$B$2,3_Huff!AB6*3_Huff!AB$139*1_Friction!AB6,0)</f>
        <v>4.47265604384707E-008</v>
      </c>
      <c r="AD6" s="43" t="n">
        <f aca="false">IF(Matrice_OD!AC6&lt;=Param!$B$2,3_Huff!AC6*3_Huff!AC$139*1_Friction!AC6,0)</f>
        <v>0</v>
      </c>
      <c r="AE6" s="43" t="n">
        <f aca="false">IF(Matrice_OD!AD6&lt;=Param!$B$2,3_Huff!AD6*3_Huff!AD$139*1_Friction!AD6,0)</f>
        <v>0</v>
      </c>
      <c r="AF6" s="43" t="n">
        <f aca="false">IF(Matrice_OD!AE6&lt;=Param!$B$2,3_Huff!AE6*3_Huff!AE$139*1_Friction!AE6,0)</f>
        <v>0</v>
      </c>
      <c r="AG6" s="43" t="n">
        <f aca="false">IF(Matrice_OD!AF6&lt;=Param!$B$2,3_Huff!AF6*3_Huff!AF$139*1_Friction!AF6,0)</f>
        <v>0</v>
      </c>
      <c r="AH6" s="43" t="n">
        <f aca="false">IF(Matrice_OD!AG6&lt;=Param!$B$2,3_Huff!AG6*3_Huff!AG$139*1_Friction!AG6,0)</f>
        <v>3.19762430027956E-010</v>
      </c>
      <c r="AI6" s="43" t="n">
        <f aca="false">IF(Matrice_OD!AH6&lt;=Param!$B$2,3_Huff!AH6*3_Huff!AH$139*1_Friction!AH6,0)</f>
        <v>2.68213515784882E-005</v>
      </c>
      <c r="AJ6" s="43" t="n">
        <f aca="false">IF(Matrice_OD!AI6&lt;=Param!$B$2,3_Huff!AI6*3_Huff!AI$139*1_Friction!AI6,0)</f>
        <v>9.90749035880949E-007</v>
      </c>
      <c r="AK6" s="43" t="n">
        <f aca="false">IF(Matrice_OD!AJ6&lt;=Param!$B$2,3_Huff!AJ6*3_Huff!AJ$139*1_Friction!AJ6,0)</f>
        <v>6.12150725339414E-008</v>
      </c>
      <c r="AL6" s="43" t="n">
        <f aca="false">IF(Matrice_OD!AK6&lt;=Param!$B$2,3_Huff!AK6*3_Huff!AK$139*1_Friction!AK6,0)</f>
        <v>0</v>
      </c>
      <c r="AM6" s="0" t="n">
        <f aca="false">IF(Matrice_OD!AL6&lt;=Param!$B$2,3_Huff!AL6*3_Huff!AL$139*1_Friction!AL6,0)</f>
        <v>0</v>
      </c>
      <c r="AN6" s="0" t="n">
        <f aca="false">IF(Matrice_OD!AM6&lt;=Param!$B$2,3_Huff!AM6*3_Huff!AM$139*1_Friction!AM6,0)</f>
        <v>1.17613567544902E-005</v>
      </c>
      <c r="AO6" s="0" t="n">
        <f aca="false">IF(Matrice_OD!AN6&lt;=Param!$B$2,3_Huff!AN6*3_Huff!AN$139*1_Friction!AN6,0)</f>
        <v>0</v>
      </c>
      <c r="AP6" s="48" t="n">
        <f aca="false">SUM(D6:AO6)</f>
        <v>0.000409232789963123</v>
      </c>
      <c r="AQ6" s="43" t="n">
        <f aca="false">AP6*1000</f>
        <v>0.409232789963123</v>
      </c>
      <c r="AR6" s="43" t="n">
        <f aca="false">RANK(AP6,AP$2:AP$136,0)</f>
        <v>17</v>
      </c>
      <c r="AS6" s="43" t="n">
        <f aca="false">COUNTIF(Matrice_OD!$C6:$AN6,"&lt;="&amp;Param!$B$2)</f>
        <v>31</v>
      </c>
    </row>
    <row r="7" customFormat="false" ht="15" hidden="false" customHeight="true" outlineLevel="0" collapsed="false">
      <c r="A7" s="0" t="s">
        <v>112</v>
      </c>
      <c r="B7" s="0" t="s">
        <v>113</v>
      </c>
      <c r="C7" s="0" t="n">
        <f aca="false">Demande!C7</f>
        <v>21636</v>
      </c>
      <c r="D7" s="43" t="n">
        <f aca="false">IF(Matrice_OD!C7&lt;=Param!$B$2,3_Huff!C7*3_Huff!C$139*1_Friction!C7,0)</f>
        <v>5.53130701983601E-006</v>
      </c>
      <c r="E7" s="43" t="n">
        <f aca="false">IF(Matrice_OD!D7&lt;=Param!$B$2,3_Huff!D7*3_Huff!D$139*1_Friction!D7,0)</f>
        <v>7.21947266273088E-006</v>
      </c>
      <c r="F7" s="43" t="n">
        <f aca="false">IF(Matrice_OD!E7&lt;=Param!$B$2,3_Huff!E7*3_Huff!E$139*1_Friction!E7,0)</f>
        <v>7.85107919284095E-005</v>
      </c>
      <c r="G7" s="43" t="n">
        <f aca="false">IF(Matrice_OD!F7&lt;=Param!$B$2,3_Huff!F7*3_Huff!F$139*1_Friction!F7,0)</f>
        <v>1.39808536787007E-005</v>
      </c>
      <c r="H7" s="43" t="n">
        <f aca="false">IF(Matrice_OD!G7&lt;=Param!$B$2,3_Huff!G7*3_Huff!G$139*1_Friction!G7,0)</f>
        <v>3.9811152401575E-005</v>
      </c>
      <c r="I7" s="43" t="n">
        <f aca="false">IF(Matrice_OD!H7&lt;=Param!$B$2,3_Huff!H7*3_Huff!H$139*1_Friction!H7,0)</f>
        <v>8.54565888844179E-006</v>
      </c>
      <c r="J7" s="43" t="n">
        <f aca="false">IF(Matrice_OD!I7&lt;=Param!$B$2,3_Huff!I7*3_Huff!I$139*1_Friction!I7,0)</f>
        <v>1.99726932374864E-005</v>
      </c>
      <c r="K7" s="43" t="n">
        <f aca="false">IF(Matrice_OD!J7&lt;=Param!$B$2,3_Huff!J7*3_Huff!J$139*1_Friction!J7,0)</f>
        <v>1.61649936285023E-005</v>
      </c>
      <c r="L7" s="43" t="n">
        <f aca="false">IF(Matrice_OD!K7&lt;=Param!$B$2,3_Huff!K7*3_Huff!K$139*1_Friction!K7,0)</f>
        <v>1.0188530517909E-005</v>
      </c>
      <c r="M7" s="43" t="n">
        <f aca="false">IF(Matrice_OD!L7&lt;=Param!$B$2,3_Huff!L7*3_Huff!L$139*1_Friction!L7,0)</f>
        <v>9.80872608108088E-006</v>
      </c>
      <c r="N7" s="43" t="n">
        <f aca="false">IF(Matrice_OD!M7&lt;=Param!$B$2,3_Huff!M7*3_Huff!M$139*1_Friction!M7,0)</f>
        <v>5.11015219584667E-005</v>
      </c>
      <c r="O7" s="43" t="n">
        <f aca="false">IF(Matrice_OD!N7&lt;=Param!$B$2,3_Huff!N7*3_Huff!N$139*1_Friction!N7,0)</f>
        <v>7.25424741563199E-006</v>
      </c>
      <c r="P7" s="43" t="n">
        <f aca="false">IF(Matrice_OD!O7&lt;=Param!$B$2,3_Huff!O7*3_Huff!O$139*1_Friction!O7,0)</f>
        <v>2.29221207575879E-005</v>
      </c>
      <c r="Q7" s="43" t="n">
        <f aca="false">IF(Matrice_OD!P7&lt;=Param!$B$2,3_Huff!P7*3_Huff!P$139*1_Friction!P7,0)</f>
        <v>1.10292581570626E-005</v>
      </c>
      <c r="R7" s="43" t="n">
        <f aca="false">IF(Matrice_OD!Q7&lt;=Param!$B$2,3_Huff!Q7*3_Huff!Q$139*1_Friction!Q7,0)</f>
        <v>9.63218437505184E-005</v>
      </c>
      <c r="S7" s="43" t="n">
        <f aca="false">IF(Matrice_OD!R7&lt;=Param!$B$2,3_Huff!R7*3_Huff!R$139*1_Friction!R7,0)</f>
        <v>1.28845414289075E-005</v>
      </c>
      <c r="T7" s="43" t="n">
        <f aca="false">IF(Matrice_OD!S7&lt;=Param!$B$2,3_Huff!S7*3_Huff!S$139*1_Friction!S7,0)</f>
        <v>9.69811070086975E-006</v>
      </c>
      <c r="U7" s="43" t="n">
        <f aca="false">IF(Matrice_OD!T7&lt;=Param!$B$2,3_Huff!T7*3_Huff!T$139*1_Friction!T7,0)</f>
        <v>1.38808274814764E-006</v>
      </c>
      <c r="V7" s="43" t="n">
        <f aca="false">IF(Matrice_OD!U7&lt;=Param!$B$2,3_Huff!U7*3_Huff!U$139*1_Friction!U7,0)</f>
        <v>1.01721155213262E-007</v>
      </c>
      <c r="W7" s="43" t="n">
        <f aca="false">IF(Matrice_OD!V7&lt;=Param!$B$2,3_Huff!V7*3_Huff!V$139*1_Friction!V7,0)</f>
        <v>1.39445617576345E-007</v>
      </c>
      <c r="X7" s="43" t="n">
        <f aca="false">IF(Matrice_OD!W7&lt;=Param!$B$2,3_Huff!W7*3_Huff!W$139*1_Friction!W7,0)</f>
        <v>1.86909900935795E-008</v>
      </c>
      <c r="Y7" s="43" t="n">
        <f aca="false">IF(Matrice_OD!X7&lt;=Param!$B$2,3_Huff!X7*3_Huff!X$139*1_Friction!X7,0)</f>
        <v>2.43837413069444E-008</v>
      </c>
      <c r="Z7" s="43" t="n">
        <f aca="false">IF(Matrice_OD!Y7&lt;=Param!$B$2,3_Huff!Y7*3_Huff!Y$139*1_Friction!Y7,0)</f>
        <v>1.62597974465095E-008</v>
      </c>
      <c r="AA7" s="43" t="n">
        <f aca="false">IF(Matrice_OD!Z7&lt;=Param!$B$2,3_Huff!Z7*3_Huff!Z$139*1_Friction!Z7,0)</f>
        <v>3.9002768198353E-008</v>
      </c>
      <c r="AB7" s="43" t="n">
        <f aca="false">IF(Matrice_OD!AA7&lt;=Param!$B$2,3_Huff!AA7*3_Huff!AA$139*1_Friction!AA7,0)</f>
        <v>5.97079468583874E-008</v>
      </c>
      <c r="AC7" s="43" t="n">
        <f aca="false">IF(Matrice_OD!AB7&lt;=Param!$B$2,3_Huff!AB7*3_Huff!AB$139*1_Friction!AB7,0)</f>
        <v>2.34306025641362E-008</v>
      </c>
      <c r="AD7" s="43" t="n">
        <f aca="false">IF(Matrice_OD!AC7&lt;=Param!$B$2,3_Huff!AC7*3_Huff!AC$139*1_Friction!AC7,0)</f>
        <v>0</v>
      </c>
      <c r="AE7" s="43" t="n">
        <f aca="false">IF(Matrice_OD!AD7&lt;=Param!$B$2,3_Huff!AD7*3_Huff!AD$139*1_Friction!AD7,0)</f>
        <v>0</v>
      </c>
      <c r="AF7" s="43" t="n">
        <f aca="false">IF(Matrice_OD!AE7&lt;=Param!$B$2,3_Huff!AE7*3_Huff!AE$139*1_Friction!AE7,0)</f>
        <v>0</v>
      </c>
      <c r="AG7" s="43" t="n">
        <f aca="false">IF(Matrice_OD!AF7&lt;=Param!$B$2,3_Huff!AF7*3_Huff!AF$139*1_Friction!AF7,0)</f>
        <v>0</v>
      </c>
      <c r="AH7" s="43" t="n">
        <f aca="false">IF(Matrice_OD!AG7&lt;=Param!$B$2,3_Huff!AG7*3_Huff!AG$139*1_Friction!AG7,0)</f>
        <v>2.78394183460721E-009</v>
      </c>
      <c r="AI7" s="43" t="n">
        <f aca="false">IF(Matrice_OD!AH7&lt;=Param!$B$2,3_Huff!AH7*3_Huff!AH$139*1_Friction!AH7,0)</f>
        <v>3.05073747792738E-005</v>
      </c>
      <c r="AJ7" s="43" t="n">
        <f aca="false">IF(Matrice_OD!AI7&lt;=Param!$B$2,3_Huff!AI7*3_Huff!AI$139*1_Friction!AI7,0)</f>
        <v>5.86753766516991E-007</v>
      </c>
      <c r="AK7" s="43" t="n">
        <f aca="false">IF(Matrice_OD!AJ7&lt;=Param!$B$2,3_Huff!AJ7*3_Huff!AJ$139*1_Friction!AJ7,0)</f>
        <v>3.23535326127042E-008</v>
      </c>
      <c r="AL7" s="43" t="n">
        <f aca="false">IF(Matrice_OD!AK7&lt;=Param!$B$2,3_Huff!AK7*3_Huff!AK$139*1_Friction!AK7,0)</f>
        <v>0</v>
      </c>
      <c r="AM7" s="0" t="n">
        <f aca="false">IF(Matrice_OD!AL7&lt;=Param!$B$2,3_Huff!AL7*3_Huff!AL$139*1_Friction!AL7,0)</f>
        <v>0</v>
      </c>
      <c r="AN7" s="0" t="n">
        <f aca="false">IF(Matrice_OD!AM7&lt;=Param!$B$2,3_Huff!AM7*3_Huff!AM$139*1_Friction!AM7,0)</f>
        <v>1.35119428416991E-005</v>
      </c>
      <c r="AO7" s="0" t="n">
        <f aca="false">IF(Matrice_OD!AN7&lt;=Param!$B$2,3_Huff!AN7*3_Huff!AN$139*1_Friction!AN7,0)</f>
        <v>0</v>
      </c>
      <c r="AP7" s="49" t="n">
        <f aca="false">SUM(D7:AO7)</f>
        <v>0.00046739775844306</v>
      </c>
      <c r="AQ7" s="43" t="n">
        <f aca="false">AP7*1000</f>
        <v>0.46739775844306</v>
      </c>
      <c r="AR7" s="43" t="n">
        <f aca="false">RANK(AP7,AP$2:AP$136,0)</f>
        <v>12</v>
      </c>
      <c r="AS7" s="43" t="n">
        <f aca="false">COUNTIF(Matrice_OD!$C7:$AN7,"&lt;="&amp;Param!$B$2)</f>
        <v>31</v>
      </c>
    </row>
    <row r="8" customFormat="false" ht="15" hidden="false" customHeight="true" outlineLevel="0" collapsed="false">
      <c r="A8" s="0" t="s">
        <v>114</v>
      </c>
      <c r="B8" s="0" t="s">
        <v>115</v>
      </c>
      <c r="C8" s="0" t="n">
        <f aca="false">Demande!C8</f>
        <v>16256</v>
      </c>
      <c r="D8" s="43" t="n">
        <f aca="false">IF(Matrice_OD!C8&lt;=Param!$B$2,3_Huff!C8*3_Huff!C$139*1_Friction!C8,0)</f>
        <v>2.98781040210868E-006</v>
      </c>
      <c r="E8" s="43" t="n">
        <f aca="false">IF(Matrice_OD!D8&lt;=Param!$B$2,3_Huff!D8*3_Huff!D$139*1_Friction!D8,0)</f>
        <v>7.49882835363794E-006</v>
      </c>
      <c r="F8" s="43" t="n">
        <f aca="false">IF(Matrice_OD!E8&lt;=Param!$B$2,3_Huff!E8*3_Huff!E$139*1_Friction!E8,0)</f>
        <v>8.18966587331594E-005</v>
      </c>
      <c r="G8" s="43" t="n">
        <f aca="false">IF(Matrice_OD!F8&lt;=Param!$B$2,3_Huff!F8*3_Huff!F$139*1_Friction!F8,0)</f>
        <v>1.45881723747896E-005</v>
      </c>
      <c r="H8" s="43" t="n">
        <f aca="false">IF(Matrice_OD!G8&lt;=Param!$B$2,3_Huff!G8*3_Huff!G$139*1_Friction!G8,0)</f>
        <v>4.16006477704283E-005</v>
      </c>
      <c r="I8" s="43" t="n">
        <f aca="false">IF(Matrice_OD!H8&lt;=Param!$B$2,3_Huff!H8*3_Huff!H$139*1_Friction!H8,0)</f>
        <v>8.94563692859265E-006</v>
      </c>
      <c r="J8" s="43" t="n">
        <f aca="false">IF(Matrice_OD!I8&lt;=Param!$B$2,3_Huff!I8*3_Huff!I$139*1_Friction!I8,0)</f>
        <v>2.09149302281978E-005</v>
      </c>
      <c r="K8" s="43" t="n">
        <f aca="false">IF(Matrice_OD!J8&lt;=Param!$B$2,3_Huff!J8*3_Huff!J$139*1_Friction!J8,0)</f>
        <v>1.6941924171972E-005</v>
      </c>
      <c r="L8" s="43" t="n">
        <f aca="false">IF(Matrice_OD!K8&lt;=Param!$B$2,3_Huff!K8*3_Huff!K$139*1_Friction!K8,0)</f>
        <v>1.06837552817192E-005</v>
      </c>
      <c r="M8" s="43" t="n">
        <f aca="false">IF(Matrice_OD!L8&lt;=Param!$B$2,3_Huff!L8*3_Huff!L$139*1_Friction!L8,0)</f>
        <v>1.02877357961924E-005</v>
      </c>
      <c r="N8" s="43" t="n">
        <f aca="false">IF(Matrice_OD!M8&lt;=Param!$B$2,3_Huff!M8*3_Huff!M$139*1_Friction!M8,0)</f>
        <v>5.36014559441304E-005</v>
      </c>
      <c r="O8" s="43" t="n">
        <f aca="false">IF(Matrice_OD!N8&lt;=Param!$B$2,3_Huff!N8*3_Huff!N$139*1_Friction!N8,0)</f>
        <v>7.61515625065137E-006</v>
      </c>
      <c r="P8" s="43" t="n">
        <f aca="false">IF(Matrice_OD!O8&lt;=Param!$B$2,3_Huff!O8*3_Huff!O$139*1_Friction!O8,0)</f>
        <v>2.40570208076101E-005</v>
      </c>
      <c r="Q8" s="43" t="n">
        <f aca="false">IF(Matrice_OD!P8&lt;=Param!$B$2,3_Huff!P8*3_Huff!P$139*1_Friction!P8,0)</f>
        <v>1.15830354874989E-005</v>
      </c>
      <c r="R8" s="43" t="n">
        <f aca="false">IF(Matrice_OD!Q8&lt;=Param!$B$2,3_Huff!Q8*3_Huff!Q$139*1_Friction!Q8,0)</f>
        <v>0.000101208553413627</v>
      </c>
      <c r="S8" s="43" t="n">
        <f aca="false">IF(Matrice_OD!R8&lt;=Param!$B$2,3_Huff!R8*3_Huff!R$139*1_Friction!R8,0)</f>
        <v>1.35484694436818E-005</v>
      </c>
      <c r="T8" s="43" t="n">
        <f aca="false">IF(Matrice_OD!S8&lt;=Param!$B$2,3_Huff!S8*3_Huff!S$139*1_Friction!S8,0)</f>
        <v>1.02014391660823E-005</v>
      </c>
      <c r="U8" s="43" t="n">
        <f aca="false">IF(Matrice_OD!T8&lt;=Param!$B$2,3_Huff!T8*3_Huff!T$139*1_Friction!T8,0)</f>
        <v>1.17132367878874E-006</v>
      </c>
      <c r="V8" s="43" t="n">
        <f aca="false">IF(Matrice_OD!U8&lt;=Param!$B$2,3_Huff!U8*3_Huff!U$139*1_Friction!U8,0)</f>
        <v>1.21853216639688E-007</v>
      </c>
      <c r="W8" s="43" t="n">
        <f aca="false">IF(Matrice_OD!V8&lt;=Param!$B$2,3_Huff!V8*3_Huff!V$139*1_Friction!V8,0)</f>
        <v>1.03464667372248E-007</v>
      </c>
      <c r="X8" s="43" t="n">
        <f aca="false">IF(Matrice_OD!W8&lt;=Param!$B$2,3_Huff!W8*3_Huff!W$139*1_Friction!W8,0)</f>
        <v>1.37555566505139E-008</v>
      </c>
      <c r="Y8" s="43" t="n">
        <f aca="false">IF(Matrice_OD!X8&lt;=Param!$B$2,3_Huff!X8*3_Huff!X$139*1_Friction!X8,0)</f>
        <v>1.79376629354213E-008</v>
      </c>
      <c r="Z8" s="43" t="n">
        <f aca="false">IF(Matrice_OD!Y8&lt;=Param!$B$2,3_Huff!Y8*3_Huff!Y$139*1_Friction!Y8,0)</f>
        <v>1.19828290614966E-008</v>
      </c>
      <c r="AA8" s="43" t="n">
        <f aca="false">IF(Matrice_OD!Z8&lt;=Param!$B$2,3_Huff!Z8*3_Huff!Z$139*1_Friction!Z8,0)</f>
        <v>2.8712239780318E-008</v>
      </c>
      <c r="AB8" s="43" t="n">
        <f aca="false">IF(Matrice_OD!AA8&lt;=Param!$B$2,3_Huff!AA8*3_Huff!AA$139*1_Friction!AA8,0)</f>
        <v>4.36327035698725E-008</v>
      </c>
      <c r="AC8" s="43" t="n">
        <f aca="false">IF(Matrice_OD!AB8&lt;=Param!$B$2,3_Huff!AB8*3_Huff!AB$139*1_Friction!AB8,0)</f>
        <v>1.70758762585583E-008</v>
      </c>
      <c r="AD8" s="43" t="n">
        <f aca="false">IF(Matrice_OD!AC8&lt;=Param!$B$2,3_Huff!AC8*3_Huff!AC$139*1_Friction!AC8,0)</f>
        <v>0</v>
      </c>
      <c r="AE8" s="43" t="n">
        <f aca="false">IF(Matrice_OD!AD8&lt;=Param!$B$2,3_Huff!AD8*3_Huff!AD$139*1_Friction!AD8,0)</f>
        <v>0</v>
      </c>
      <c r="AF8" s="43" t="n">
        <f aca="false">IF(Matrice_OD!AE8&lt;=Param!$B$2,3_Huff!AE8*3_Huff!AE$139*1_Friction!AE8,0)</f>
        <v>0</v>
      </c>
      <c r="AG8" s="43" t="n">
        <f aca="false">IF(Matrice_OD!AF8&lt;=Param!$B$2,3_Huff!AF8*3_Huff!AF$139*1_Friction!AF8,0)</f>
        <v>0</v>
      </c>
      <c r="AH8" s="43" t="n">
        <f aca="false">IF(Matrice_OD!AG8&lt;=Param!$B$2,3_Huff!AG8*3_Huff!AG$139*1_Friction!AG8,0)</f>
        <v>5.20392296848686E-010</v>
      </c>
      <c r="AI8" s="43" t="n">
        <f aca="false">IF(Matrice_OD!AH8&lt;=Param!$B$2,3_Huff!AH8*3_Huff!AH$139*1_Friction!AH8,0)</f>
        <v>3.21723217643432E-005</v>
      </c>
      <c r="AJ8" s="43" t="n">
        <f aca="false">IF(Matrice_OD!AI8&lt;=Param!$B$2,3_Huff!AI8*3_Huff!AI$139*1_Friction!AI8,0)</f>
        <v>4.93392690916428E-007</v>
      </c>
      <c r="AK8" s="43" t="n">
        <f aca="false">IF(Matrice_OD!AJ8&lt;=Param!$B$2,3_Huff!AJ8*3_Huff!AJ$139*1_Friction!AJ8,0)</f>
        <v>2.37691333730904E-008</v>
      </c>
      <c r="AL8" s="43" t="n">
        <f aca="false">IF(Matrice_OD!AK8&lt;=Param!$B$2,3_Huff!AK8*3_Huff!AK$139*1_Friction!AK8,0)</f>
        <v>0</v>
      </c>
      <c r="AM8" s="0" t="n">
        <f aca="false">IF(Matrice_OD!AL8&lt;=Param!$B$2,3_Huff!AL8*3_Huff!AL$139*1_Friction!AL8,0)</f>
        <v>0</v>
      </c>
      <c r="AN8" s="0" t="n">
        <f aca="false">IF(Matrice_OD!AM8&lt;=Param!$B$2,3_Huff!AM8*3_Huff!AM$139*1_Friction!AM8,0)</f>
        <v>7.03255109941978E-006</v>
      </c>
      <c r="AO8" s="0" t="n">
        <f aca="false">IF(Matrice_OD!AN8&lt;=Param!$B$2,3_Huff!AN8*3_Huff!AN$139*1_Friction!AN8,0)</f>
        <v>0</v>
      </c>
      <c r="AP8" s="48" t="n">
        <f aca="false">SUM(D8:AO8)</f>
        <v>0.000479413524065486</v>
      </c>
      <c r="AQ8" s="43" t="n">
        <f aca="false">AP8*1000</f>
        <v>0.479413524065486</v>
      </c>
      <c r="AR8" s="43" t="n">
        <f aca="false">RANK(AP8,AP$2:AP$136,0)</f>
        <v>11</v>
      </c>
      <c r="AS8" s="43" t="n">
        <f aca="false">COUNTIF(Matrice_OD!$C8:$AN8,"&lt;="&amp;Param!$B$2)</f>
        <v>31</v>
      </c>
    </row>
    <row r="9" customFormat="false" ht="15" hidden="false" customHeight="true" outlineLevel="0" collapsed="false">
      <c r="A9" s="0" t="s">
        <v>116</v>
      </c>
      <c r="B9" s="0" t="s">
        <v>117</v>
      </c>
      <c r="C9" s="0" t="n">
        <f aca="false">Demande!C9</f>
        <v>25785</v>
      </c>
      <c r="D9" s="43" t="n">
        <f aca="false">IF(Matrice_OD!C9&lt;=Param!$B$2,3_Huff!C9*3_Huff!C$139*1_Friction!C9,0)</f>
        <v>5.18240251269062E-007</v>
      </c>
      <c r="E9" s="43" t="n">
        <f aca="false">IF(Matrice_OD!D9&lt;=Param!$B$2,3_Huff!D9*3_Huff!D$139*1_Friction!D9,0)</f>
        <v>5.8332744225432E-006</v>
      </c>
      <c r="F9" s="43" t="n">
        <f aca="false">IF(Matrice_OD!E9&lt;=Param!$B$2,3_Huff!E9*3_Huff!E$139*1_Friction!E9,0)</f>
        <v>6.7868922842194E-005</v>
      </c>
      <c r="G9" s="43" t="n">
        <f aca="false">IF(Matrice_OD!F9&lt;=Param!$B$2,3_Huff!F9*3_Huff!F$139*1_Friction!F9,0)</f>
        <v>1.22833707537691E-005</v>
      </c>
      <c r="H9" s="43" t="n">
        <f aca="false">IF(Matrice_OD!G9&lt;=Param!$B$2,3_Huff!G9*3_Huff!G$139*1_Friction!G9,0)</f>
        <v>3.52302303995176E-005</v>
      </c>
      <c r="I9" s="43" t="n">
        <f aca="false">IF(Matrice_OD!H9&lt;=Param!$B$2,3_Huff!H9*3_Huff!H$139*1_Friction!H9,0)</f>
        <v>8.54424746982782E-006</v>
      </c>
      <c r="J9" s="43" t="n">
        <f aca="false">IF(Matrice_OD!I9&lt;=Param!$B$2,3_Huff!I9*3_Huff!I$139*1_Friction!I9,0)</f>
        <v>1.99024447812734E-005</v>
      </c>
      <c r="K9" s="43" t="n">
        <f aca="false">IF(Matrice_OD!J9&lt;=Param!$B$2,3_Huff!J9*3_Huff!J$139*1_Friction!J9,0)</f>
        <v>1.58421014653537E-005</v>
      </c>
      <c r="L9" s="43" t="n">
        <f aca="false">IF(Matrice_OD!K9&lt;=Param!$B$2,3_Huff!K9*3_Huff!K$139*1_Friction!K9,0)</f>
        <v>9.75449418170947E-006</v>
      </c>
      <c r="M9" s="43" t="n">
        <f aca="false">IF(Matrice_OD!L9&lt;=Param!$B$2,3_Huff!L9*3_Huff!L$139*1_Friction!L9,0)</f>
        <v>1.00185306731263E-005</v>
      </c>
      <c r="N9" s="43" t="n">
        <f aca="false">IF(Matrice_OD!M9&lt;=Param!$B$2,3_Huff!M9*3_Huff!M$139*1_Friction!M9,0)</f>
        <v>5.48062391287329E-005</v>
      </c>
      <c r="O9" s="43" t="n">
        <f aca="false">IF(Matrice_OD!N9&lt;=Param!$B$2,3_Huff!N9*3_Huff!N$139*1_Friction!N9,0)</f>
        <v>7.33657596837875E-006</v>
      </c>
      <c r="P9" s="43" t="n">
        <f aca="false">IF(Matrice_OD!O9&lt;=Param!$B$2,3_Huff!O9*3_Huff!O$139*1_Friction!O9,0)</f>
        <v>2.34063225058969E-005</v>
      </c>
      <c r="Q9" s="43" t="n">
        <f aca="false">IF(Matrice_OD!P9&lt;=Param!$B$2,3_Huff!P9*3_Huff!P$139*1_Friction!P9,0)</f>
        <v>1.1483360185035E-005</v>
      </c>
      <c r="R9" s="43" t="n">
        <f aca="false">IF(Matrice_OD!Q9&lt;=Param!$B$2,3_Huff!Q9*3_Huff!Q$139*1_Friction!Q9,0)</f>
        <v>0.00010212107389671</v>
      </c>
      <c r="S9" s="43" t="n">
        <f aca="false">IF(Matrice_OD!R9&lt;=Param!$B$2,3_Huff!R9*3_Huff!R$139*1_Friction!R9,0)</f>
        <v>1.3625533871543E-005</v>
      </c>
      <c r="T9" s="43" t="n">
        <f aca="false">IF(Matrice_OD!S9&lt;=Param!$B$2,3_Huff!S9*3_Huff!S$139*1_Friction!S9,0)</f>
        <v>1.01297288865859E-005</v>
      </c>
      <c r="U9" s="43" t="n">
        <f aca="false">IF(Matrice_OD!T9&lt;=Param!$B$2,3_Huff!T9*3_Huff!T$139*1_Friction!T9,0)</f>
        <v>1.12111863743814E-006</v>
      </c>
      <c r="V9" s="43" t="n">
        <f aca="false">IF(Matrice_OD!U9&lt;=Param!$B$2,3_Huff!U9*3_Huff!U$139*1_Friction!U9,0)</f>
        <v>1.75880052187173E-006</v>
      </c>
      <c r="W9" s="43" t="n">
        <f aca="false">IF(Matrice_OD!V9&lt;=Param!$B$2,3_Huff!V9*3_Huff!V$139*1_Friction!V9,0)</f>
        <v>5.49913172494321E-007</v>
      </c>
      <c r="X9" s="43" t="n">
        <f aca="false">IF(Matrice_OD!W9&lt;=Param!$B$2,3_Huff!W9*3_Huff!W$139*1_Friction!W9,0)</f>
        <v>1.43148969750702E-007</v>
      </c>
      <c r="Y9" s="43" t="n">
        <f aca="false">IF(Matrice_OD!X9&lt;=Param!$B$2,3_Huff!X9*3_Huff!X$139*1_Friction!X9,0)</f>
        <v>2.34961847293042E-007</v>
      </c>
      <c r="Z9" s="43" t="n">
        <f aca="false">IF(Matrice_OD!Y9&lt;=Param!$B$2,3_Huff!Y9*3_Huff!Y$139*1_Friction!Y9,0)</f>
        <v>1.57014511119708E-007</v>
      </c>
      <c r="AA9" s="43" t="n">
        <f aca="false">IF(Matrice_OD!Z9&lt;=Param!$B$2,3_Huff!Z9*3_Huff!Z$139*1_Friction!Z9,0)</f>
        <v>3.79985224240009E-007</v>
      </c>
      <c r="AB9" s="43" t="n">
        <f aca="false">IF(Matrice_OD!AA9&lt;=Param!$B$2,3_Huff!AA9*3_Huff!AA$139*1_Friction!AA9,0)</f>
        <v>8.22737591477738E-007</v>
      </c>
      <c r="AC9" s="43" t="n">
        <f aca="false">IF(Matrice_OD!AB9&lt;=Param!$B$2,3_Huff!AB9*3_Huff!AB$139*1_Friction!AB9,0)</f>
        <v>4.44869833289344E-007</v>
      </c>
      <c r="AD9" s="43" t="n">
        <f aca="false">IF(Matrice_OD!AC9&lt;=Param!$B$2,3_Huff!AC9*3_Huff!AC$139*1_Friction!AC9,0)</f>
        <v>0</v>
      </c>
      <c r="AE9" s="43" t="n">
        <f aca="false">IF(Matrice_OD!AD9&lt;=Param!$B$2,3_Huff!AD9*3_Huff!AD$139*1_Friction!AD9,0)</f>
        <v>0</v>
      </c>
      <c r="AF9" s="43" t="n">
        <f aca="false">IF(Matrice_OD!AE9&lt;=Param!$B$2,3_Huff!AE9*3_Huff!AE$139*1_Friction!AE9,0)</f>
        <v>0</v>
      </c>
      <c r="AG9" s="43" t="n">
        <f aca="false">IF(Matrice_OD!AF9&lt;=Param!$B$2,3_Huff!AF9*3_Huff!AF$139*1_Friction!AF9,0)</f>
        <v>0</v>
      </c>
      <c r="AH9" s="43" t="n">
        <f aca="false">IF(Matrice_OD!AG9&lt;=Param!$B$2,3_Huff!AG9*3_Huff!AG$139*1_Friction!AG9,0)</f>
        <v>0</v>
      </c>
      <c r="AI9" s="43" t="n">
        <f aca="false">IF(Matrice_OD!AH9&lt;=Param!$B$2,3_Huff!AH9*3_Huff!AH$139*1_Friction!AH9,0)</f>
        <v>3.51115411668196E-005</v>
      </c>
      <c r="AJ9" s="43" t="n">
        <f aca="false">IF(Matrice_OD!AI9&lt;=Param!$B$2,3_Huff!AI9*3_Huff!AI$139*1_Friction!AI9,0)</f>
        <v>4.72203377928935E-007</v>
      </c>
      <c r="AK9" s="43" t="n">
        <f aca="false">IF(Matrice_OD!AJ9&lt;=Param!$B$2,3_Huff!AJ9*3_Huff!AJ$139*1_Friction!AJ9,0)</f>
        <v>3.20446587748606E-007</v>
      </c>
      <c r="AL9" s="43" t="n">
        <f aca="false">IF(Matrice_OD!AK9&lt;=Param!$B$2,3_Huff!AK9*3_Huff!AK$139*1_Friction!AK9,0)</f>
        <v>0</v>
      </c>
      <c r="AM9" s="0" t="n">
        <f aca="false">IF(Matrice_OD!AL9&lt;=Param!$B$2,3_Huff!AL9*3_Huff!AL$139*1_Friction!AL9,0)</f>
        <v>0</v>
      </c>
      <c r="AN9" s="0" t="n">
        <f aca="false">IF(Matrice_OD!AM9&lt;=Param!$B$2,3_Huff!AM9*3_Huff!AM$139*1_Friction!AM9,0)</f>
        <v>1.13241295714758E-006</v>
      </c>
      <c r="AO9" s="0" t="n">
        <f aca="false">IF(Matrice_OD!AN9&lt;=Param!$B$2,3_Huff!AN9*3_Huff!AN$139*1_Friction!AN9,0)</f>
        <v>0</v>
      </c>
      <c r="AP9" s="49" t="n">
        <f aca="false">SUM(D9:AO9)</f>
        <v>0.000451353846082086</v>
      </c>
      <c r="AQ9" s="43" t="n">
        <f aca="false">AP9*1000</f>
        <v>0.451353846082086</v>
      </c>
      <c r="AR9" s="43" t="n">
        <f aca="false">RANK(AP9,AP$2:AP$136,0)</f>
        <v>13</v>
      </c>
      <c r="AS9" s="43" t="n">
        <f aca="false">COUNTIF(Matrice_OD!$C9:$AN9,"&lt;="&amp;Param!$B$2)</f>
        <v>30</v>
      </c>
    </row>
    <row r="10" customFormat="false" ht="15" hidden="false" customHeight="true" outlineLevel="0" collapsed="false">
      <c r="A10" s="0" t="s">
        <v>118</v>
      </c>
      <c r="B10" s="0" t="s">
        <v>119</v>
      </c>
      <c r="C10" s="0" t="n">
        <f aca="false">Demande!C10</f>
        <v>20455</v>
      </c>
      <c r="D10" s="43" t="n">
        <f aca="false">IF(Matrice_OD!C10&lt;=Param!$B$2,3_Huff!C10*3_Huff!C$139*1_Friction!C10,0)</f>
        <v>1.74546767666888E-006</v>
      </c>
      <c r="E10" s="43" t="n">
        <f aca="false">IF(Matrice_OD!D10&lt;=Param!$B$2,3_Huff!D10*3_Huff!D$139*1_Friction!D10,0)</f>
        <v>7.08151233251922E-006</v>
      </c>
      <c r="F10" s="43" t="n">
        <f aca="false">IF(Matrice_OD!E10&lt;=Param!$B$2,3_Huff!E10*3_Huff!E$139*1_Friction!E10,0)</f>
        <v>7.80412769227908E-005</v>
      </c>
      <c r="G10" s="43" t="n">
        <f aca="false">IF(Matrice_OD!F10&lt;=Param!$B$2,3_Huff!F10*3_Huff!F$139*1_Friction!F10,0)</f>
        <v>1.40698123135824E-005</v>
      </c>
      <c r="H10" s="43" t="n">
        <f aca="false">IF(Matrice_OD!G10&lt;=Param!$B$2,3_Huff!G10*3_Huff!G$139*1_Friction!G10,0)</f>
        <v>3.97127019993149E-005</v>
      </c>
      <c r="I10" s="43" t="n">
        <f aca="false">IF(Matrice_OD!H10&lt;=Param!$B$2,3_Huff!H10*3_Huff!H$139*1_Friction!H10,0)</f>
        <v>9.51025727504244E-006</v>
      </c>
      <c r="J10" s="43" t="n">
        <f aca="false">IF(Matrice_OD!I10&lt;=Param!$B$2,3_Huff!I10*3_Huff!I$139*1_Friction!I10,0)</f>
        <v>2.12048158183539E-005</v>
      </c>
      <c r="K10" s="43" t="n">
        <f aca="false">IF(Matrice_OD!J10&lt;=Param!$B$2,3_Huff!J10*3_Huff!J$139*1_Friction!J10,0)</f>
        <v>1.70957701408728E-005</v>
      </c>
      <c r="L10" s="43" t="n">
        <f aca="false">IF(Matrice_OD!K10&lt;=Param!$B$2,3_Huff!K10*3_Huff!K$139*1_Friction!K10,0)</f>
        <v>1.07938231985254E-005</v>
      </c>
      <c r="M10" s="43" t="n">
        <f aca="false">IF(Matrice_OD!L10&lt;=Param!$B$2,3_Huff!L10*3_Huff!L$139*1_Friction!L10,0)</f>
        <v>1.06675188207817E-005</v>
      </c>
      <c r="N10" s="43" t="n">
        <f aca="false">IF(Matrice_OD!M10&lt;=Param!$B$2,3_Huff!M10*3_Huff!M$139*1_Friction!M10,0)</f>
        <v>5.74419519461008E-005</v>
      </c>
      <c r="O10" s="43" t="n">
        <f aca="false">IF(Matrice_OD!N10&lt;=Param!$B$2,3_Huff!N10*3_Huff!N$139*1_Friction!N10,0)</f>
        <v>7.97064281483537E-006</v>
      </c>
      <c r="P10" s="43" t="n">
        <f aca="false">IF(Matrice_OD!O10&lt;=Param!$B$2,3_Huff!O10*3_Huff!O$139*1_Friction!O10,0)</f>
        <v>2.50330977362788E-005</v>
      </c>
      <c r="Q10" s="43" t="n">
        <f aca="false">IF(Matrice_OD!P10&lt;=Param!$B$2,3_Huff!P10*3_Huff!P$139*1_Friction!P10,0)</f>
        <v>1.20581907684331E-005</v>
      </c>
      <c r="R10" s="43" t="n">
        <f aca="false">IF(Matrice_OD!Q10&lt;=Param!$B$2,3_Huff!Q10*3_Huff!Q$139*1_Friction!Q10,0)</f>
        <v>0.000105689440358546</v>
      </c>
      <c r="S10" s="43" t="n">
        <f aca="false">IF(Matrice_OD!R10&lt;=Param!$B$2,3_Huff!R10*3_Huff!R$139*1_Friction!R10,0)</f>
        <v>1.41577631194525E-005</v>
      </c>
      <c r="T10" s="43" t="n">
        <f aca="false">IF(Matrice_OD!S10&lt;=Param!$B$2,3_Huff!S10*3_Huff!S$139*1_Friction!S10,0)</f>
        <v>1.06892134827347E-005</v>
      </c>
      <c r="U10" s="43" t="n">
        <f aca="false">IF(Matrice_OD!T10&lt;=Param!$B$2,3_Huff!T10*3_Huff!T$139*1_Friction!T10,0)</f>
        <v>4.09389068410224E-006</v>
      </c>
      <c r="V10" s="43" t="n">
        <f aca="false">IF(Matrice_OD!U10&lt;=Param!$B$2,3_Huff!U10*3_Huff!U$139*1_Friction!U10,0)</f>
        <v>2.58265438687503E-007</v>
      </c>
      <c r="W10" s="43" t="n">
        <f aca="false">IF(Matrice_OD!V10&lt;=Param!$B$2,3_Huff!V10*3_Huff!V$139*1_Friction!V10,0)</f>
        <v>1.20114717563928E-006</v>
      </c>
      <c r="X10" s="43" t="n">
        <f aca="false">IF(Matrice_OD!W10&lt;=Param!$B$2,3_Huff!W10*3_Huff!W$139*1_Friction!W10,0)</f>
        <v>1.72308351847676E-007</v>
      </c>
      <c r="Y10" s="43" t="n">
        <f aca="false">IF(Matrice_OD!X10&lt;=Param!$B$2,3_Huff!X10*3_Huff!X$139*1_Friction!X10,0)</f>
        <v>2.25567120374025E-007</v>
      </c>
      <c r="Z10" s="43" t="n">
        <f aca="false">IF(Matrice_OD!Y10&lt;=Param!$B$2,3_Huff!Y10*3_Huff!Y$139*1_Friction!Y10,0)</f>
        <v>1.50509381808485E-007</v>
      </c>
      <c r="AA10" s="43" t="n">
        <f aca="false">IF(Matrice_OD!Z10&lt;=Param!$B$2,3_Huff!Z10*3_Huff!Z$139*1_Friction!Z10,0)</f>
        <v>3.64336090404493E-007</v>
      </c>
      <c r="AB10" s="43" t="n">
        <f aca="false">IF(Matrice_OD!AA10&lt;=Param!$B$2,3_Huff!AA10*3_Huff!AA$139*1_Friction!AA10,0)</f>
        <v>5.83754853390838E-007</v>
      </c>
      <c r="AC10" s="43" t="n">
        <f aca="false">IF(Matrice_OD!AB10&lt;=Param!$B$2,3_Huff!AB10*3_Huff!AB$139*1_Friction!AB10,0)</f>
        <v>2.33951787326274E-007</v>
      </c>
      <c r="AD10" s="43" t="n">
        <f aca="false">IF(Matrice_OD!AC10&lt;=Param!$B$2,3_Huff!AC10*3_Huff!AC$139*1_Friction!AC10,0)</f>
        <v>0</v>
      </c>
      <c r="AE10" s="43" t="n">
        <f aca="false">IF(Matrice_OD!AD10&lt;=Param!$B$2,3_Huff!AD10*3_Huff!AD$139*1_Friction!AD10,0)</f>
        <v>0</v>
      </c>
      <c r="AF10" s="43" t="n">
        <f aca="false">IF(Matrice_OD!AE10&lt;=Param!$B$2,3_Huff!AE10*3_Huff!AE$139*1_Friction!AE10,0)</f>
        <v>0</v>
      </c>
      <c r="AG10" s="43" t="n">
        <f aca="false">IF(Matrice_OD!AF10&lt;=Param!$B$2,3_Huff!AF10*3_Huff!AF$139*1_Friction!AF10,0)</f>
        <v>0</v>
      </c>
      <c r="AH10" s="43" t="n">
        <f aca="false">IF(Matrice_OD!AG10&lt;=Param!$B$2,3_Huff!AG10*3_Huff!AG$139*1_Friction!AG10,0)</f>
        <v>0</v>
      </c>
      <c r="AI10" s="43" t="n">
        <f aca="false">IF(Matrice_OD!AH10&lt;=Param!$B$2,3_Huff!AH10*3_Huff!AH$139*1_Friction!AH10,0)</f>
        <v>3.39138141737238E-005</v>
      </c>
      <c r="AJ10" s="43" t="n">
        <f aca="false">IF(Matrice_OD!AI10&lt;=Param!$B$2,3_Huff!AI10*3_Huff!AI$139*1_Friction!AI10,0)</f>
        <v>1.78307743283703E-006</v>
      </c>
      <c r="AK10" s="43" t="n">
        <f aca="false">IF(Matrice_OD!AJ10&lt;=Param!$B$2,3_Huff!AJ10*3_Huff!AJ$139*1_Friction!AJ10,0)</f>
        <v>3.07396653880887E-007</v>
      </c>
      <c r="AL10" s="43" t="n">
        <f aca="false">IF(Matrice_OD!AK10&lt;=Param!$B$2,3_Huff!AK10*3_Huff!AK$139*1_Friction!AK10,0)</f>
        <v>0</v>
      </c>
      <c r="AM10" s="0" t="n">
        <f aca="false">IF(Matrice_OD!AL10&lt;=Param!$B$2,3_Huff!AL10*3_Huff!AL$139*1_Friction!AL10,0)</f>
        <v>0</v>
      </c>
      <c r="AN10" s="0" t="n">
        <f aca="false">IF(Matrice_OD!AM10&lt;=Param!$B$2,3_Huff!AM10*3_Huff!AM$139*1_Friction!AM10,0)</f>
        <v>4.02100520510029E-006</v>
      </c>
      <c r="AO10" s="0" t="n">
        <f aca="false">IF(Matrice_OD!AN10&lt;=Param!$B$2,3_Huff!AN10*3_Huff!AN$139*1_Friction!AN10,0)</f>
        <v>0</v>
      </c>
      <c r="AP10" s="48" t="n">
        <f aca="false">SUM(D10:AO10)</f>
        <v>0.000490272281073956</v>
      </c>
      <c r="AQ10" s="43" t="n">
        <f aca="false">AP10*1000</f>
        <v>0.490272281073956</v>
      </c>
      <c r="AR10" s="43" t="n">
        <f aca="false">RANK(AP10,AP$2:AP$136,0)</f>
        <v>10</v>
      </c>
      <c r="AS10" s="43" t="n">
        <f aca="false">COUNTIF(Matrice_OD!$C10:$AN10,"&lt;="&amp;Param!$B$2)</f>
        <v>30</v>
      </c>
    </row>
    <row r="11" customFormat="false" ht="15" hidden="false" customHeight="true" outlineLevel="0" collapsed="false">
      <c r="A11" s="0" t="s">
        <v>120</v>
      </c>
      <c r="B11" s="0" t="s">
        <v>121</v>
      </c>
      <c r="C11" s="0" t="n">
        <f aca="false">Demande!C11</f>
        <v>24232</v>
      </c>
      <c r="D11" s="43" t="n">
        <f aca="false">IF(Matrice_OD!C11&lt;=Param!$B$2,3_Huff!C11*3_Huff!C$139*1_Friction!C11,0)</f>
        <v>1.37383537894267E-007</v>
      </c>
      <c r="E11" s="43" t="n">
        <f aca="false">IF(Matrice_OD!D11&lt;=Param!$B$2,3_Huff!D11*3_Huff!D$139*1_Friction!D11,0)</f>
        <v>5.02360025717963E-006</v>
      </c>
      <c r="F11" s="43" t="n">
        <f aca="false">IF(Matrice_OD!E11&lt;=Param!$B$2,3_Huff!E11*3_Huff!E$139*1_Friction!E11,0)</f>
        <v>5.76782784279422E-005</v>
      </c>
      <c r="G11" s="43" t="n">
        <f aca="false">IF(Matrice_OD!F11&lt;=Param!$B$2,3_Huff!F11*3_Huff!F$139*1_Friction!F11,0)</f>
        <v>1.09532348452768E-005</v>
      </c>
      <c r="H11" s="43" t="n">
        <f aca="false">IF(Matrice_OD!G11&lt;=Param!$B$2,3_Huff!G11*3_Huff!G$139*1_Friction!G11,0)</f>
        <v>3.56459058406923E-005</v>
      </c>
      <c r="I11" s="43" t="n">
        <f aca="false">IF(Matrice_OD!H11&lt;=Param!$B$2,3_Huff!H11*3_Huff!H$139*1_Friction!H11,0)</f>
        <v>7.00342065783521E-006</v>
      </c>
      <c r="J11" s="43" t="n">
        <f aca="false">IF(Matrice_OD!I11&lt;=Param!$B$2,3_Huff!I11*3_Huff!I$139*1_Friction!I11,0)</f>
        <v>1.94460971758199E-005</v>
      </c>
      <c r="K11" s="43" t="n">
        <f aca="false">IF(Matrice_OD!J11&lt;=Param!$B$2,3_Huff!J11*3_Huff!J$139*1_Friction!J11,0)</f>
        <v>1.5106608097579E-005</v>
      </c>
      <c r="L11" s="43" t="n">
        <f aca="false">IF(Matrice_OD!K11&lt;=Param!$B$2,3_Huff!K11*3_Huff!K$139*1_Friction!K11,0)</f>
        <v>9.5953965191994E-006</v>
      </c>
      <c r="M11" s="43" t="n">
        <f aca="false">IF(Matrice_OD!L11&lt;=Param!$B$2,3_Huff!L11*3_Huff!L$139*1_Friction!L11,0)</f>
        <v>1.02901442674888E-005</v>
      </c>
      <c r="N11" s="43" t="n">
        <f aca="false">IF(Matrice_OD!M11&lt;=Param!$B$2,3_Huff!M11*3_Huff!M$139*1_Friction!M11,0)</f>
        <v>4.06247953106809E-005</v>
      </c>
      <c r="O11" s="43" t="n">
        <f aca="false">IF(Matrice_OD!N11&lt;=Param!$B$2,3_Huff!N11*3_Huff!N$139*1_Friction!N11,0)</f>
        <v>6.94598534500582E-006</v>
      </c>
      <c r="P11" s="43" t="n">
        <f aca="false">IF(Matrice_OD!O11&lt;=Param!$B$2,3_Huff!O11*3_Huff!O$139*1_Friction!O11,0)</f>
        <v>2.32112388081347E-005</v>
      </c>
      <c r="Q11" s="43" t="n">
        <f aca="false">IF(Matrice_OD!P11&lt;=Param!$B$2,3_Huff!P11*3_Huff!P$139*1_Friction!P11,0)</f>
        <v>1.18042988560524E-005</v>
      </c>
      <c r="R11" s="43" t="n">
        <f aca="false">IF(Matrice_OD!Q11&lt;=Param!$B$2,3_Huff!Q11*3_Huff!Q$139*1_Friction!Q11,0)</f>
        <v>0.000109788338330336</v>
      </c>
      <c r="S11" s="43" t="n">
        <f aca="false">IF(Matrice_OD!R11&lt;=Param!$B$2,3_Huff!R11*3_Huff!R$139*1_Friction!R11,0)</f>
        <v>1.40636986406857E-005</v>
      </c>
      <c r="T11" s="43" t="n">
        <f aca="false">IF(Matrice_OD!S11&lt;=Param!$B$2,3_Huff!S11*3_Huff!S$139*1_Friction!S11,0)</f>
        <v>1.07155949886721E-005</v>
      </c>
      <c r="U11" s="43" t="n">
        <f aca="false">IF(Matrice_OD!T11&lt;=Param!$B$2,3_Huff!T11*3_Huff!T$139*1_Friction!T11,0)</f>
        <v>1.12679024325353E-007</v>
      </c>
      <c r="V11" s="43" t="n">
        <f aca="false">IF(Matrice_OD!U11&lt;=Param!$B$2,3_Huff!U11*3_Huff!U$139*1_Friction!U11,0)</f>
        <v>1.16966933342472E-008</v>
      </c>
      <c r="W11" s="43" t="n">
        <f aca="false">IF(Matrice_OD!V11&lt;=Param!$B$2,3_Huff!V11*3_Huff!V$139*1_Friction!V11,0)</f>
        <v>0</v>
      </c>
      <c r="X11" s="43" t="n">
        <f aca="false">IF(Matrice_OD!W11&lt;=Param!$B$2,3_Huff!W11*3_Huff!W$139*1_Friction!W11,0)</f>
        <v>0</v>
      </c>
      <c r="Y11" s="43" t="n">
        <f aca="false">IF(Matrice_OD!X11&lt;=Param!$B$2,3_Huff!X11*3_Huff!X$139*1_Friction!X11,0)</f>
        <v>0</v>
      </c>
      <c r="Z11" s="43" t="n">
        <f aca="false">IF(Matrice_OD!Y11&lt;=Param!$B$2,3_Huff!Y11*3_Huff!Y$139*1_Friction!Y11,0)</f>
        <v>0</v>
      </c>
      <c r="AA11" s="43" t="n">
        <f aca="false">IF(Matrice_OD!Z11&lt;=Param!$B$2,3_Huff!Z11*3_Huff!Z$139*1_Friction!Z11,0)</f>
        <v>0</v>
      </c>
      <c r="AB11" s="43" t="n">
        <f aca="false">IF(Matrice_OD!AA11&lt;=Param!$B$2,3_Huff!AA11*3_Huff!AA$139*1_Friction!AA11,0)</f>
        <v>0</v>
      </c>
      <c r="AC11" s="43" t="n">
        <f aca="false">IF(Matrice_OD!AB11&lt;=Param!$B$2,3_Huff!AB11*3_Huff!AB$139*1_Friction!AB11,0)</f>
        <v>0</v>
      </c>
      <c r="AD11" s="43" t="n">
        <f aca="false">IF(Matrice_OD!AC11&lt;=Param!$B$2,3_Huff!AC11*3_Huff!AC$139*1_Friction!AC11,0)</f>
        <v>0</v>
      </c>
      <c r="AE11" s="43" t="n">
        <f aca="false">IF(Matrice_OD!AD11&lt;=Param!$B$2,3_Huff!AD11*3_Huff!AD$139*1_Friction!AD11,0)</f>
        <v>0</v>
      </c>
      <c r="AF11" s="43" t="n">
        <f aca="false">IF(Matrice_OD!AE11&lt;=Param!$B$2,3_Huff!AE11*3_Huff!AE$139*1_Friction!AE11,0)</f>
        <v>0</v>
      </c>
      <c r="AG11" s="43" t="n">
        <f aca="false">IF(Matrice_OD!AF11&lt;=Param!$B$2,3_Huff!AF11*3_Huff!AF$139*1_Friction!AF11,0)</f>
        <v>0</v>
      </c>
      <c r="AH11" s="43" t="n">
        <f aca="false">IF(Matrice_OD!AG11&lt;=Param!$B$2,3_Huff!AG11*3_Huff!AG$139*1_Friction!AG11,0)</f>
        <v>0</v>
      </c>
      <c r="AI11" s="43" t="n">
        <f aca="false">IF(Matrice_OD!AH11&lt;=Param!$B$2,3_Huff!AH11*3_Huff!AH$139*1_Friction!AH11,0)</f>
        <v>3.66553314714998E-005</v>
      </c>
      <c r="AJ11" s="43" t="n">
        <f aca="false">IF(Matrice_OD!AI11&lt;=Param!$B$2,3_Huff!AI11*3_Huff!AI$139*1_Friction!AI11,0)</f>
        <v>5.23424595216894E-008</v>
      </c>
      <c r="AK11" s="43" t="n">
        <f aca="false">IF(Matrice_OD!AJ11&lt;=Param!$B$2,3_Huff!AJ11*3_Huff!AJ$139*1_Friction!AJ11,0)</f>
        <v>0</v>
      </c>
      <c r="AL11" s="43" t="n">
        <f aca="false">IF(Matrice_OD!AK11&lt;=Param!$B$2,3_Huff!AK11*3_Huff!AK$139*1_Friction!AK11,0)</f>
        <v>0</v>
      </c>
      <c r="AM11" s="0" t="n">
        <f aca="false">IF(Matrice_OD!AL11&lt;=Param!$B$2,3_Huff!AL11*3_Huff!AL$139*1_Friction!AL11,0)</f>
        <v>0</v>
      </c>
      <c r="AN11" s="0" t="n">
        <f aca="false">IF(Matrice_OD!AM11&lt;=Param!$B$2,3_Huff!AM11*3_Huff!AM$139*1_Friction!AM11,0)</f>
        <v>4.21547921924335E-007</v>
      </c>
      <c r="AO11" s="0" t="n">
        <f aca="false">IF(Matrice_OD!AN11&lt;=Param!$B$2,3_Huff!AN11*3_Huff!AN$139*1_Friction!AN11,0)</f>
        <v>0</v>
      </c>
      <c r="AP11" s="49" t="n">
        <f aca="false">SUM(D11:AO11)</f>
        <v>0.00042528761747708</v>
      </c>
      <c r="AQ11" s="43" t="n">
        <f aca="false">AP11*1000</f>
        <v>0.42528761747708</v>
      </c>
      <c r="AR11" s="43" t="n">
        <f aca="false">RANK(AP11,AP$2:AP$136,0)</f>
        <v>14</v>
      </c>
      <c r="AS11" s="43" t="n">
        <f aca="false">COUNTIF(Matrice_OD!$C11:$AN11,"&lt;="&amp;Param!$B$2)</f>
        <v>22</v>
      </c>
    </row>
    <row r="12" customFormat="false" ht="15" hidden="false" customHeight="true" outlineLevel="0" collapsed="false">
      <c r="A12" s="0" t="s">
        <v>122</v>
      </c>
      <c r="B12" s="0" t="s">
        <v>123</v>
      </c>
      <c r="C12" s="0" t="n">
        <f aca="false">Demande!C12</f>
        <v>5389</v>
      </c>
      <c r="D12" s="43" t="n">
        <f aca="false">IF(Matrice_OD!C12&lt;=Param!$B$2,3_Huff!C12*3_Huff!C$139*1_Friction!C12,0)</f>
        <v>0</v>
      </c>
      <c r="E12" s="43" t="n">
        <f aca="false">IF(Matrice_OD!D12&lt;=Param!$B$2,3_Huff!D12*3_Huff!D$139*1_Friction!D12,0)</f>
        <v>0</v>
      </c>
      <c r="F12" s="43" t="n">
        <f aca="false">IF(Matrice_OD!E12&lt;=Param!$B$2,3_Huff!E12*3_Huff!E$139*1_Friction!E12,0)</f>
        <v>0</v>
      </c>
      <c r="G12" s="43" t="n">
        <f aca="false">IF(Matrice_OD!F12&lt;=Param!$B$2,3_Huff!F12*3_Huff!F$139*1_Friction!F12,0)</f>
        <v>0</v>
      </c>
      <c r="H12" s="43" t="n">
        <f aca="false">IF(Matrice_OD!G12&lt;=Param!$B$2,3_Huff!G12*3_Huff!G$139*1_Friction!G12,0)</f>
        <v>0</v>
      </c>
      <c r="I12" s="43" t="n">
        <f aca="false">IF(Matrice_OD!H12&lt;=Param!$B$2,3_Huff!H12*3_Huff!H$139*1_Friction!H12,0)</f>
        <v>0</v>
      </c>
      <c r="J12" s="43" t="n">
        <f aca="false">IF(Matrice_OD!I12&lt;=Param!$B$2,3_Huff!I12*3_Huff!I$139*1_Friction!I12,0)</f>
        <v>0</v>
      </c>
      <c r="K12" s="43" t="n">
        <f aca="false">IF(Matrice_OD!J12&lt;=Param!$B$2,3_Huff!J12*3_Huff!J$139*1_Friction!J12,0)</f>
        <v>0</v>
      </c>
      <c r="L12" s="43" t="n">
        <f aca="false">IF(Matrice_OD!K12&lt;=Param!$B$2,3_Huff!K12*3_Huff!K$139*1_Friction!K12,0)</f>
        <v>0</v>
      </c>
      <c r="M12" s="43" t="n">
        <f aca="false">IF(Matrice_OD!L12&lt;=Param!$B$2,3_Huff!L12*3_Huff!L$139*1_Friction!L12,0)</f>
        <v>0</v>
      </c>
      <c r="N12" s="43" t="n">
        <f aca="false">IF(Matrice_OD!M12&lt;=Param!$B$2,3_Huff!M12*3_Huff!M$139*1_Friction!M12,0)</f>
        <v>0</v>
      </c>
      <c r="O12" s="43" t="n">
        <f aca="false">IF(Matrice_OD!N12&lt;=Param!$B$2,3_Huff!N12*3_Huff!N$139*1_Friction!N12,0)</f>
        <v>0</v>
      </c>
      <c r="P12" s="43" t="n">
        <f aca="false">IF(Matrice_OD!O12&lt;=Param!$B$2,3_Huff!O12*3_Huff!O$139*1_Friction!O12,0)</f>
        <v>0</v>
      </c>
      <c r="Q12" s="43" t="n">
        <f aca="false">IF(Matrice_OD!P12&lt;=Param!$B$2,3_Huff!P12*3_Huff!P$139*1_Friction!P12,0)</f>
        <v>0</v>
      </c>
      <c r="R12" s="43" t="n">
        <f aca="false">IF(Matrice_OD!Q12&lt;=Param!$B$2,3_Huff!Q12*3_Huff!Q$139*1_Friction!Q12,0)</f>
        <v>0</v>
      </c>
      <c r="S12" s="43" t="n">
        <f aca="false">IF(Matrice_OD!R12&lt;=Param!$B$2,3_Huff!R12*3_Huff!R$139*1_Friction!R12,0)</f>
        <v>0</v>
      </c>
      <c r="T12" s="43" t="n">
        <f aca="false">IF(Matrice_OD!S12&lt;=Param!$B$2,3_Huff!S12*3_Huff!S$139*1_Friction!S12,0)</f>
        <v>0</v>
      </c>
      <c r="U12" s="43" t="n">
        <f aca="false">IF(Matrice_OD!T12&lt;=Param!$B$2,3_Huff!T12*3_Huff!T$139*1_Friction!T12,0)</f>
        <v>0</v>
      </c>
      <c r="V12" s="43" t="n">
        <f aca="false">IF(Matrice_OD!U12&lt;=Param!$B$2,3_Huff!U12*3_Huff!U$139*1_Friction!U12,0)</f>
        <v>0</v>
      </c>
      <c r="W12" s="43" t="n">
        <f aca="false">IF(Matrice_OD!V12&lt;=Param!$B$2,3_Huff!V12*3_Huff!V$139*1_Friction!V12,0)</f>
        <v>0</v>
      </c>
      <c r="X12" s="43" t="n">
        <f aca="false">IF(Matrice_OD!W12&lt;=Param!$B$2,3_Huff!W12*3_Huff!W$139*1_Friction!W12,0)</f>
        <v>0</v>
      </c>
      <c r="Y12" s="43" t="n">
        <f aca="false">IF(Matrice_OD!X12&lt;=Param!$B$2,3_Huff!X12*3_Huff!X$139*1_Friction!X12,0)</f>
        <v>0</v>
      </c>
      <c r="Z12" s="43" t="n">
        <f aca="false">IF(Matrice_OD!Y12&lt;=Param!$B$2,3_Huff!Y12*3_Huff!Y$139*1_Friction!Y12,0)</f>
        <v>0</v>
      </c>
      <c r="AA12" s="43" t="n">
        <f aca="false">IF(Matrice_OD!Z12&lt;=Param!$B$2,3_Huff!Z12*3_Huff!Z$139*1_Friction!Z12,0)</f>
        <v>0</v>
      </c>
      <c r="AB12" s="43" t="n">
        <f aca="false">IF(Matrice_OD!AA12&lt;=Param!$B$2,3_Huff!AA12*3_Huff!AA$139*1_Friction!AA12,0)</f>
        <v>0</v>
      </c>
      <c r="AC12" s="43" t="n">
        <f aca="false">IF(Matrice_OD!AB12&lt;=Param!$B$2,3_Huff!AB12*3_Huff!AB$139*1_Friction!AB12,0)</f>
        <v>0</v>
      </c>
      <c r="AD12" s="43" t="n">
        <f aca="false">IF(Matrice_OD!AC12&lt;=Param!$B$2,3_Huff!AC12*3_Huff!AC$139*1_Friction!AC12,0)</f>
        <v>0</v>
      </c>
      <c r="AE12" s="43" t="n">
        <f aca="false">IF(Matrice_OD!AD12&lt;=Param!$B$2,3_Huff!AD12*3_Huff!AD$139*1_Friction!AD12,0)</f>
        <v>0</v>
      </c>
      <c r="AF12" s="43" t="n">
        <f aca="false">IF(Matrice_OD!AE12&lt;=Param!$B$2,3_Huff!AE12*3_Huff!AE$139*1_Friction!AE12,0)</f>
        <v>0</v>
      </c>
      <c r="AG12" s="43" t="n">
        <f aca="false">IF(Matrice_OD!AF12&lt;=Param!$B$2,3_Huff!AF12*3_Huff!AF$139*1_Friction!AF12,0)</f>
        <v>0</v>
      </c>
      <c r="AH12" s="43" t="n">
        <f aca="false">IF(Matrice_OD!AG12&lt;=Param!$B$2,3_Huff!AG12*3_Huff!AG$139*1_Friction!AG12,0)</f>
        <v>0</v>
      </c>
      <c r="AI12" s="43" t="n">
        <f aca="false">IF(Matrice_OD!AH12&lt;=Param!$B$2,3_Huff!AH12*3_Huff!AH$139*1_Friction!AH12,0)</f>
        <v>0</v>
      </c>
      <c r="AJ12" s="43" t="n">
        <f aca="false">IF(Matrice_OD!AI12&lt;=Param!$B$2,3_Huff!AI12*3_Huff!AI$139*1_Friction!AI12,0)</f>
        <v>0</v>
      </c>
      <c r="AK12" s="43" t="n">
        <f aca="false">IF(Matrice_OD!AJ12&lt;=Param!$B$2,3_Huff!AJ12*3_Huff!AJ$139*1_Friction!AJ12,0)</f>
        <v>0</v>
      </c>
      <c r="AL12" s="43" t="n">
        <f aca="false">IF(Matrice_OD!AK12&lt;=Param!$B$2,3_Huff!AK12*3_Huff!AK$139*1_Friction!AK12,0)</f>
        <v>0</v>
      </c>
      <c r="AM12" s="0" t="n">
        <f aca="false">IF(Matrice_OD!AL12&lt;=Param!$B$2,3_Huff!AL12*3_Huff!AL$139*1_Friction!AL12,0)</f>
        <v>0</v>
      </c>
      <c r="AN12" s="0" t="n">
        <f aca="false">IF(Matrice_OD!AM12&lt;=Param!$B$2,3_Huff!AM12*3_Huff!AM$139*1_Friction!AM12,0)</f>
        <v>0</v>
      </c>
      <c r="AO12" s="0" t="n">
        <f aca="false">IF(Matrice_OD!AN12&lt;=Param!$B$2,3_Huff!AN12*3_Huff!AN$139*1_Friction!AN12,0)</f>
        <v>0</v>
      </c>
      <c r="AP12" s="48" t="n">
        <f aca="false">SUM(D12:AO12)</f>
        <v>0</v>
      </c>
      <c r="AQ12" s="43" t="n">
        <f aca="false">AP12*1000</f>
        <v>0</v>
      </c>
      <c r="AR12" s="43" t="n">
        <f aca="false">RANK(AP12,AP$2:AP$136,0)</f>
        <v>123</v>
      </c>
      <c r="AS12" s="43" t="n">
        <f aca="false">COUNTIF(Matrice_OD!$C12:$AN12,"&lt;="&amp;Param!$B$2)</f>
        <v>0</v>
      </c>
    </row>
    <row r="13" customFormat="false" ht="15" hidden="false" customHeight="true" outlineLevel="0" collapsed="false">
      <c r="A13" s="0" t="s">
        <v>124</v>
      </c>
      <c r="B13" s="0" t="s">
        <v>125</v>
      </c>
      <c r="C13" s="0" t="n">
        <f aca="false">Demande!C13</f>
        <v>25851</v>
      </c>
      <c r="D13" s="43" t="n">
        <f aca="false">IF(Matrice_OD!C13&lt;=Param!$B$2,3_Huff!C13*3_Huff!C$139*1_Friction!C13,0)</f>
        <v>6.0819902963092E-009</v>
      </c>
      <c r="E13" s="43" t="n">
        <f aca="false">IF(Matrice_OD!D13&lt;=Param!$B$2,3_Huff!D13*3_Huff!D$139*1_Friction!D13,0)</f>
        <v>1.01011539385229E-006</v>
      </c>
      <c r="F13" s="43" t="n">
        <f aca="false">IF(Matrice_OD!E13&lt;=Param!$B$2,3_Huff!E13*3_Huff!E$139*1_Friction!E13,0)</f>
        <v>1.20534361453195E-005</v>
      </c>
      <c r="G13" s="43" t="n">
        <f aca="false">IF(Matrice_OD!F13&lt;=Param!$B$2,3_Huff!F13*3_Huff!F$139*1_Friction!F13,0)</f>
        <v>2.23347695367276E-006</v>
      </c>
      <c r="H13" s="43" t="n">
        <f aca="false">IF(Matrice_OD!G13&lt;=Param!$B$2,3_Huff!G13*3_Huff!G$139*1_Friction!G13,0)</f>
        <v>6.24310562033291E-006</v>
      </c>
      <c r="I13" s="43" t="n">
        <f aca="false">IF(Matrice_OD!H13&lt;=Param!$B$2,3_Huff!H13*3_Huff!H$139*1_Friction!H13,0)</f>
        <v>1.84399612923955E-006</v>
      </c>
      <c r="J13" s="43" t="n">
        <f aca="false">IF(Matrice_OD!I13&lt;=Param!$B$2,3_Huff!I13*3_Huff!I$139*1_Friction!I13,0)</f>
        <v>4.22274000511242E-006</v>
      </c>
      <c r="K13" s="43" t="n">
        <f aca="false">IF(Matrice_OD!J13&lt;=Param!$B$2,3_Huff!J13*3_Huff!J$139*1_Friction!J13,0)</f>
        <v>3.1581395963114E-006</v>
      </c>
      <c r="L13" s="43" t="n">
        <f aca="false">IF(Matrice_OD!K13&lt;=Param!$B$2,3_Huff!K13*3_Huff!K$139*1_Friction!K13,0)</f>
        <v>1.82861383965347E-006</v>
      </c>
      <c r="M13" s="43" t="n">
        <f aca="false">IF(Matrice_OD!L13&lt;=Param!$B$2,3_Huff!L13*3_Huff!L$139*1_Friction!L13,0)</f>
        <v>2.12849405252962E-006</v>
      </c>
      <c r="N13" s="43" t="n">
        <f aca="false">IF(Matrice_OD!M13&lt;=Param!$B$2,3_Huff!M13*3_Huff!M$139*1_Friction!M13,0)</f>
        <v>1.29398436062233E-005</v>
      </c>
      <c r="O13" s="43" t="n">
        <f aca="false">IF(Matrice_OD!N13&lt;=Param!$B$2,3_Huff!N13*3_Huff!N$139*1_Friction!N13,0)</f>
        <v>1.4863189009196E-006</v>
      </c>
      <c r="P13" s="43" t="n">
        <f aca="false">IF(Matrice_OD!O13&lt;=Param!$B$2,3_Huff!O13*3_Huff!O$139*1_Friction!O13,0)</f>
        <v>4.80650879885154E-006</v>
      </c>
      <c r="Q13" s="43" t="n">
        <f aca="false">IF(Matrice_OD!P13&lt;=Param!$B$2,3_Huff!P13*3_Huff!P$139*1_Friction!P13,0)</f>
        <v>2.4354536288811E-006</v>
      </c>
      <c r="R13" s="43" t="n">
        <f aca="false">IF(Matrice_OD!Q13&lt;=Param!$B$2,3_Huff!Q13*3_Huff!Q$139*1_Friction!Q13,0)</f>
        <v>2.18760356020753E-005</v>
      </c>
      <c r="S13" s="43" t="n">
        <f aca="false">IF(Matrice_OD!R13&lt;=Param!$B$2,3_Huff!R13*3_Huff!R$139*1_Friction!R13,0)</f>
        <v>2.86835858099666E-006</v>
      </c>
      <c r="T13" s="43" t="n">
        <f aca="false">IF(Matrice_OD!S13&lt;=Param!$B$2,3_Huff!S13*3_Huff!S$139*1_Friction!S13,0)</f>
        <v>2.02551938389123E-006</v>
      </c>
      <c r="U13" s="43" t="n">
        <f aca="false">IF(Matrice_OD!T13&lt;=Param!$B$2,3_Huff!T13*3_Huff!T$139*1_Friction!T13,0)</f>
        <v>3.05862826250412E-007</v>
      </c>
      <c r="V13" s="43" t="n">
        <f aca="false">IF(Matrice_OD!U13&lt;=Param!$B$2,3_Huff!U13*3_Huff!U$139*1_Friction!U13,0)</f>
        <v>3.73992736367633E-007</v>
      </c>
      <c r="W13" s="43" t="n">
        <f aca="false">IF(Matrice_OD!V13&lt;=Param!$B$2,3_Huff!V13*3_Huff!V$139*1_Friction!V13,0)</f>
        <v>0</v>
      </c>
      <c r="X13" s="43" t="n">
        <f aca="false">IF(Matrice_OD!W13&lt;=Param!$B$2,3_Huff!W13*3_Huff!W$139*1_Friction!W13,0)</f>
        <v>0</v>
      </c>
      <c r="Y13" s="43" t="n">
        <f aca="false">IF(Matrice_OD!X13&lt;=Param!$B$2,3_Huff!X13*3_Huff!X$139*1_Friction!X13,0)</f>
        <v>0</v>
      </c>
      <c r="Z13" s="43" t="n">
        <f aca="false">IF(Matrice_OD!Y13&lt;=Param!$B$2,3_Huff!Y13*3_Huff!Y$139*1_Friction!Y13,0)</f>
        <v>0</v>
      </c>
      <c r="AA13" s="43" t="n">
        <f aca="false">IF(Matrice_OD!Z13&lt;=Param!$B$2,3_Huff!Z13*3_Huff!Z$139*1_Friction!Z13,0)</f>
        <v>0</v>
      </c>
      <c r="AB13" s="43" t="n">
        <f aca="false">IF(Matrice_OD!AA13&lt;=Param!$B$2,3_Huff!AA13*3_Huff!AA$139*1_Friction!AA13,0)</f>
        <v>0</v>
      </c>
      <c r="AC13" s="43" t="n">
        <f aca="false">IF(Matrice_OD!AB13&lt;=Param!$B$2,3_Huff!AB13*3_Huff!AB$139*1_Friction!AB13,0)</f>
        <v>0</v>
      </c>
      <c r="AD13" s="43" t="n">
        <f aca="false">IF(Matrice_OD!AC13&lt;=Param!$B$2,3_Huff!AC13*3_Huff!AC$139*1_Friction!AC13,0)</f>
        <v>5.72058146958602E-009</v>
      </c>
      <c r="AE13" s="43" t="n">
        <f aca="false">IF(Matrice_OD!AD13&lt;=Param!$B$2,3_Huff!AD13*3_Huff!AD$139*1_Friction!AD13,0)</f>
        <v>2.63720213958882E-008</v>
      </c>
      <c r="AF13" s="43" t="n">
        <f aca="false">IF(Matrice_OD!AE13&lt;=Param!$B$2,3_Huff!AE13*3_Huff!AE$139*1_Friction!AE13,0)</f>
        <v>1.37242274224922E-008</v>
      </c>
      <c r="AG13" s="43" t="n">
        <f aca="false">IF(Matrice_OD!AF13&lt;=Param!$B$2,3_Huff!AF13*3_Huff!AF$139*1_Friction!AF13,0)</f>
        <v>9.06768622597832E-009</v>
      </c>
      <c r="AH13" s="43" t="n">
        <f aca="false">IF(Matrice_OD!AG13&lt;=Param!$B$2,3_Huff!AG13*3_Huff!AG$139*1_Friction!AG13,0)</f>
        <v>0</v>
      </c>
      <c r="AI13" s="43" t="n">
        <f aca="false">IF(Matrice_OD!AH13&lt;=Param!$B$2,3_Huff!AH13*3_Huff!AH$139*1_Friction!AH13,0)</f>
        <v>8.02277244553284E-006</v>
      </c>
      <c r="AJ13" s="43" t="n">
        <f aca="false">IF(Matrice_OD!AI13&lt;=Param!$B$2,3_Huff!AI13*3_Huff!AI$139*1_Friction!AI13,0)</f>
        <v>1.22647690548437E-007</v>
      </c>
      <c r="AK13" s="43" t="n">
        <f aca="false">IF(Matrice_OD!AJ13&lt;=Param!$B$2,3_Huff!AJ13*3_Huff!AJ$139*1_Friction!AJ13,0)</f>
        <v>0</v>
      </c>
      <c r="AL13" s="43" t="n">
        <f aca="false">IF(Matrice_OD!AK13&lt;=Param!$B$2,3_Huff!AK13*3_Huff!AK$139*1_Friction!AK13,0)</f>
        <v>1.46087984404885E-008</v>
      </c>
      <c r="AM13" s="0" t="n">
        <f aca="false">IF(Matrice_OD!AL13&lt;=Param!$B$2,3_Huff!AL13*3_Huff!AL$139*1_Friction!AL13,0)</f>
        <v>4.58587362405951E-008</v>
      </c>
      <c r="AN13" s="0" t="n">
        <f aca="false">IF(Matrice_OD!AM13&lt;=Param!$B$2,3_Huff!AM13*3_Huff!AM$139*1_Friction!AM13,0)</f>
        <v>0</v>
      </c>
      <c r="AO13" s="0" t="n">
        <f aca="false">IF(Matrice_OD!AN13&lt;=Param!$B$2,3_Huff!AN13*3_Huff!AN$139*1_Friction!AN13,0)</f>
        <v>0</v>
      </c>
      <c r="AP13" s="49" t="n">
        <f aca="false">SUM(D13:AO13)</f>
        <v>9.21068659780533E-005</v>
      </c>
      <c r="AQ13" s="43" t="n">
        <f aca="false">AP13*1000</f>
        <v>0.0921068659780533</v>
      </c>
      <c r="AR13" s="43" t="n">
        <f aca="false">RANK(AP13,AP$2:AP$136,0)</f>
        <v>73</v>
      </c>
      <c r="AS13" s="43" t="n">
        <f aca="false">COUNTIF(Matrice_OD!$C13:$AN13,"&lt;="&amp;Param!$B$2)</f>
        <v>27</v>
      </c>
    </row>
    <row r="14" customFormat="false" ht="15" hidden="false" customHeight="true" outlineLevel="0" collapsed="false">
      <c r="A14" s="0" t="s">
        <v>126</v>
      </c>
      <c r="B14" s="0" t="s">
        <v>127</v>
      </c>
      <c r="C14" s="0" t="n">
        <f aca="false">Demande!C14</f>
        <v>13773</v>
      </c>
      <c r="D14" s="43" t="n">
        <f aca="false">IF(Matrice_OD!C14&lt;=Param!$B$2,3_Huff!C14*3_Huff!C$139*1_Friction!C14,0)</f>
        <v>0</v>
      </c>
      <c r="E14" s="43" t="n">
        <f aca="false">IF(Matrice_OD!D14&lt;=Param!$B$2,3_Huff!D14*3_Huff!D$139*1_Friction!D14,0)</f>
        <v>8.76578947650423E-007</v>
      </c>
      <c r="F14" s="43" t="n">
        <f aca="false">IF(Matrice_OD!E14&lt;=Param!$B$2,3_Huff!E14*3_Huff!E$139*1_Friction!E14,0)</f>
        <v>1.04788311867453E-005</v>
      </c>
      <c r="G14" s="43" t="n">
        <f aca="false">IF(Matrice_OD!F14&lt;=Param!$B$2,3_Huff!F14*3_Huff!F$139*1_Friction!F14,0)</f>
        <v>1.94496346598635E-006</v>
      </c>
      <c r="H14" s="43" t="n">
        <f aca="false">IF(Matrice_OD!G14&lt;=Param!$B$2,3_Huff!G14*3_Huff!G$139*1_Friction!G14,0)</f>
        <v>5.43440174750752E-006</v>
      </c>
      <c r="I14" s="43" t="n">
        <f aca="false">IF(Matrice_OD!H14&lt;=Param!$B$2,3_Huff!H14*3_Huff!H$139*1_Friction!H14,0)</f>
        <v>1.62773001783313E-006</v>
      </c>
      <c r="J14" s="43" t="n">
        <f aca="false">IF(Matrice_OD!I14&lt;=Param!$B$2,3_Huff!I14*3_Huff!I$139*1_Friction!I14,0)</f>
        <v>3.71789191135623E-006</v>
      </c>
      <c r="K14" s="43" t="n">
        <f aca="false">IF(Matrice_OD!J14&lt;=Param!$B$2,3_Huff!J14*3_Huff!J$139*1_Friction!J14,0)</f>
        <v>2.77210099267057E-006</v>
      </c>
      <c r="L14" s="43" t="n">
        <f aca="false">IF(Matrice_OD!K14&lt;=Param!$B$2,3_Huff!K14*3_Huff!K$139*1_Friction!K14,0)</f>
        <v>1.59586326740527E-006</v>
      </c>
      <c r="M14" s="43" t="n">
        <f aca="false">IF(Matrice_OD!L14&lt;=Param!$B$2,3_Huff!L14*3_Huff!L$139*1_Friction!L14,0)</f>
        <v>1.87677086560615E-006</v>
      </c>
      <c r="N14" s="43" t="n">
        <f aca="false">IF(Matrice_OD!M14&lt;=Param!$B$2,3_Huff!M14*3_Huff!M$139*1_Friction!M14,0)</f>
        <v>1.14952496417665E-005</v>
      </c>
      <c r="O14" s="43" t="n">
        <f aca="false">IF(Matrice_OD!N14&lt;=Param!$B$2,3_Huff!N14*3_Huff!N$139*1_Friction!N14,0)</f>
        <v>1.30432368444691E-006</v>
      </c>
      <c r="P14" s="43" t="n">
        <f aca="false">IF(Matrice_OD!O14&lt;=Param!$B$2,3_Huff!O14*3_Huff!O$139*1_Friction!O14,0)</f>
        <v>4.22786245474304E-006</v>
      </c>
      <c r="Q14" s="43" t="n">
        <f aca="false">IF(Matrice_OD!P14&lt;=Param!$B$2,3_Huff!P14*3_Huff!P$139*1_Friction!P14,0)</f>
        <v>2.14716267274747E-006</v>
      </c>
      <c r="R14" s="43" t="n">
        <f aca="false">IF(Matrice_OD!Q14&lt;=Param!$B$2,3_Huff!Q14*3_Huff!Q$139*1_Friction!Q14,0)</f>
        <v>1.92738125551719E-005</v>
      </c>
      <c r="S14" s="43" t="n">
        <f aca="false">IF(Matrice_OD!R14&lt;=Param!$B$2,3_Huff!R14*3_Huff!R$139*1_Friction!R14,0)</f>
        <v>2.52402233076934E-006</v>
      </c>
      <c r="T14" s="43" t="n">
        <f aca="false">IF(Matrice_OD!S14&lt;=Param!$B$2,3_Huff!S14*3_Huff!S$139*1_Friction!S14,0)</f>
        <v>1.77584615417224E-006</v>
      </c>
      <c r="U14" s="43" t="n">
        <f aca="false">IF(Matrice_OD!T14&lt;=Param!$B$2,3_Huff!T14*3_Huff!T$139*1_Friction!T14,0)</f>
        <v>0</v>
      </c>
      <c r="V14" s="43" t="n">
        <f aca="false">IF(Matrice_OD!U14&lt;=Param!$B$2,3_Huff!U14*3_Huff!U$139*1_Friction!U14,0)</f>
        <v>0</v>
      </c>
      <c r="W14" s="43" t="n">
        <f aca="false">IF(Matrice_OD!V14&lt;=Param!$B$2,3_Huff!V14*3_Huff!V$139*1_Friction!V14,0)</f>
        <v>0</v>
      </c>
      <c r="X14" s="43" t="n">
        <f aca="false">IF(Matrice_OD!W14&lt;=Param!$B$2,3_Huff!W14*3_Huff!W$139*1_Friction!W14,0)</f>
        <v>0</v>
      </c>
      <c r="Y14" s="43" t="n">
        <f aca="false">IF(Matrice_OD!X14&lt;=Param!$B$2,3_Huff!X14*3_Huff!X$139*1_Friction!X14,0)</f>
        <v>0</v>
      </c>
      <c r="Z14" s="43" t="n">
        <f aca="false">IF(Matrice_OD!Y14&lt;=Param!$B$2,3_Huff!Y14*3_Huff!Y$139*1_Friction!Y14,0)</f>
        <v>0</v>
      </c>
      <c r="AA14" s="43" t="n">
        <f aca="false">IF(Matrice_OD!Z14&lt;=Param!$B$2,3_Huff!Z14*3_Huff!Z$139*1_Friction!Z14,0)</f>
        <v>0</v>
      </c>
      <c r="AB14" s="43" t="n">
        <f aca="false">IF(Matrice_OD!AA14&lt;=Param!$B$2,3_Huff!AA14*3_Huff!AA$139*1_Friction!AA14,0)</f>
        <v>0</v>
      </c>
      <c r="AC14" s="43" t="n">
        <f aca="false">IF(Matrice_OD!AB14&lt;=Param!$B$2,3_Huff!AB14*3_Huff!AB$139*1_Friction!AB14,0)</f>
        <v>0</v>
      </c>
      <c r="AD14" s="43" t="n">
        <f aca="false">IF(Matrice_OD!AC14&lt;=Param!$B$2,3_Huff!AC14*3_Huff!AC$139*1_Friction!AC14,0)</f>
        <v>0</v>
      </c>
      <c r="AE14" s="43" t="n">
        <f aca="false">IF(Matrice_OD!AD14&lt;=Param!$B$2,3_Huff!AD14*3_Huff!AD$139*1_Friction!AD14,0)</f>
        <v>0</v>
      </c>
      <c r="AF14" s="43" t="n">
        <f aca="false">IF(Matrice_OD!AE14&lt;=Param!$B$2,3_Huff!AE14*3_Huff!AE$139*1_Friction!AE14,0)</f>
        <v>0</v>
      </c>
      <c r="AG14" s="43" t="n">
        <f aca="false">IF(Matrice_OD!AF14&lt;=Param!$B$2,3_Huff!AF14*3_Huff!AF$139*1_Friction!AF14,0)</f>
        <v>0</v>
      </c>
      <c r="AH14" s="43" t="n">
        <f aca="false">IF(Matrice_OD!AG14&lt;=Param!$B$2,3_Huff!AG14*3_Huff!AG$139*1_Friction!AG14,0)</f>
        <v>0</v>
      </c>
      <c r="AI14" s="43" t="n">
        <f aca="false">IF(Matrice_OD!AH14&lt;=Param!$B$2,3_Huff!AH14*3_Huff!AH$139*1_Friction!AH14,0)</f>
        <v>7.10098741570289E-006</v>
      </c>
      <c r="AJ14" s="43" t="n">
        <f aca="false">IF(Matrice_OD!AI14&lt;=Param!$B$2,3_Huff!AI14*3_Huff!AI$139*1_Friction!AI14,0)</f>
        <v>0</v>
      </c>
      <c r="AK14" s="43" t="n">
        <f aca="false">IF(Matrice_OD!AJ14&lt;=Param!$B$2,3_Huff!AJ14*3_Huff!AJ$139*1_Friction!AJ14,0)</f>
        <v>0</v>
      </c>
      <c r="AL14" s="43" t="n">
        <f aca="false">IF(Matrice_OD!AK14&lt;=Param!$B$2,3_Huff!AK14*3_Huff!AK$139*1_Friction!AK14,0)</f>
        <v>0</v>
      </c>
      <c r="AM14" s="0" t="n">
        <f aca="false">IF(Matrice_OD!AL14&lt;=Param!$B$2,3_Huff!AL14*3_Huff!AL$139*1_Friction!AL14,0)</f>
        <v>0</v>
      </c>
      <c r="AN14" s="0" t="n">
        <f aca="false">IF(Matrice_OD!AM14&lt;=Param!$B$2,3_Huff!AM14*3_Huff!AM$139*1_Friction!AM14,0)</f>
        <v>0</v>
      </c>
      <c r="AO14" s="0" t="n">
        <f aca="false">IF(Matrice_OD!AN14&lt;=Param!$B$2,3_Huff!AN14*3_Huff!AN$139*1_Friction!AN14,0)</f>
        <v>0</v>
      </c>
      <c r="AP14" s="48" t="n">
        <f aca="false">SUM(D14:AO14)</f>
        <v>8.01743993122812E-005</v>
      </c>
      <c r="AQ14" s="43" t="n">
        <f aca="false">AP14*1000</f>
        <v>0.0801743993122812</v>
      </c>
      <c r="AR14" s="43" t="n">
        <f aca="false">RANK(AP14,AP$2:AP$136,0)</f>
        <v>80</v>
      </c>
      <c r="AS14" s="43" t="n">
        <f aca="false">COUNTIF(Matrice_OD!$C14:$AN14,"&lt;="&amp;Param!$B$2)</f>
        <v>17</v>
      </c>
    </row>
    <row r="15" customFormat="false" ht="15" hidden="false" customHeight="true" outlineLevel="0" collapsed="false">
      <c r="A15" s="0" t="s">
        <v>128</v>
      </c>
      <c r="B15" s="0" t="s">
        <v>129</v>
      </c>
      <c r="C15" s="0" t="n">
        <f aca="false">Demande!C15</f>
        <v>20023</v>
      </c>
      <c r="D15" s="43" t="n">
        <f aca="false">IF(Matrice_OD!C15&lt;=Param!$B$2,3_Huff!C15*3_Huff!C$139*1_Friction!C15,0)</f>
        <v>7.58032521283072E-008</v>
      </c>
      <c r="E15" s="43" t="n">
        <f aca="false">IF(Matrice_OD!D15&lt;=Param!$B$2,3_Huff!D15*3_Huff!D$139*1_Friction!D15,0)</f>
        <v>3.20243093010276E-006</v>
      </c>
      <c r="F15" s="43" t="n">
        <f aca="false">IF(Matrice_OD!E15&lt;=Param!$B$2,3_Huff!E15*3_Huff!E$139*1_Friction!E15,0)</f>
        <v>3.77254534258773E-005</v>
      </c>
      <c r="G15" s="43" t="n">
        <f aca="false">IF(Matrice_OD!F15&lt;=Param!$B$2,3_Huff!F15*3_Huff!F$139*1_Friction!F15,0)</f>
        <v>6.90724836591143E-006</v>
      </c>
      <c r="H15" s="43" t="n">
        <f aca="false">IF(Matrice_OD!G15&lt;=Param!$B$2,3_Huff!G15*3_Huff!G$139*1_Friction!G15,0)</f>
        <v>1.9557325518043E-005</v>
      </c>
      <c r="I15" s="43" t="n">
        <f aca="false">IF(Matrice_OD!H15&lt;=Param!$B$2,3_Huff!H15*3_Huff!H$139*1_Friction!H15,0)</f>
        <v>5.23002779531389E-006</v>
      </c>
      <c r="J15" s="43" t="n">
        <f aca="false">IF(Matrice_OD!I15&lt;=Param!$B$2,3_Huff!I15*3_Huff!I$139*1_Friction!I15,0)</f>
        <v>1.20733850223557E-005</v>
      </c>
      <c r="K15" s="43" t="n">
        <f aca="false">IF(Matrice_OD!J15&lt;=Param!$B$2,3_Huff!J15*3_Huff!J$139*1_Friction!J15,0)</f>
        <v>9.32631818752016E-006</v>
      </c>
      <c r="L15" s="43" t="n">
        <f aca="false">IF(Matrice_OD!K15&lt;=Param!$B$2,3_Huff!K15*3_Huff!K$139*1_Friction!K15,0)</f>
        <v>5.568072204893E-006</v>
      </c>
      <c r="M15" s="43" t="n">
        <f aca="false">IF(Matrice_OD!L15&lt;=Param!$B$2,3_Huff!L15*3_Huff!L$139*1_Friction!L15,0)</f>
        <v>6.08025738281241E-006</v>
      </c>
      <c r="N15" s="43" t="n">
        <f aca="false">IF(Matrice_OD!M15&lt;=Param!$B$2,3_Huff!M15*3_Huff!M$139*1_Friction!M15,0)</f>
        <v>3.50611219543573E-005</v>
      </c>
      <c r="O15" s="43" t="n">
        <f aca="false">IF(Matrice_OD!N15&lt;=Param!$B$2,3_Huff!N15*3_Huff!N$139*1_Friction!N15,0)</f>
        <v>4.35064969168148E-006</v>
      </c>
      <c r="P15" s="43" t="n">
        <f aca="false">IF(Matrice_OD!O15&lt;=Param!$B$2,3_Huff!O15*3_Huff!O$139*1_Friction!O15,0)</f>
        <v>1.39816086191932E-005</v>
      </c>
      <c r="Q15" s="43" t="n">
        <f aca="false">IF(Matrice_OD!P15&lt;=Param!$B$2,3_Huff!P15*3_Huff!P$139*1_Friction!P15,0)</f>
        <v>6.96329144820084E-006</v>
      </c>
      <c r="R15" s="43" t="n">
        <f aca="false">IF(Matrice_OD!Q15&lt;=Param!$B$2,3_Huff!Q15*3_Huff!Q$139*1_Friction!Q15,0)</f>
        <v>6.22421822519664E-005</v>
      </c>
      <c r="S15" s="43" t="n">
        <f aca="false">IF(Matrice_OD!R15&lt;=Param!$B$2,3_Huff!R15*3_Huff!R$139*1_Friction!R15,0)</f>
        <v>8.23382218607527E-006</v>
      </c>
      <c r="T15" s="43" t="n">
        <f aca="false">IF(Matrice_OD!S15&lt;=Param!$B$2,3_Huff!S15*3_Huff!S$139*1_Friction!S15,0)</f>
        <v>5.9685303677354E-006</v>
      </c>
      <c r="U15" s="43" t="n">
        <f aca="false">IF(Matrice_OD!T15&lt;=Param!$B$2,3_Huff!T15*3_Huff!T$139*1_Friction!T15,0)</f>
        <v>1.2848274674931E-007</v>
      </c>
      <c r="V15" s="43" t="n">
        <f aca="false">IF(Matrice_OD!U15&lt;=Param!$B$2,3_Huff!U15*3_Huff!U$139*1_Friction!U15,0)</f>
        <v>1.5621282638045E-007</v>
      </c>
      <c r="W15" s="43" t="n">
        <f aca="false">IF(Matrice_OD!V15&lt;=Param!$B$2,3_Huff!V15*3_Huff!V$139*1_Friction!V15,0)</f>
        <v>0</v>
      </c>
      <c r="X15" s="43" t="n">
        <f aca="false">IF(Matrice_OD!W15&lt;=Param!$B$2,3_Huff!W15*3_Huff!W$139*1_Friction!W15,0)</f>
        <v>0</v>
      </c>
      <c r="Y15" s="43" t="n">
        <f aca="false">IF(Matrice_OD!X15&lt;=Param!$B$2,3_Huff!X15*3_Huff!X$139*1_Friction!X15,0)</f>
        <v>0</v>
      </c>
      <c r="Z15" s="43" t="n">
        <f aca="false">IF(Matrice_OD!Y15&lt;=Param!$B$2,3_Huff!Y15*3_Huff!Y$139*1_Friction!Y15,0)</f>
        <v>0</v>
      </c>
      <c r="AA15" s="43" t="n">
        <f aca="false">IF(Matrice_OD!Z15&lt;=Param!$B$2,3_Huff!Z15*3_Huff!Z$139*1_Friction!Z15,0)</f>
        <v>0</v>
      </c>
      <c r="AB15" s="43" t="n">
        <f aca="false">IF(Matrice_OD!AA15&lt;=Param!$B$2,3_Huff!AA15*3_Huff!AA$139*1_Friction!AA15,0)</f>
        <v>0</v>
      </c>
      <c r="AC15" s="43" t="n">
        <f aca="false">IF(Matrice_OD!AB15&lt;=Param!$B$2,3_Huff!AB15*3_Huff!AB$139*1_Friction!AB15,0)</f>
        <v>1.22834320640553E-008</v>
      </c>
      <c r="AD15" s="43" t="n">
        <f aca="false">IF(Matrice_OD!AC15&lt;=Param!$B$2,3_Huff!AC15*3_Huff!AC$139*1_Friction!AC15,0)</f>
        <v>0</v>
      </c>
      <c r="AE15" s="43" t="n">
        <f aca="false">IF(Matrice_OD!AD15&lt;=Param!$B$2,3_Huff!AD15*3_Huff!AD$139*1_Friction!AD15,0)</f>
        <v>0</v>
      </c>
      <c r="AF15" s="43" t="n">
        <f aca="false">IF(Matrice_OD!AE15&lt;=Param!$B$2,3_Huff!AE15*3_Huff!AE$139*1_Friction!AE15,0)</f>
        <v>0</v>
      </c>
      <c r="AG15" s="43" t="n">
        <f aca="false">IF(Matrice_OD!AF15&lt;=Param!$B$2,3_Huff!AF15*3_Huff!AF$139*1_Friction!AF15,0)</f>
        <v>0</v>
      </c>
      <c r="AH15" s="43" t="n">
        <f aca="false">IF(Matrice_OD!AG15&lt;=Param!$B$2,3_Huff!AG15*3_Huff!AG$139*1_Friction!AG15,0)</f>
        <v>0</v>
      </c>
      <c r="AI15" s="43" t="n">
        <f aca="false">IF(Matrice_OD!AH15&lt;=Param!$B$2,3_Huff!AH15*3_Huff!AH$139*1_Friction!AH15,0)</f>
        <v>2.20896488328114E-005</v>
      </c>
      <c r="AJ15" s="43" t="n">
        <f aca="false">IF(Matrice_OD!AI15&lt;=Param!$B$2,3_Huff!AI15*3_Huff!AI$139*1_Friction!AI15,0)</f>
        <v>5.16216298520519E-008</v>
      </c>
      <c r="AK15" s="43" t="n">
        <f aca="false">IF(Matrice_OD!AJ15&lt;=Param!$B$2,3_Huff!AJ15*3_Huff!AJ$139*1_Friction!AJ15,0)</f>
        <v>0</v>
      </c>
      <c r="AL15" s="43" t="n">
        <f aca="false">IF(Matrice_OD!AK15&lt;=Param!$B$2,3_Huff!AK15*3_Huff!AK$139*1_Friction!AK15,0)</f>
        <v>0</v>
      </c>
      <c r="AM15" s="0" t="n">
        <f aca="false">IF(Matrice_OD!AL15&lt;=Param!$B$2,3_Huff!AL15*3_Huff!AL$139*1_Friction!AL15,0)</f>
        <v>0</v>
      </c>
      <c r="AN15" s="0" t="n">
        <f aca="false">IF(Matrice_OD!AM15&lt;=Param!$B$2,3_Huff!AM15*3_Huff!AM$139*1_Friction!AM15,0)</f>
        <v>1.5520888845428E-007</v>
      </c>
      <c r="AO15" s="0" t="n">
        <f aca="false">IF(Matrice_OD!AN15&lt;=Param!$B$2,3_Huff!AN15*3_Huff!AN$139*1_Friction!AN15,0)</f>
        <v>0</v>
      </c>
      <c r="AP15" s="49" t="n">
        <f aca="false">SUM(D15:AO15)</f>
        <v>0.000265140986960479</v>
      </c>
      <c r="AQ15" s="43" t="n">
        <f aca="false">AP15*1000</f>
        <v>0.265140986960479</v>
      </c>
      <c r="AR15" s="43" t="n">
        <f aca="false">RANK(AP15,AP$2:AP$136,0)</f>
        <v>32</v>
      </c>
      <c r="AS15" s="43" t="n">
        <f aca="false">COUNTIF(Matrice_OD!$C15:$AN15,"&lt;="&amp;Param!$B$2)</f>
        <v>23</v>
      </c>
    </row>
    <row r="16" customFormat="false" ht="15" hidden="false" customHeight="true" outlineLevel="0" collapsed="false">
      <c r="A16" s="0" t="s">
        <v>130</v>
      </c>
      <c r="B16" s="0" t="s">
        <v>131</v>
      </c>
      <c r="C16" s="0" t="n">
        <f aca="false">Demande!C16</f>
        <v>7863</v>
      </c>
      <c r="D16" s="43" t="n">
        <f aca="false">IF(Matrice_OD!C16&lt;=Param!$B$2,3_Huff!C16*3_Huff!C$139*1_Friction!C16,0)</f>
        <v>0</v>
      </c>
      <c r="E16" s="43" t="n">
        <f aca="false">IF(Matrice_OD!D16&lt;=Param!$B$2,3_Huff!D16*3_Huff!D$139*1_Friction!D16,0)</f>
        <v>4.20062536929004E-007</v>
      </c>
      <c r="F16" s="43" t="n">
        <f aca="false">IF(Matrice_OD!E16&lt;=Param!$B$2,3_Huff!E16*3_Huff!E$139*1_Friction!E16,0)</f>
        <v>5.04436294258979E-006</v>
      </c>
      <c r="G16" s="43" t="n">
        <f aca="false">IF(Matrice_OD!F16&lt;=Param!$B$2,3_Huff!F16*3_Huff!F$139*1_Friction!F16,0)</f>
        <v>9.40241892468654E-007</v>
      </c>
      <c r="H16" s="43" t="n">
        <f aca="false">IF(Matrice_OD!G16&lt;=Param!$B$2,3_Huff!G16*3_Huff!G$139*1_Friction!G16,0)</f>
        <v>2.61563580208057E-006</v>
      </c>
      <c r="I16" s="43" t="n">
        <f aca="false">IF(Matrice_OD!H16&lt;=Param!$B$2,3_Huff!H16*3_Huff!H$139*1_Friction!H16,0)</f>
        <v>8.11642433119503E-007</v>
      </c>
      <c r="J16" s="43" t="n">
        <f aca="false">IF(Matrice_OD!I16&lt;=Param!$B$2,3_Huff!I16*3_Huff!I$139*1_Friction!I16,0)</f>
        <v>1.84778810951318E-006</v>
      </c>
      <c r="K16" s="43" t="n">
        <f aca="false">IF(Matrice_OD!J16&lt;=Param!$B$2,3_Huff!J16*3_Huff!J$139*1_Friction!J16,0)</f>
        <v>1.36272402825811E-006</v>
      </c>
      <c r="L16" s="43" t="n">
        <f aca="false">IF(Matrice_OD!K16&lt;=Param!$B$2,3_Huff!K16*3_Huff!K$139*1_Friction!K16,0)</f>
        <v>7.75714839117942E-007</v>
      </c>
      <c r="M16" s="43" t="n">
        <f aca="false">IF(Matrice_OD!L16&lt;=Param!$B$2,3_Huff!L16*3_Huff!L$139*1_Friction!L16,0)</f>
        <v>9.33190939192162E-007</v>
      </c>
      <c r="N16" s="43" t="n">
        <f aca="false">IF(Matrice_OD!M16&lt;=Param!$B$2,3_Huff!M16*3_Huff!M$139*1_Friction!M16,0)</f>
        <v>5.82505046688279E-006</v>
      </c>
      <c r="O16" s="43" t="n">
        <f aca="false">IF(Matrice_OD!N16&lt;=Param!$B$2,3_Huff!N16*3_Huff!N$139*1_Friction!N16,0)</f>
        <v>6.42894049847214E-007</v>
      </c>
      <c r="P16" s="43" t="n">
        <f aca="false">IF(Matrice_OD!O16&lt;=Param!$B$2,3_Huff!O16*3_Huff!O$139*1_Friction!O16,0)</f>
        <v>2.08944063374112E-006</v>
      </c>
      <c r="Q16" s="43" t="n">
        <f aca="false">IF(Matrice_OD!P16&lt;=Param!$B$2,3_Huff!P16*3_Huff!P$139*1_Friction!P16,0)</f>
        <v>1.06730441944626E-006</v>
      </c>
      <c r="R16" s="43" t="n">
        <f aca="false">IF(Matrice_OD!Q16&lt;=Param!$B$2,3_Huff!Q16*3_Huff!Q$139*1_Friction!Q16,0)</f>
        <v>9.59556377700181E-006</v>
      </c>
      <c r="S16" s="43" t="n">
        <f aca="false">IF(Matrice_OD!R16&lt;=Param!$B$2,3_Huff!R16*3_Huff!R$139*1_Friction!R16,0)</f>
        <v>1.25267106493168E-006</v>
      </c>
      <c r="T16" s="43" t="n">
        <f aca="false">IF(Matrice_OD!S16&lt;=Param!$B$2,3_Huff!S16*3_Huff!S$139*1_Friction!S16,0)</f>
        <v>8.73253038923307E-007</v>
      </c>
      <c r="U16" s="43" t="n">
        <f aca="false">IF(Matrice_OD!T16&lt;=Param!$B$2,3_Huff!T16*3_Huff!T$139*1_Friction!T16,0)</f>
        <v>1.61803617237788E-007</v>
      </c>
      <c r="V16" s="43" t="n">
        <f aca="false">IF(Matrice_OD!U16&lt;=Param!$B$2,3_Huff!U16*3_Huff!U$139*1_Friction!U16,0)</f>
        <v>1.97376710411172E-007</v>
      </c>
      <c r="W16" s="43" t="n">
        <f aca="false">IF(Matrice_OD!V16&lt;=Param!$B$2,3_Huff!V16*3_Huff!V$139*1_Friction!V16,0)</f>
        <v>0</v>
      </c>
      <c r="X16" s="43" t="n">
        <f aca="false">IF(Matrice_OD!W16&lt;=Param!$B$2,3_Huff!W16*3_Huff!W$139*1_Friction!W16,0)</f>
        <v>0</v>
      </c>
      <c r="Y16" s="43" t="n">
        <f aca="false">IF(Matrice_OD!X16&lt;=Param!$B$2,3_Huff!X16*3_Huff!X$139*1_Friction!X16,0)</f>
        <v>0</v>
      </c>
      <c r="Z16" s="43" t="n">
        <f aca="false">IF(Matrice_OD!Y16&lt;=Param!$B$2,3_Huff!Y16*3_Huff!Y$139*1_Friction!Y16,0)</f>
        <v>0</v>
      </c>
      <c r="AA16" s="43" t="n">
        <f aca="false">IF(Matrice_OD!Z16&lt;=Param!$B$2,3_Huff!Z16*3_Huff!Z$139*1_Friction!Z16,0)</f>
        <v>0</v>
      </c>
      <c r="AB16" s="43" t="n">
        <f aca="false">IF(Matrice_OD!AA16&lt;=Param!$B$2,3_Huff!AA16*3_Huff!AA$139*1_Friction!AA16,0)</f>
        <v>0</v>
      </c>
      <c r="AC16" s="43" t="n">
        <f aca="false">IF(Matrice_OD!AB16&lt;=Param!$B$2,3_Huff!AB16*3_Huff!AB$139*1_Friction!AB16,0)</f>
        <v>0</v>
      </c>
      <c r="AD16" s="43" t="n">
        <f aca="false">IF(Matrice_OD!AC16&lt;=Param!$B$2,3_Huff!AC16*3_Huff!AC$139*1_Friction!AC16,0)</f>
        <v>2.23302027897643E-007</v>
      </c>
      <c r="AE16" s="43" t="n">
        <f aca="false">IF(Matrice_OD!AD16&lt;=Param!$B$2,3_Huff!AD16*3_Huff!AD$139*1_Friction!AD16,0)</f>
        <v>1.05119878392878E-006</v>
      </c>
      <c r="AF16" s="43" t="n">
        <f aca="false">IF(Matrice_OD!AE16&lt;=Param!$B$2,3_Huff!AE16*3_Huff!AE$139*1_Friction!AE16,0)</f>
        <v>5.66274255743521E-007</v>
      </c>
      <c r="AG16" s="43" t="n">
        <f aca="false">IF(Matrice_OD!AF16&lt;=Param!$B$2,3_Huff!AF16*3_Huff!AF$139*1_Friction!AF16,0)</f>
        <v>3.76341243193335E-007</v>
      </c>
      <c r="AH16" s="43" t="n">
        <f aca="false">IF(Matrice_OD!AG16&lt;=Param!$B$2,3_Huff!AG16*3_Huff!AG$139*1_Friction!AG16,0)</f>
        <v>0</v>
      </c>
      <c r="AI16" s="43" t="n">
        <f aca="false">IF(Matrice_OD!AH16&lt;=Param!$B$2,3_Huff!AH16*3_Huff!AH$139*1_Friction!AH16,0)</f>
        <v>3.57643185130935E-006</v>
      </c>
      <c r="AJ16" s="43" t="n">
        <f aca="false">IF(Matrice_OD!AI16&lt;=Param!$B$2,3_Huff!AI16*3_Huff!AI$139*1_Friction!AI16,0)</f>
        <v>6.40481125773077E-008</v>
      </c>
      <c r="AK16" s="43" t="n">
        <f aca="false">IF(Matrice_OD!AJ16&lt;=Param!$B$2,3_Huff!AJ16*3_Huff!AJ$139*1_Friction!AJ16,0)</f>
        <v>0</v>
      </c>
      <c r="AL16" s="43" t="n">
        <f aca="false">IF(Matrice_OD!AK16&lt;=Param!$B$2,3_Huff!AK16*3_Huff!AK$139*1_Friction!AK16,0)</f>
        <v>7.39395858896981E-007</v>
      </c>
      <c r="AM16" s="0" t="n">
        <f aca="false">IF(Matrice_OD!AL16&lt;=Param!$B$2,3_Huff!AL16*3_Huff!AL$139*1_Friction!AL16,0)</f>
        <v>1.89451449557783E-006</v>
      </c>
      <c r="AN16" s="0" t="n">
        <f aca="false">IF(Matrice_OD!AM16&lt;=Param!$B$2,3_Huff!AM16*3_Huff!AM$139*1_Friction!AM16,0)</f>
        <v>0</v>
      </c>
      <c r="AO16" s="0" t="n">
        <f aca="false">IF(Matrice_OD!AN16&lt;=Param!$B$2,3_Huff!AN16*3_Huff!AN$139*1_Friction!AN16,0)</f>
        <v>0</v>
      </c>
      <c r="AP16" s="48" t="n">
        <f aca="false">SUM(D16:AO16)</f>
        <v>4.49482279308168E-005</v>
      </c>
      <c r="AQ16" s="43" t="n">
        <f aca="false">AP16*1000</f>
        <v>0.0449482279308168</v>
      </c>
      <c r="AR16" s="43" t="n">
        <f aca="false">RANK(AP16,AP$2:AP$136,0)</f>
        <v>96</v>
      </c>
      <c r="AS16" s="43" t="n">
        <f aca="false">COUNTIF(Matrice_OD!$C16:$AN16,"&lt;="&amp;Param!$B$2)</f>
        <v>26</v>
      </c>
    </row>
    <row r="17" customFormat="false" ht="15" hidden="false" customHeight="true" outlineLevel="0" collapsed="false">
      <c r="A17" s="0" t="s">
        <v>132</v>
      </c>
      <c r="B17" s="0" t="s">
        <v>133</v>
      </c>
      <c r="C17" s="0" t="n">
        <f aca="false">Demande!C17</f>
        <v>13373</v>
      </c>
      <c r="D17" s="43" t="n">
        <f aca="false">IF(Matrice_OD!C17&lt;=Param!$B$2,3_Huff!C17*3_Huff!C$139*1_Friction!C17,0)</f>
        <v>0</v>
      </c>
      <c r="E17" s="43" t="n">
        <f aca="false">IF(Matrice_OD!D17&lt;=Param!$B$2,3_Huff!D17*3_Huff!D$139*1_Friction!D17,0)</f>
        <v>0</v>
      </c>
      <c r="F17" s="43" t="n">
        <f aca="false">IF(Matrice_OD!E17&lt;=Param!$B$2,3_Huff!E17*3_Huff!E$139*1_Friction!E17,0)</f>
        <v>0</v>
      </c>
      <c r="G17" s="43" t="n">
        <f aca="false">IF(Matrice_OD!F17&lt;=Param!$B$2,3_Huff!F17*3_Huff!F$139*1_Friction!F17,0)</f>
        <v>0</v>
      </c>
      <c r="H17" s="43" t="n">
        <f aca="false">IF(Matrice_OD!G17&lt;=Param!$B$2,3_Huff!G17*3_Huff!G$139*1_Friction!G17,0)</f>
        <v>0</v>
      </c>
      <c r="I17" s="43" t="n">
        <f aca="false">IF(Matrice_OD!H17&lt;=Param!$B$2,3_Huff!H17*3_Huff!H$139*1_Friction!H17,0)</f>
        <v>0</v>
      </c>
      <c r="J17" s="43" t="n">
        <f aca="false">IF(Matrice_OD!I17&lt;=Param!$B$2,3_Huff!I17*3_Huff!I$139*1_Friction!I17,0)</f>
        <v>0</v>
      </c>
      <c r="K17" s="43" t="n">
        <f aca="false">IF(Matrice_OD!J17&lt;=Param!$B$2,3_Huff!J17*3_Huff!J$139*1_Friction!J17,0)</f>
        <v>0</v>
      </c>
      <c r="L17" s="43" t="n">
        <f aca="false">IF(Matrice_OD!K17&lt;=Param!$B$2,3_Huff!K17*3_Huff!K$139*1_Friction!K17,0)</f>
        <v>0</v>
      </c>
      <c r="M17" s="43" t="n">
        <f aca="false">IF(Matrice_OD!L17&lt;=Param!$B$2,3_Huff!L17*3_Huff!L$139*1_Friction!L17,0)</f>
        <v>0</v>
      </c>
      <c r="N17" s="43" t="n">
        <f aca="false">IF(Matrice_OD!M17&lt;=Param!$B$2,3_Huff!M17*3_Huff!M$139*1_Friction!M17,0)</f>
        <v>0</v>
      </c>
      <c r="O17" s="43" t="n">
        <f aca="false">IF(Matrice_OD!N17&lt;=Param!$B$2,3_Huff!N17*3_Huff!N$139*1_Friction!N17,0)</f>
        <v>0</v>
      </c>
      <c r="P17" s="43" t="n">
        <f aca="false">IF(Matrice_OD!O17&lt;=Param!$B$2,3_Huff!O17*3_Huff!O$139*1_Friction!O17,0)</f>
        <v>0</v>
      </c>
      <c r="Q17" s="43" t="n">
        <f aca="false">IF(Matrice_OD!P17&lt;=Param!$B$2,3_Huff!P17*3_Huff!P$139*1_Friction!P17,0)</f>
        <v>0</v>
      </c>
      <c r="R17" s="43" t="n">
        <f aca="false">IF(Matrice_OD!Q17&lt;=Param!$B$2,3_Huff!Q17*3_Huff!Q$139*1_Friction!Q17,0)</f>
        <v>0</v>
      </c>
      <c r="S17" s="43" t="n">
        <f aca="false">IF(Matrice_OD!R17&lt;=Param!$B$2,3_Huff!R17*3_Huff!R$139*1_Friction!R17,0)</f>
        <v>0</v>
      </c>
      <c r="T17" s="43" t="n">
        <f aca="false">IF(Matrice_OD!S17&lt;=Param!$B$2,3_Huff!S17*3_Huff!S$139*1_Friction!S17,0)</f>
        <v>0</v>
      </c>
      <c r="U17" s="43" t="n">
        <f aca="false">IF(Matrice_OD!T17&lt;=Param!$B$2,3_Huff!T17*3_Huff!T$139*1_Friction!T17,0)</f>
        <v>0</v>
      </c>
      <c r="V17" s="43" t="n">
        <f aca="false">IF(Matrice_OD!U17&lt;=Param!$B$2,3_Huff!U17*3_Huff!U$139*1_Friction!U17,0)</f>
        <v>0</v>
      </c>
      <c r="W17" s="43" t="n">
        <f aca="false">IF(Matrice_OD!V17&lt;=Param!$B$2,3_Huff!V17*3_Huff!V$139*1_Friction!V17,0)</f>
        <v>0</v>
      </c>
      <c r="X17" s="43" t="n">
        <f aca="false">IF(Matrice_OD!W17&lt;=Param!$B$2,3_Huff!W17*3_Huff!W$139*1_Friction!W17,0)</f>
        <v>0</v>
      </c>
      <c r="Y17" s="43" t="n">
        <f aca="false">IF(Matrice_OD!X17&lt;=Param!$B$2,3_Huff!X17*3_Huff!X$139*1_Friction!X17,0)</f>
        <v>0</v>
      </c>
      <c r="Z17" s="43" t="n">
        <f aca="false">IF(Matrice_OD!Y17&lt;=Param!$B$2,3_Huff!Y17*3_Huff!Y$139*1_Friction!Y17,0)</f>
        <v>0</v>
      </c>
      <c r="AA17" s="43" t="n">
        <f aca="false">IF(Matrice_OD!Z17&lt;=Param!$B$2,3_Huff!Z17*3_Huff!Z$139*1_Friction!Z17,0)</f>
        <v>0</v>
      </c>
      <c r="AB17" s="43" t="n">
        <f aca="false">IF(Matrice_OD!AA17&lt;=Param!$B$2,3_Huff!AA17*3_Huff!AA$139*1_Friction!AA17,0)</f>
        <v>0</v>
      </c>
      <c r="AC17" s="43" t="n">
        <f aca="false">IF(Matrice_OD!AB17&lt;=Param!$B$2,3_Huff!AB17*3_Huff!AB$139*1_Friction!AB17,0)</f>
        <v>0</v>
      </c>
      <c r="AD17" s="43" t="n">
        <f aca="false">IF(Matrice_OD!AC17&lt;=Param!$B$2,3_Huff!AC17*3_Huff!AC$139*1_Friction!AC17,0)</f>
        <v>0</v>
      </c>
      <c r="AE17" s="43" t="n">
        <f aca="false">IF(Matrice_OD!AD17&lt;=Param!$B$2,3_Huff!AD17*3_Huff!AD$139*1_Friction!AD17,0)</f>
        <v>0</v>
      </c>
      <c r="AF17" s="43" t="n">
        <f aca="false">IF(Matrice_OD!AE17&lt;=Param!$B$2,3_Huff!AE17*3_Huff!AE$139*1_Friction!AE17,0)</f>
        <v>0</v>
      </c>
      <c r="AG17" s="43" t="n">
        <f aca="false">IF(Matrice_OD!AF17&lt;=Param!$B$2,3_Huff!AF17*3_Huff!AF$139*1_Friction!AF17,0)</f>
        <v>0</v>
      </c>
      <c r="AH17" s="43" t="n">
        <f aca="false">IF(Matrice_OD!AG17&lt;=Param!$B$2,3_Huff!AG17*3_Huff!AG$139*1_Friction!AG17,0)</f>
        <v>0</v>
      </c>
      <c r="AI17" s="43" t="n">
        <f aca="false">IF(Matrice_OD!AH17&lt;=Param!$B$2,3_Huff!AH17*3_Huff!AH$139*1_Friction!AH17,0)</f>
        <v>0</v>
      </c>
      <c r="AJ17" s="43" t="n">
        <f aca="false">IF(Matrice_OD!AI17&lt;=Param!$B$2,3_Huff!AI17*3_Huff!AI$139*1_Friction!AI17,0)</f>
        <v>0</v>
      </c>
      <c r="AK17" s="43" t="n">
        <f aca="false">IF(Matrice_OD!AJ17&lt;=Param!$B$2,3_Huff!AJ17*3_Huff!AJ$139*1_Friction!AJ17,0)</f>
        <v>0</v>
      </c>
      <c r="AL17" s="43" t="n">
        <f aca="false">IF(Matrice_OD!AK17&lt;=Param!$B$2,3_Huff!AK17*3_Huff!AK$139*1_Friction!AK17,0)</f>
        <v>0</v>
      </c>
      <c r="AM17" s="0" t="n">
        <f aca="false">IF(Matrice_OD!AL17&lt;=Param!$B$2,3_Huff!AL17*3_Huff!AL$139*1_Friction!AL17,0)</f>
        <v>0</v>
      </c>
      <c r="AN17" s="0" t="n">
        <f aca="false">IF(Matrice_OD!AM17&lt;=Param!$B$2,3_Huff!AM17*3_Huff!AM$139*1_Friction!AM17,0)</f>
        <v>0</v>
      </c>
      <c r="AO17" s="0" t="n">
        <f aca="false">IF(Matrice_OD!AN17&lt;=Param!$B$2,3_Huff!AN17*3_Huff!AN$139*1_Friction!AN17,0)</f>
        <v>0</v>
      </c>
      <c r="AP17" s="49" t="n">
        <f aca="false">SUM(D17:AO17)</f>
        <v>0</v>
      </c>
      <c r="AQ17" s="43" t="n">
        <f aca="false">AP17*1000</f>
        <v>0</v>
      </c>
      <c r="AR17" s="43" t="n">
        <f aca="false">RANK(AP17,AP$2:AP$136,0)</f>
        <v>123</v>
      </c>
      <c r="AS17" s="43" t="n">
        <f aca="false">COUNTIF(Matrice_OD!$C17:$AN17,"&lt;="&amp;Param!$B$2)</f>
        <v>0</v>
      </c>
    </row>
    <row r="18" customFormat="false" ht="15" hidden="false" customHeight="true" outlineLevel="0" collapsed="false">
      <c r="A18" s="0" t="s">
        <v>134</v>
      </c>
      <c r="B18" s="0" t="s">
        <v>135</v>
      </c>
      <c r="C18" s="0" t="n">
        <f aca="false">Demande!C18</f>
        <v>12547</v>
      </c>
      <c r="D18" s="43" t="n">
        <f aca="false">IF(Matrice_OD!C18&lt;=Param!$B$2,3_Huff!C18*3_Huff!C$139*1_Friction!C18,0)</f>
        <v>0</v>
      </c>
      <c r="E18" s="43" t="n">
        <f aca="false">IF(Matrice_OD!D18&lt;=Param!$B$2,3_Huff!D18*3_Huff!D$139*1_Friction!D18,0)</f>
        <v>0</v>
      </c>
      <c r="F18" s="43" t="n">
        <f aca="false">IF(Matrice_OD!E18&lt;=Param!$B$2,3_Huff!E18*3_Huff!E$139*1_Friction!E18,0)</f>
        <v>0</v>
      </c>
      <c r="G18" s="43" t="n">
        <f aca="false">IF(Matrice_OD!F18&lt;=Param!$B$2,3_Huff!F18*3_Huff!F$139*1_Friction!F18,0)</f>
        <v>0</v>
      </c>
      <c r="H18" s="43" t="n">
        <f aca="false">IF(Matrice_OD!G18&lt;=Param!$B$2,3_Huff!G18*3_Huff!G$139*1_Friction!G18,0)</f>
        <v>0</v>
      </c>
      <c r="I18" s="43" t="n">
        <f aca="false">IF(Matrice_OD!H18&lt;=Param!$B$2,3_Huff!H18*3_Huff!H$139*1_Friction!H18,0)</f>
        <v>0</v>
      </c>
      <c r="J18" s="43" t="n">
        <f aca="false">IF(Matrice_OD!I18&lt;=Param!$B$2,3_Huff!I18*3_Huff!I$139*1_Friction!I18,0)</f>
        <v>0</v>
      </c>
      <c r="K18" s="43" t="n">
        <f aca="false">IF(Matrice_OD!J18&lt;=Param!$B$2,3_Huff!J18*3_Huff!J$139*1_Friction!J18,0)</f>
        <v>0</v>
      </c>
      <c r="L18" s="43" t="n">
        <f aca="false">IF(Matrice_OD!K18&lt;=Param!$B$2,3_Huff!K18*3_Huff!K$139*1_Friction!K18,0)</f>
        <v>0</v>
      </c>
      <c r="M18" s="43" t="n">
        <f aca="false">IF(Matrice_OD!L18&lt;=Param!$B$2,3_Huff!L18*3_Huff!L$139*1_Friction!L18,0)</f>
        <v>0</v>
      </c>
      <c r="N18" s="43" t="n">
        <f aca="false">IF(Matrice_OD!M18&lt;=Param!$B$2,3_Huff!M18*3_Huff!M$139*1_Friction!M18,0)</f>
        <v>0</v>
      </c>
      <c r="O18" s="43" t="n">
        <f aca="false">IF(Matrice_OD!N18&lt;=Param!$B$2,3_Huff!N18*3_Huff!N$139*1_Friction!N18,0)</f>
        <v>0</v>
      </c>
      <c r="P18" s="43" t="n">
        <f aca="false">IF(Matrice_OD!O18&lt;=Param!$B$2,3_Huff!O18*3_Huff!O$139*1_Friction!O18,0)</f>
        <v>0</v>
      </c>
      <c r="Q18" s="43" t="n">
        <f aca="false">IF(Matrice_OD!P18&lt;=Param!$B$2,3_Huff!P18*3_Huff!P$139*1_Friction!P18,0)</f>
        <v>0</v>
      </c>
      <c r="R18" s="43" t="n">
        <f aca="false">IF(Matrice_OD!Q18&lt;=Param!$B$2,3_Huff!Q18*3_Huff!Q$139*1_Friction!Q18,0)</f>
        <v>0</v>
      </c>
      <c r="S18" s="43" t="n">
        <f aca="false">IF(Matrice_OD!R18&lt;=Param!$B$2,3_Huff!R18*3_Huff!R$139*1_Friction!R18,0)</f>
        <v>0</v>
      </c>
      <c r="T18" s="43" t="n">
        <f aca="false">IF(Matrice_OD!S18&lt;=Param!$B$2,3_Huff!S18*3_Huff!S$139*1_Friction!S18,0)</f>
        <v>0</v>
      </c>
      <c r="U18" s="43" t="n">
        <f aca="false">IF(Matrice_OD!T18&lt;=Param!$B$2,3_Huff!T18*3_Huff!T$139*1_Friction!T18,0)</f>
        <v>0</v>
      </c>
      <c r="V18" s="43" t="n">
        <f aca="false">IF(Matrice_OD!U18&lt;=Param!$B$2,3_Huff!U18*3_Huff!U$139*1_Friction!U18,0)</f>
        <v>0</v>
      </c>
      <c r="W18" s="43" t="n">
        <f aca="false">IF(Matrice_OD!V18&lt;=Param!$B$2,3_Huff!V18*3_Huff!V$139*1_Friction!V18,0)</f>
        <v>0</v>
      </c>
      <c r="X18" s="43" t="n">
        <f aca="false">IF(Matrice_OD!W18&lt;=Param!$B$2,3_Huff!W18*3_Huff!W$139*1_Friction!W18,0)</f>
        <v>0</v>
      </c>
      <c r="Y18" s="43" t="n">
        <f aca="false">IF(Matrice_OD!X18&lt;=Param!$B$2,3_Huff!X18*3_Huff!X$139*1_Friction!X18,0)</f>
        <v>0</v>
      </c>
      <c r="Z18" s="43" t="n">
        <f aca="false">IF(Matrice_OD!Y18&lt;=Param!$B$2,3_Huff!Y18*3_Huff!Y$139*1_Friction!Y18,0)</f>
        <v>0</v>
      </c>
      <c r="AA18" s="43" t="n">
        <f aca="false">IF(Matrice_OD!Z18&lt;=Param!$B$2,3_Huff!Z18*3_Huff!Z$139*1_Friction!Z18,0)</f>
        <v>0</v>
      </c>
      <c r="AB18" s="43" t="n">
        <f aca="false">IF(Matrice_OD!AA18&lt;=Param!$B$2,3_Huff!AA18*3_Huff!AA$139*1_Friction!AA18,0)</f>
        <v>0</v>
      </c>
      <c r="AC18" s="43" t="n">
        <f aca="false">IF(Matrice_OD!AB18&lt;=Param!$B$2,3_Huff!AB18*3_Huff!AB$139*1_Friction!AB18,0)</f>
        <v>0</v>
      </c>
      <c r="AD18" s="43" t="n">
        <f aca="false">IF(Matrice_OD!AC18&lt;=Param!$B$2,3_Huff!AC18*3_Huff!AC$139*1_Friction!AC18,0)</f>
        <v>0</v>
      </c>
      <c r="AE18" s="43" t="n">
        <f aca="false">IF(Matrice_OD!AD18&lt;=Param!$B$2,3_Huff!AD18*3_Huff!AD$139*1_Friction!AD18,0)</f>
        <v>0</v>
      </c>
      <c r="AF18" s="43" t="n">
        <f aca="false">IF(Matrice_OD!AE18&lt;=Param!$B$2,3_Huff!AE18*3_Huff!AE$139*1_Friction!AE18,0)</f>
        <v>0</v>
      </c>
      <c r="AG18" s="43" t="n">
        <f aca="false">IF(Matrice_OD!AF18&lt;=Param!$B$2,3_Huff!AF18*3_Huff!AF$139*1_Friction!AF18,0)</f>
        <v>0</v>
      </c>
      <c r="AH18" s="43" t="n">
        <f aca="false">IF(Matrice_OD!AG18&lt;=Param!$B$2,3_Huff!AG18*3_Huff!AG$139*1_Friction!AG18,0)</f>
        <v>0</v>
      </c>
      <c r="AI18" s="43" t="n">
        <f aca="false">IF(Matrice_OD!AH18&lt;=Param!$B$2,3_Huff!AH18*3_Huff!AH$139*1_Friction!AH18,0)</f>
        <v>0</v>
      </c>
      <c r="AJ18" s="43" t="n">
        <f aca="false">IF(Matrice_OD!AI18&lt;=Param!$B$2,3_Huff!AI18*3_Huff!AI$139*1_Friction!AI18,0)</f>
        <v>0</v>
      </c>
      <c r="AK18" s="43" t="n">
        <f aca="false">IF(Matrice_OD!AJ18&lt;=Param!$B$2,3_Huff!AJ18*3_Huff!AJ$139*1_Friction!AJ18,0)</f>
        <v>0</v>
      </c>
      <c r="AL18" s="43" t="n">
        <f aca="false">IF(Matrice_OD!AK18&lt;=Param!$B$2,3_Huff!AK18*3_Huff!AK$139*1_Friction!AK18,0)</f>
        <v>0</v>
      </c>
      <c r="AM18" s="0" t="n">
        <f aca="false">IF(Matrice_OD!AL18&lt;=Param!$B$2,3_Huff!AL18*3_Huff!AL$139*1_Friction!AL18,0)</f>
        <v>0</v>
      </c>
      <c r="AN18" s="0" t="n">
        <f aca="false">IF(Matrice_OD!AM18&lt;=Param!$B$2,3_Huff!AM18*3_Huff!AM$139*1_Friction!AM18,0)</f>
        <v>0</v>
      </c>
      <c r="AO18" s="0" t="n">
        <f aca="false">IF(Matrice_OD!AN18&lt;=Param!$B$2,3_Huff!AN18*3_Huff!AN$139*1_Friction!AN18,0)</f>
        <v>0</v>
      </c>
      <c r="AP18" s="48" t="n">
        <f aca="false">SUM(D18:AO18)</f>
        <v>0</v>
      </c>
      <c r="AQ18" s="43" t="n">
        <f aca="false">AP18*1000</f>
        <v>0</v>
      </c>
      <c r="AR18" s="43" t="n">
        <f aca="false">RANK(AP18,AP$2:AP$136,0)</f>
        <v>123</v>
      </c>
      <c r="AS18" s="43" t="n">
        <f aca="false">COUNTIF(Matrice_OD!$C18:$AN18,"&lt;="&amp;Param!$B$2)</f>
        <v>0</v>
      </c>
    </row>
    <row r="19" customFormat="false" ht="15" hidden="false" customHeight="true" outlineLevel="0" collapsed="false">
      <c r="A19" s="0" t="s">
        <v>136</v>
      </c>
      <c r="B19" s="0" t="s">
        <v>137</v>
      </c>
      <c r="C19" s="0" t="n">
        <f aca="false">Demande!C19</f>
        <v>7952</v>
      </c>
      <c r="D19" s="43" t="n">
        <f aca="false">IF(Matrice_OD!C19&lt;=Param!$B$2,3_Huff!C19*3_Huff!C$139*1_Friction!C19,0)</f>
        <v>0</v>
      </c>
      <c r="E19" s="43" t="n">
        <f aca="false">IF(Matrice_OD!D19&lt;=Param!$B$2,3_Huff!D19*3_Huff!D$139*1_Friction!D19,0)</f>
        <v>0</v>
      </c>
      <c r="F19" s="43" t="n">
        <f aca="false">IF(Matrice_OD!E19&lt;=Param!$B$2,3_Huff!E19*3_Huff!E$139*1_Friction!E19,0)</f>
        <v>0</v>
      </c>
      <c r="G19" s="43" t="n">
        <f aca="false">IF(Matrice_OD!F19&lt;=Param!$B$2,3_Huff!F19*3_Huff!F$139*1_Friction!F19,0)</f>
        <v>0</v>
      </c>
      <c r="H19" s="43" t="n">
        <f aca="false">IF(Matrice_OD!G19&lt;=Param!$B$2,3_Huff!G19*3_Huff!G$139*1_Friction!G19,0)</f>
        <v>0</v>
      </c>
      <c r="I19" s="43" t="n">
        <f aca="false">IF(Matrice_OD!H19&lt;=Param!$B$2,3_Huff!H19*3_Huff!H$139*1_Friction!H19,0)</f>
        <v>0</v>
      </c>
      <c r="J19" s="43" t="n">
        <f aca="false">IF(Matrice_OD!I19&lt;=Param!$B$2,3_Huff!I19*3_Huff!I$139*1_Friction!I19,0)</f>
        <v>0</v>
      </c>
      <c r="K19" s="43" t="n">
        <f aca="false">IF(Matrice_OD!J19&lt;=Param!$B$2,3_Huff!J19*3_Huff!J$139*1_Friction!J19,0)</f>
        <v>0</v>
      </c>
      <c r="L19" s="43" t="n">
        <f aca="false">IF(Matrice_OD!K19&lt;=Param!$B$2,3_Huff!K19*3_Huff!K$139*1_Friction!K19,0)</f>
        <v>0</v>
      </c>
      <c r="M19" s="43" t="n">
        <f aca="false">IF(Matrice_OD!L19&lt;=Param!$B$2,3_Huff!L19*3_Huff!L$139*1_Friction!L19,0)</f>
        <v>0</v>
      </c>
      <c r="N19" s="43" t="n">
        <f aca="false">IF(Matrice_OD!M19&lt;=Param!$B$2,3_Huff!M19*3_Huff!M$139*1_Friction!M19,0)</f>
        <v>0</v>
      </c>
      <c r="O19" s="43" t="n">
        <f aca="false">IF(Matrice_OD!N19&lt;=Param!$B$2,3_Huff!N19*3_Huff!N$139*1_Friction!N19,0)</f>
        <v>0</v>
      </c>
      <c r="P19" s="43" t="n">
        <f aca="false">IF(Matrice_OD!O19&lt;=Param!$B$2,3_Huff!O19*3_Huff!O$139*1_Friction!O19,0)</f>
        <v>0</v>
      </c>
      <c r="Q19" s="43" t="n">
        <f aca="false">IF(Matrice_OD!P19&lt;=Param!$B$2,3_Huff!P19*3_Huff!P$139*1_Friction!P19,0)</f>
        <v>0</v>
      </c>
      <c r="R19" s="43" t="n">
        <f aca="false">IF(Matrice_OD!Q19&lt;=Param!$B$2,3_Huff!Q19*3_Huff!Q$139*1_Friction!Q19,0)</f>
        <v>0</v>
      </c>
      <c r="S19" s="43" t="n">
        <f aca="false">IF(Matrice_OD!R19&lt;=Param!$B$2,3_Huff!R19*3_Huff!R$139*1_Friction!R19,0)</f>
        <v>0</v>
      </c>
      <c r="T19" s="43" t="n">
        <f aca="false">IF(Matrice_OD!S19&lt;=Param!$B$2,3_Huff!S19*3_Huff!S$139*1_Friction!S19,0)</f>
        <v>0</v>
      </c>
      <c r="U19" s="43" t="n">
        <f aca="false">IF(Matrice_OD!T19&lt;=Param!$B$2,3_Huff!T19*3_Huff!T$139*1_Friction!T19,0)</f>
        <v>0</v>
      </c>
      <c r="V19" s="43" t="n">
        <f aca="false">IF(Matrice_OD!U19&lt;=Param!$B$2,3_Huff!U19*3_Huff!U$139*1_Friction!U19,0)</f>
        <v>0</v>
      </c>
      <c r="W19" s="43" t="n">
        <f aca="false">IF(Matrice_OD!V19&lt;=Param!$B$2,3_Huff!V19*3_Huff!V$139*1_Friction!V19,0)</f>
        <v>0</v>
      </c>
      <c r="X19" s="43" t="n">
        <f aca="false">IF(Matrice_OD!W19&lt;=Param!$B$2,3_Huff!W19*3_Huff!W$139*1_Friction!W19,0)</f>
        <v>0</v>
      </c>
      <c r="Y19" s="43" t="n">
        <f aca="false">IF(Matrice_OD!X19&lt;=Param!$B$2,3_Huff!X19*3_Huff!X$139*1_Friction!X19,0)</f>
        <v>0</v>
      </c>
      <c r="Z19" s="43" t="n">
        <f aca="false">IF(Matrice_OD!Y19&lt;=Param!$B$2,3_Huff!Y19*3_Huff!Y$139*1_Friction!Y19,0)</f>
        <v>0</v>
      </c>
      <c r="AA19" s="43" t="n">
        <f aca="false">IF(Matrice_OD!Z19&lt;=Param!$B$2,3_Huff!Z19*3_Huff!Z$139*1_Friction!Z19,0)</f>
        <v>0</v>
      </c>
      <c r="AB19" s="43" t="n">
        <f aca="false">IF(Matrice_OD!AA19&lt;=Param!$B$2,3_Huff!AA19*3_Huff!AA$139*1_Friction!AA19,0)</f>
        <v>0</v>
      </c>
      <c r="AC19" s="43" t="n">
        <f aca="false">IF(Matrice_OD!AB19&lt;=Param!$B$2,3_Huff!AB19*3_Huff!AB$139*1_Friction!AB19,0)</f>
        <v>0</v>
      </c>
      <c r="AD19" s="43" t="n">
        <f aca="false">IF(Matrice_OD!AC19&lt;=Param!$B$2,3_Huff!AC19*3_Huff!AC$139*1_Friction!AC19,0)</f>
        <v>0</v>
      </c>
      <c r="AE19" s="43" t="n">
        <f aca="false">IF(Matrice_OD!AD19&lt;=Param!$B$2,3_Huff!AD19*3_Huff!AD$139*1_Friction!AD19,0)</f>
        <v>0</v>
      </c>
      <c r="AF19" s="43" t="n">
        <f aca="false">IF(Matrice_OD!AE19&lt;=Param!$B$2,3_Huff!AE19*3_Huff!AE$139*1_Friction!AE19,0)</f>
        <v>0</v>
      </c>
      <c r="AG19" s="43" t="n">
        <f aca="false">IF(Matrice_OD!AF19&lt;=Param!$B$2,3_Huff!AF19*3_Huff!AF$139*1_Friction!AF19,0)</f>
        <v>0</v>
      </c>
      <c r="AH19" s="43" t="n">
        <f aca="false">IF(Matrice_OD!AG19&lt;=Param!$B$2,3_Huff!AG19*3_Huff!AG$139*1_Friction!AG19,0)</f>
        <v>0</v>
      </c>
      <c r="AI19" s="43" t="n">
        <f aca="false">IF(Matrice_OD!AH19&lt;=Param!$B$2,3_Huff!AH19*3_Huff!AH$139*1_Friction!AH19,0)</f>
        <v>0</v>
      </c>
      <c r="AJ19" s="43" t="n">
        <f aca="false">IF(Matrice_OD!AI19&lt;=Param!$B$2,3_Huff!AI19*3_Huff!AI$139*1_Friction!AI19,0)</f>
        <v>0</v>
      </c>
      <c r="AK19" s="43" t="n">
        <f aca="false">IF(Matrice_OD!AJ19&lt;=Param!$B$2,3_Huff!AJ19*3_Huff!AJ$139*1_Friction!AJ19,0)</f>
        <v>0</v>
      </c>
      <c r="AL19" s="43" t="n">
        <f aca="false">IF(Matrice_OD!AK19&lt;=Param!$B$2,3_Huff!AK19*3_Huff!AK$139*1_Friction!AK19,0)</f>
        <v>0</v>
      </c>
      <c r="AM19" s="0" t="n">
        <f aca="false">IF(Matrice_OD!AL19&lt;=Param!$B$2,3_Huff!AL19*3_Huff!AL$139*1_Friction!AL19,0)</f>
        <v>0</v>
      </c>
      <c r="AN19" s="0" t="n">
        <f aca="false">IF(Matrice_OD!AM19&lt;=Param!$B$2,3_Huff!AM19*3_Huff!AM$139*1_Friction!AM19,0)</f>
        <v>0</v>
      </c>
      <c r="AO19" s="0" t="n">
        <f aca="false">IF(Matrice_OD!AN19&lt;=Param!$B$2,3_Huff!AN19*3_Huff!AN$139*1_Friction!AN19,0)</f>
        <v>0</v>
      </c>
      <c r="AP19" s="49" t="n">
        <f aca="false">SUM(D19:AO19)</f>
        <v>0</v>
      </c>
      <c r="AQ19" s="43" t="n">
        <f aca="false">AP19*1000</f>
        <v>0</v>
      </c>
      <c r="AR19" s="43" t="n">
        <f aca="false">RANK(AP19,AP$2:AP$136,0)</f>
        <v>123</v>
      </c>
      <c r="AS19" s="43" t="n">
        <f aca="false">COUNTIF(Matrice_OD!$C19:$AN19,"&lt;="&amp;Param!$B$2)</f>
        <v>0</v>
      </c>
    </row>
    <row r="20" customFormat="false" ht="15" hidden="false" customHeight="true" outlineLevel="0" collapsed="false">
      <c r="A20" s="0" t="s">
        <v>138</v>
      </c>
      <c r="B20" s="0" t="s">
        <v>139</v>
      </c>
      <c r="C20" s="0" t="n">
        <f aca="false">Demande!C20</f>
        <v>13153</v>
      </c>
      <c r="D20" s="43" t="n">
        <f aca="false">IF(Matrice_OD!C20&lt;=Param!$B$2,3_Huff!C20*3_Huff!C$139*1_Friction!C20,0)</f>
        <v>8.73488528294184E-008</v>
      </c>
      <c r="E20" s="43" t="n">
        <f aca="false">IF(Matrice_OD!D20&lt;=Param!$B$2,3_Huff!D20*3_Huff!D$139*1_Friction!D20,0)</f>
        <v>3.18883648406879E-006</v>
      </c>
      <c r="F20" s="43" t="n">
        <f aca="false">IF(Matrice_OD!E20&lt;=Param!$B$2,3_Huff!E20*3_Huff!E$139*1_Friction!E20,0)</f>
        <v>3.75138116679284E-005</v>
      </c>
      <c r="G20" s="43" t="n">
        <f aca="false">IF(Matrice_OD!F20&lt;=Param!$B$2,3_Huff!F20*3_Huff!F$139*1_Friction!F20,0)</f>
        <v>6.85973172157035E-006</v>
      </c>
      <c r="H20" s="43" t="n">
        <f aca="false">IF(Matrice_OD!G20&lt;=Param!$B$2,3_Huff!G20*3_Huff!G$139*1_Friction!G20,0)</f>
        <v>1.94494478311495E-005</v>
      </c>
      <c r="I20" s="43" t="n">
        <f aca="false">IF(Matrice_OD!H20&lt;=Param!$B$2,3_Huff!H20*3_Huff!H$139*1_Friction!H20,0)</f>
        <v>5.14159550961498E-006</v>
      </c>
      <c r="J20" s="43" t="n">
        <f aca="false">IF(Matrice_OD!I20&lt;=Param!$B$2,3_Huff!I20*3_Huff!I$139*1_Friction!I20,0)</f>
        <v>1.18903588348991E-005</v>
      </c>
      <c r="K20" s="43" t="n">
        <f aca="false">IF(Matrice_OD!J20&lt;=Param!$B$2,3_Huff!J20*3_Huff!J$139*1_Friction!J20,0)</f>
        <v>9.20798458059357E-006</v>
      </c>
      <c r="L20" s="43" t="n">
        <f aca="false">IF(Matrice_OD!K20&lt;=Param!$B$2,3_Huff!K20*3_Huff!K$139*1_Friction!K20,0)</f>
        <v>5.52062064116324E-006</v>
      </c>
      <c r="M20" s="43" t="n">
        <f aca="false">IF(Matrice_OD!L20&lt;=Param!$B$2,3_Huff!L20*3_Huff!L$139*1_Friction!L20,0)</f>
        <v>5.98751739272464E-006</v>
      </c>
      <c r="N20" s="43" t="n">
        <f aca="false">IF(Matrice_OD!M20&lt;=Param!$B$2,3_Huff!M20*3_Huff!M$139*1_Friction!M20,0)</f>
        <v>3.43015655681695E-005</v>
      </c>
      <c r="O20" s="43" t="n">
        <f aca="false">IF(Matrice_OD!N20&lt;=Param!$B$2,3_Huff!N20*3_Huff!N$139*1_Friction!N20,0)</f>
        <v>4.29545146944768E-006</v>
      </c>
      <c r="P20" s="43" t="n">
        <f aca="false">IF(Matrice_OD!O20&lt;=Param!$B$2,3_Huff!O20*3_Huff!O$139*1_Friction!O20,0)</f>
        <v>1.37821313601724E-005</v>
      </c>
      <c r="Q20" s="43" t="n">
        <f aca="false">IF(Matrice_OD!P20&lt;=Param!$B$2,3_Huff!P20*3_Huff!P$139*1_Friction!P20,0)</f>
        <v>6.85773160035753E-006</v>
      </c>
      <c r="R20" s="43" t="n">
        <f aca="false">IF(Matrice_OD!Q20&lt;=Param!$B$2,3_Huff!Q20*3_Huff!Q$139*1_Friction!Q20,0)</f>
        <v>6.12667363441854E-005</v>
      </c>
      <c r="S20" s="43" t="n">
        <f aca="false">IF(Matrice_OD!R20&lt;=Param!$B$2,3_Huff!R20*3_Huff!R$139*1_Friction!R20,0)</f>
        <v>8.11245467694826E-006</v>
      </c>
      <c r="T20" s="43" t="n">
        <f aca="false">IF(Matrice_OD!S20&lt;=Param!$B$2,3_Huff!S20*3_Huff!S$139*1_Friction!S20,0)</f>
        <v>5.89698817376167E-006</v>
      </c>
      <c r="U20" s="43" t="n">
        <f aca="false">IF(Matrice_OD!T20&lt;=Param!$B$2,3_Huff!T20*3_Huff!T$139*1_Friction!T20,0)</f>
        <v>1.7575504881809E-006</v>
      </c>
      <c r="V20" s="43" t="n">
        <f aca="false">IF(Matrice_OD!U20&lt;=Param!$B$2,3_Huff!U20*3_Huff!U$139*1_Friction!U20,0)</f>
        <v>2.17998008816663E-006</v>
      </c>
      <c r="W20" s="43" t="n">
        <f aca="false">IF(Matrice_OD!V20&lt;=Param!$B$2,3_Huff!V20*3_Huff!V$139*1_Friction!V20,0)</f>
        <v>5.83995991622432E-007</v>
      </c>
      <c r="X20" s="43" t="n">
        <f aca="false">IF(Matrice_OD!W20&lt;=Param!$B$2,3_Huff!W20*3_Huff!W$139*1_Friction!W20,0)</f>
        <v>1.53363424455009E-007</v>
      </c>
      <c r="Y20" s="43" t="n">
        <f aca="false">IF(Matrice_OD!X20&lt;=Param!$B$2,3_Huff!X20*3_Huff!X$139*1_Friction!X20,0)</f>
        <v>2.54194083045425E-007</v>
      </c>
      <c r="Z20" s="43" t="n">
        <f aca="false">IF(Matrice_OD!Y20&lt;=Param!$B$2,3_Huff!Y20*3_Huff!Y$139*1_Friction!Y20,0)</f>
        <v>1.69587314096093E-007</v>
      </c>
      <c r="AA20" s="43" t="n">
        <f aca="false">IF(Matrice_OD!Z20&lt;=Param!$B$2,3_Huff!Z20*3_Huff!Z$139*1_Friction!Z20,0)</f>
        <v>4.09698271637476E-007</v>
      </c>
      <c r="AB20" s="43" t="n">
        <f aca="false">IF(Matrice_OD!AA20&lt;=Param!$B$2,3_Huff!AA20*3_Huff!AA$139*1_Friction!AA20,0)</f>
        <v>8.91199453691033E-007</v>
      </c>
      <c r="AC20" s="43" t="n">
        <f aca="false">IF(Matrice_OD!AB20&lt;=Param!$B$2,3_Huff!AB20*3_Huff!AB$139*1_Friction!AB20,0)</f>
        <v>4.84693581325645E-007</v>
      </c>
      <c r="AD20" s="43" t="n">
        <f aca="false">IF(Matrice_OD!AC20&lt;=Param!$B$2,3_Huff!AC20*3_Huff!AC$139*1_Friction!AC20,0)</f>
        <v>0</v>
      </c>
      <c r="AE20" s="43" t="n">
        <f aca="false">IF(Matrice_OD!AD20&lt;=Param!$B$2,3_Huff!AD20*3_Huff!AD$139*1_Friction!AD20,0)</f>
        <v>0</v>
      </c>
      <c r="AF20" s="43" t="n">
        <f aca="false">IF(Matrice_OD!AE20&lt;=Param!$B$2,3_Huff!AE20*3_Huff!AE$139*1_Friction!AE20,0)</f>
        <v>0</v>
      </c>
      <c r="AG20" s="43" t="n">
        <f aca="false">IF(Matrice_OD!AF20&lt;=Param!$B$2,3_Huff!AF20*3_Huff!AF$139*1_Friction!AF20,0)</f>
        <v>0</v>
      </c>
      <c r="AH20" s="43" t="n">
        <f aca="false">IF(Matrice_OD!AG20&lt;=Param!$B$2,3_Huff!AG20*3_Huff!AG$139*1_Friction!AG20,0)</f>
        <v>0</v>
      </c>
      <c r="AI20" s="43" t="n">
        <f aca="false">IF(Matrice_OD!AH20&lt;=Param!$B$2,3_Huff!AH20*3_Huff!AH$139*1_Friction!AH20,0)</f>
        <v>2.16674872462129E-005</v>
      </c>
      <c r="AJ20" s="43" t="n">
        <f aca="false">IF(Matrice_OD!AI20&lt;=Param!$B$2,3_Huff!AI20*3_Huff!AI$139*1_Friction!AI20,0)</f>
        <v>7.39704423228653E-007</v>
      </c>
      <c r="AK20" s="43" t="n">
        <f aca="false">IF(Matrice_OD!AJ20&lt;=Param!$B$2,3_Huff!AJ20*3_Huff!AJ$139*1_Friction!AJ20,0)</f>
        <v>3.44385671457166E-007</v>
      </c>
      <c r="AL20" s="43" t="n">
        <f aca="false">IF(Matrice_OD!AK20&lt;=Param!$B$2,3_Huff!AK20*3_Huff!AK$139*1_Friction!AK20,0)</f>
        <v>0</v>
      </c>
      <c r="AM20" s="0" t="n">
        <f aca="false">IF(Matrice_OD!AL20&lt;=Param!$B$2,3_Huff!AL20*3_Huff!AL$139*1_Friction!AL20,0)</f>
        <v>0</v>
      </c>
      <c r="AN20" s="0" t="n">
        <f aca="false">IF(Matrice_OD!AM20&lt;=Param!$B$2,3_Huff!AM20*3_Huff!AM$139*1_Friction!AM20,0)</f>
        <v>1.80803792694959E-007</v>
      </c>
      <c r="AO20" s="0" t="n">
        <f aca="false">IF(Matrice_OD!AN20&lt;=Param!$B$2,3_Huff!AN20*3_Huff!AN$139*1_Friction!AN20,0)</f>
        <v>0</v>
      </c>
      <c r="AP20" s="48" t="n">
        <f aca="false">SUM(D20:AO20)</f>
        <v>0.000269176956539399</v>
      </c>
      <c r="AQ20" s="43" t="n">
        <f aca="false">AP20*1000</f>
        <v>0.269176956539399</v>
      </c>
      <c r="AR20" s="43" t="n">
        <f aca="false">RANK(AP20,AP$2:AP$136,0)</f>
        <v>31</v>
      </c>
      <c r="AS20" s="43" t="n">
        <f aca="false">COUNTIF(Matrice_OD!$C20:$AN20,"&lt;="&amp;Param!$B$2)</f>
        <v>30</v>
      </c>
    </row>
    <row r="21" customFormat="false" ht="15" hidden="false" customHeight="true" outlineLevel="0" collapsed="false">
      <c r="A21" s="0" t="s">
        <v>140</v>
      </c>
      <c r="B21" s="0" t="s">
        <v>141</v>
      </c>
      <c r="C21" s="0" t="n">
        <f aca="false">Demande!C21</f>
        <v>8167</v>
      </c>
      <c r="D21" s="43" t="n">
        <f aca="false">IF(Matrice_OD!C21&lt;=Param!$B$2,3_Huff!C21*3_Huff!C$139*1_Friction!C21,0)</f>
        <v>1.87894285037817E-008</v>
      </c>
      <c r="E21" s="43" t="n">
        <f aca="false">IF(Matrice_OD!D21&lt;=Param!$B$2,3_Huff!D21*3_Huff!D$139*1_Friction!D21,0)</f>
        <v>1.68479239391363E-006</v>
      </c>
      <c r="F21" s="43" t="n">
        <f aca="false">IF(Matrice_OD!E21&lt;=Param!$B$2,3_Huff!E21*3_Huff!E$139*1_Friction!E21,0)</f>
        <v>1.99880998180125E-005</v>
      </c>
      <c r="G21" s="43" t="n">
        <f aca="false">IF(Matrice_OD!F21&lt;=Param!$B$2,3_Huff!F21*3_Huff!F$139*1_Friction!F21,0)</f>
        <v>3.68384017844354E-006</v>
      </c>
      <c r="H21" s="43" t="n">
        <f aca="false">IF(Matrice_OD!G21&lt;=Param!$B$2,3_Huff!G21*3_Huff!G$139*1_Friction!G21,0)</f>
        <v>1.03686946701865E-005</v>
      </c>
      <c r="I21" s="43" t="n">
        <f aca="false">IF(Matrice_OD!H21&lt;=Param!$B$2,3_Huff!H21*3_Huff!H$139*1_Friction!H21,0)</f>
        <v>2.92727322554334E-006</v>
      </c>
      <c r="J21" s="43" t="n">
        <f aca="false">IF(Matrice_OD!I21&lt;=Param!$B$2,3_Huff!I21*3_Huff!I$139*1_Friction!I21,0)</f>
        <v>6.72302779367103E-006</v>
      </c>
      <c r="K21" s="43" t="n">
        <f aca="false">IF(Matrice_OD!J21&lt;=Param!$B$2,3_Huff!J21*3_Huff!J$139*1_Friction!J21,0)</f>
        <v>5.1054582176466E-006</v>
      </c>
      <c r="L21" s="43" t="n">
        <f aca="false">IF(Matrice_OD!K21&lt;=Param!$B$2,3_Huff!K21*3_Huff!K$139*1_Friction!K21,0)</f>
        <v>2.99506495405601E-006</v>
      </c>
      <c r="M21" s="43" t="n">
        <f aca="false">IF(Matrice_OD!L21&lt;=Param!$B$2,3_Huff!L21*3_Huff!L$139*1_Friction!L21,0)</f>
        <v>3.38742409929997E-006</v>
      </c>
      <c r="N21" s="43" t="n">
        <f aca="false">IF(Matrice_OD!M21&lt;=Param!$B$2,3_Huff!M21*3_Huff!M$139*1_Friction!M21,0)</f>
        <v>2.01228901699864E-005</v>
      </c>
      <c r="O21" s="43" t="n">
        <f aca="false">IF(Matrice_OD!N21&lt;=Param!$B$2,3_Huff!N21*3_Huff!N$139*1_Friction!N21,0)</f>
        <v>2.39154476936398E-006</v>
      </c>
      <c r="P21" s="43" t="n">
        <f aca="false">IF(Matrice_OD!O21&lt;=Param!$B$2,3_Huff!O21*3_Huff!O$139*1_Friction!O21,0)</f>
        <v>7.71758535680611E-006</v>
      </c>
      <c r="Q21" s="43" t="n">
        <f aca="false">IF(Matrice_OD!P21&lt;=Param!$B$2,3_Huff!P21*3_Huff!P$139*1_Friction!P21,0)</f>
        <v>3.88167720020501E-006</v>
      </c>
      <c r="R21" s="43" t="n">
        <f aca="false">IF(Matrice_OD!Q21&lt;=Param!$B$2,3_Huff!Q21*3_Huff!Q$139*1_Friction!Q21,0)</f>
        <v>3.47524405416071E-005</v>
      </c>
      <c r="S21" s="43" t="n">
        <f aca="false">IF(Matrice_OD!R21&lt;=Param!$B$2,3_Huff!R21*3_Huff!R$139*1_Friction!R21,0)</f>
        <v>4.57492997610865E-006</v>
      </c>
      <c r="T21" s="43" t="n">
        <f aca="false">IF(Matrice_OD!S21&lt;=Param!$B$2,3_Huff!S21*3_Huff!S$139*1_Friction!S21,0)</f>
        <v>3.26891523382147E-006</v>
      </c>
      <c r="U21" s="43" t="n">
        <f aca="false">IF(Matrice_OD!T21&lt;=Param!$B$2,3_Huff!T21*3_Huff!T$139*1_Friction!T21,0)</f>
        <v>9.51605763429503E-007</v>
      </c>
      <c r="V21" s="43" t="n">
        <f aca="false">IF(Matrice_OD!U21&lt;=Param!$B$2,3_Huff!U21*3_Huff!U$139*1_Friction!U21,0)</f>
        <v>1.17177492607917E-006</v>
      </c>
      <c r="W21" s="43" t="n">
        <f aca="false">IF(Matrice_OD!V21&lt;=Param!$B$2,3_Huff!V21*3_Huff!V$139*1_Friction!V21,0)</f>
        <v>1.69367926126073E-007</v>
      </c>
      <c r="X21" s="43" t="n">
        <f aca="false">IF(Matrice_OD!W21&lt;=Param!$B$2,3_Huff!W21*3_Huff!W$139*1_Friction!W21,0)</f>
        <v>4.64397017391255E-008</v>
      </c>
      <c r="Y21" s="43" t="n">
        <f aca="false">IF(Matrice_OD!X21&lt;=Param!$B$2,3_Huff!X21*3_Huff!X$139*1_Friction!X21,0)</f>
        <v>7.93843491986988E-008</v>
      </c>
      <c r="Z21" s="43" t="n">
        <f aca="false">IF(Matrice_OD!Y21&lt;=Param!$B$2,3_Huff!Y21*3_Huff!Y$139*1_Friction!Y21,0)</f>
        <v>5.29365222387458E-008</v>
      </c>
      <c r="AA21" s="43" t="n">
        <f aca="false">IF(Matrice_OD!Z21&lt;=Param!$B$2,3_Huff!Z21*3_Huff!Z$139*1_Friction!Z21,0)</f>
        <v>1.27004400442364E-007</v>
      </c>
      <c r="AB21" s="43" t="n">
        <f aca="false">IF(Matrice_OD!AA21&lt;=Param!$B$2,3_Huff!AA21*3_Huff!AA$139*1_Friction!AA21,0)</f>
        <v>2.79719112092278E-007</v>
      </c>
      <c r="AC21" s="43" t="n">
        <f aca="false">IF(Matrice_OD!AB21&lt;=Param!$B$2,3_Huff!AB21*3_Huff!AB$139*1_Friction!AB21,0)</f>
        <v>1.569077069533E-007</v>
      </c>
      <c r="AD21" s="43" t="n">
        <f aca="false">IF(Matrice_OD!AC21&lt;=Param!$B$2,3_Huff!AC21*3_Huff!AC$139*1_Friction!AC21,0)</f>
        <v>0</v>
      </c>
      <c r="AE21" s="43" t="n">
        <f aca="false">IF(Matrice_OD!AD21&lt;=Param!$B$2,3_Huff!AD21*3_Huff!AD$139*1_Friction!AD21,0)</f>
        <v>0</v>
      </c>
      <c r="AF21" s="43" t="n">
        <f aca="false">IF(Matrice_OD!AE21&lt;=Param!$B$2,3_Huff!AE21*3_Huff!AE$139*1_Friction!AE21,0)</f>
        <v>0</v>
      </c>
      <c r="AG21" s="43" t="n">
        <f aca="false">IF(Matrice_OD!AF21&lt;=Param!$B$2,3_Huff!AF21*3_Huff!AF$139*1_Friction!AF21,0)</f>
        <v>0</v>
      </c>
      <c r="AH21" s="43" t="n">
        <f aca="false">IF(Matrice_OD!AG21&lt;=Param!$B$2,3_Huff!AG21*3_Huff!AG$139*1_Friction!AG21,0)</f>
        <v>0</v>
      </c>
      <c r="AI21" s="43" t="n">
        <f aca="false">IF(Matrice_OD!AH21&lt;=Param!$B$2,3_Huff!AH21*3_Huff!AH$139*1_Friction!AH21,0)</f>
        <v>1.25581068542508E-005</v>
      </c>
      <c r="AJ21" s="43" t="n">
        <f aca="false">IF(Matrice_OD!AI21&lt;=Param!$B$2,3_Huff!AI21*3_Huff!AI$139*1_Friction!AI21,0)</f>
        <v>3.91292696061166E-007</v>
      </c>
      <c r="AK21" s="43" t="n">
        <f aca="false">IF(Matrice_OD!AJ21&lt;=Param!$B$2,3_Huff!AJ21*3_Huff!AJ$139*1_Friction!AJ21,0)</f>
        <v>1.05390074292583E-007</v>
      </c>
      <c r="AL21" s="43" t="n">
        <f aca="false">IF(Matrice_OD!AK21&lt;=Param!$B$2,3_Huff!AK21*3_Huff!AK$139*1_Friction!AK21,0)</f>
        <v>0</v>
      </c>
      <c r="AM21" s="0" t="n">
        <f aca="false">IF(Matrice_OD!AL21&lt;=Param!$B$2,3_Huff!AL21*3_Huff!AL$139*1_Friction!AL21,0)</f>
        <v>0</v>
      </c>
      <c r="AN21" s="0" t="n">
        <f aca="false">IF(Matrice_OD!AM21&lt;=Param!$B$2,3_Huff!AM21*3_Huff!AM$139*1_Friction!AM21,0)</f>
        <v>3.71116549234172E-008</v>
      </c>
      <c r="AO21" s="0" t="n">
        <f aca="false">IF(Matrice_OD!AN21&lt;=Param!$B$2,3_Huff!AN21*3_Huff!AN$139*1_Friction!AN21,0)</f>
        <v>0</v>
      </c>
      <c r="AP21" s="49" t="n">
        <f aca="false">SUM(D21:AO21)</f>
        <v>0.000149719489715003</v>
      </c>
      <c r="AQ21" s="43" t="n">
        <f aca="false">AP21*1000</f>
        <v>0.149719489715003</v>
      </c>
      <c r="AR21" s="43" t="n">
        <f aca="false">RANK(AP21,AP$2:AP$136,0)</f>
        <v>60</v>
      </c>
      <c r="AS21" s="43" t="n">
        <f aca="false">COUNTIF(Matrice_OD!$C21:$AN21,"&lt;="&amp;Param!$B$2)</f>
        <v>30</v>
      </c>
    </row>
    <row r="22" customFormat="false" ht="15" hidden="false" customHeight="true" outlineLevel="0" collapsed="false">
      <c r="A22" s="0" t="s">
        <v>142</v>
      </c>
      <c r="B22" s="0" t="s">
        <v>143</v>
      </c>
      <c r="C22" s="0" t="n">
        <f aca="false">Demande!C22</f>
        <v>14247</v>
      </c>
      <c r="D22" s="43" t="n">
        <f aca="false">IF(Matrice_OD!C22&lt;=Param!$B$2,3_Huff!C22*3_Huff!C$139*1_Friction!C22,0)</f>
        <v>7.71431804964284E-007</v>
      </c>
      <c r="E22" s="43" t="n">
        <f aca="false">IF(Matrice_OD!D22&lt;=Param!$B$2,3_Huff!D22*3_Huff!D$139*1_Friction!D22,0)</f>
        <v>2.37265616644386E-006</v>
      </c>
      <c r="F22" s="43" t="n">
        <f aca="false">IF(Matrice_OD!E22&lt;=Param!$B$2,3_Huff!E22*3_Huff!E$139*1_Friction!E22,0)</f>
        <v>2.79739153718707E-005</v>
      </c>
      <c r="G22" s="43" t="n">
        <f aca="false">IF(Matrice_OD!F22&lt;=Param!$B$2,3_Huff!F22*3_Huff!F$139*1_Friction!F22,0)</f>
        <v>5.12581027591763E-006</v>
      </c>
      <c r="H22" s="43" t="n">
        <f aca="false">IF(Matrice_OD!G22&lt;=Param!$B$2,3_Huff!G22*3_Huff!G$139*1_Friction!G22,0)</f>
        <v>1.45144026321237E-005</v>
      </c>
      <c r="I22" s="43" t="n">
        <f aca="false">IF(Matrice_OD!H22&lt;=Param!$B$2,3_Huff!H22*3_Huff!H$139*1_Friction!H22,0)</f>
        <v>3.90341752452753E-006</v>
      </c>
      <c r="J22" s="43" t="n">
        <f aca="false">IF(Matrice_OD!I22&lt;=Param!$B$2,3_Huff!I22*3_Huff!I$139*1_Friction!I22,0)</f>
        <v>9.01326848895902E-006</v>
      </c>
      <c r="K22" s="43" t="n">
        <f aca="false">IF(Matrice_OD!J22&lt;=Param!$B$2,3_Huff!J22*3_Huff!J$139*1_Friction!J22,0)</f>
        <v>6.94240278139948E-006</v>
      </c>
      <c r="L22" s="43" t="n">
        <f aca="false">IF(Matrice_OD!K22&lt;=Param!$B$2,3_Huff!K22*3_Huff!K$139*1_Friction!K22,0)</f>
        <v>4.13619805281228E-006</v>
      </c>
      <c r="M22" s="43" t="n">
        <f aca="false">IF(Matrice_OD!L22&lt;=Param!$B$2,3_Huff!L22*3_Huff!L$139*1_Friction!L22,0)</f>
        <v>4.53941731789837E-006</v>
      </c>
      <c r="N22" s="43" t="n">
        <f aca="false">IF(Matrice_OD!M22&lt;=Param!$B$2,3_Huff!M22*3_Huff!M$139*1_Friction!M22,0)</f>
        <v>2.62457368805604E-005</v>
      </c>
      <c r="O22" s="43" t="n">
        <f aca="false">IF(Matrice_OD!N22&lt;=Param!$B$2,3_Huff!N22*3_Huff!N$139*1_Friction!N22,0)</f>
        <v>3.24016352647601E-006</v>
      </c>
      <c r="P22" s="43" t="n">
        <f aca="false">IF(Matrice_OD!O22&lt;=Param!$B$2,3_Huff!O22*3_Huff!O$139*1_Friction!O22,0)</f>
        <v>1.04179720658204E-005</v>
      </c>
      <c r="Q22" s="43" t="n">
        <f aca="false">IF(Matrice_OD!P22&lt;=Param!$B$2,3_Huff!P22*3_Huff!P$139*1_Friction!P22,0)</f>
        <v>5.19837769385248E-006</v>
      </c>
      <c r="R22" s="43" t="n">
        <f aca="false">IF(Matrice_OD!Q22&lt;=Param!$B$2,3_Huff!Q22*3_Huff!Q$139*1_Friction!Q22,0)</f>
        <v>4.64408745356244E-005</v>
      </c>
      <c r="S22" s="43" t="n">
        <f aca="false">IF(Matrice_OD!R22&lt;=Param!$B$2,3_Huff!R22*3_Huff!R$139*1_Friction!R22,0)</f>
        <v>6.1452950817315E-006</v>
      </c>
      <c r="T22" s="43" t="n">
        <f aca="false">IF(Matrice_OD!S22&lt;=Param!$B$2,3_Huff!S22*3_Huff!S$139*1_Friction!S22,0)</f>
        <v>4.4431612295034E-006</v>
      </c>
      <c r="U22" s="43" t="n">
        <f aca="false">IF(Matrice_OD!T22&lt;=Param!$B$2,3_Huff!T22*3_Huff!T$139*1_Friction!T22,0)</f>
        <v>1.01773604581878E-005</v>
      </c>
      <c r="V22" s="43" t="n">
        <f aca="false">IF(Matrice_OD!U22&lt;=Param!$B$2,3_Huff!U22*3_Huff!U$139*1_Friction!U22,0)</f>
        <v>3.80794951803336E-006</v>
      </c>
      <c r="W22" s="43" t="n">
        <f aca="false">IF(Matrice_OD!V22&lt;=Param!$B$2,3_Huff!V22*3_Huff!V$139*1_Friction!V22,0)</f>
        <v>4.43309451709638E-006</v>
      </c>
      <c r="X22" s="43" t="n">
        <f aca="false">IF(Matrice_OD!W22&lt;=Param!$B$2,3_Huff!W22*3_Huff!W$139*1_Friction!W22,0)</f>
        <v>6.52074316522846E-007</v>
      </c>
      <c r="Y22" s="43" t="n">
        <f aca="false">IF(Matrice_OD!X22&lt;=Param!$B$2,3_Huff!X22*3_Huff!X$139*1_Friction!X22,0)</f>
        <v>8.54713642207497E-007</v>
      </c>
      <c r="Z22" s="43" t="n">
        <f aca="false">IF(Matrice_OD!Y22&lt;=Param!$B$2,3_Huff!Y22*3_Huff!Y$139*1_Friction!Y22,0)</f>
        <v>5.70438925615579E-007</v>
      </c>
      <c r="AA22" s="43" t="n">
        <f aca="false">IF(Matrice_OD!Z22&lt;=Param!$B$2,3_Huff!Z22*3_Huff!Z$139*1_Friction!Z22,0)</f>
        <v>1.38550633460962E-006</v>
      </c>
      <c r="AB22" s="43" t="n">
        <f aca="false">IF(Matrice_OD!AA22&lt;=Param!$B$2,3_Huff!AA22*3_Huff!AA$139*1_Friction!AA22,0)</f>
        <v>2.2575663862294E-006</v>
      </c>
      <c r="AC22" s="43" t="n">
        <f aca="false">IF(Matrice_OD!AB22&lt;=Param!$B$2,3_Huff!AB22*3_Huff!AB$139*1_Friction!AB22,0)</f>
        <v>1.11005902524312E-006</v>
      </c>
      <c r="AD22" s="43" t="n">
        <f aca="false">IF(Matrice_OD!AC22&lt;=Param!$B$2,3_Huff!AC22*3_Huff!AC$139*1_Friction!AC22,0)</f>
        <v>0</v>
      </c>
      <c r="AE22" s="43" t="n">
        <f aca="false">IF(Matrice_OD!AD22&lt;=Param!$B$2,3_Huff!AD22*3_Huff!AD$139*1_Friction!AD22,0)</f>
        <v>0</v>
      </c>
      <c r="AF22" s="43" t="n">
        <f aca="false">IF(Matrice_OD!AE22&lt;=Param!$B$2,3_Huff!AE22*3_Huff!AE$139*1_Friction!AE22,0)</f>
        <v>0</v>
      </c>
      <c r="AG22" s="43" t="n">
        <f aca="false">IF(Matrice_OD!AF22&lt;=Param!$B$2,3_Huff!AF22*3_Huff!AF$139*1_Friction!AF22,0)</f>
        <v>0</v>
      </c>
      <c r="AH22" s="43" t="n">
        <f aca="false">IF(Matrice_OD!AG22&lt;=Param!$B$2,3_Huff!AG22*3_Huff!AG$139*1_Friction!AG22,0)</f>
        <v>0</v>
      </c>
      <c r="AI22" s="43" t="n">
        <f aca="false">IF(Matrice_OD!AH22&lt;=Param!$B$2,3_Huff!AH22*3_Huff!AH$139*1_Friction!AH22,0)</f>
        <v>1.65310274520872E-005</v>
      </c>
      <c r="AJ22" s="43" t="n">
        <f aca="false">IF(Matrice_OD!AI22&lt;=Param!$B$2,3_Huff!AI22*3_Huff!AI$139*1_Friction!AI22,0)</f>
        <v>4.48025973502452E-006</v>
      </c>
      <c r="AK22" s="43" t="n">
        <f aca="false">IF(Matrice_OD!AJ22&lt;=Param!$B$2,3_Huff!AJ22*3_Huff!AJ$139*1_Friction!AJ22,0)</f>
        <v>1.17631993698342E-006</v>
      </c>
      <c r="AL22" s="43" t="n">
        <f aca="false">IF(Matrice_OD!AK22&lt;=Param!$B$2,3_Huff!AK22*3_Huff!AK$139*1_Friction!AK22,0)</f>
        <v>0</v>
      </c>
      <c r="AM22" s="0" t="n">
        <f aca="false">IF(Matrice_OD!AL22&lt;=Param!$B$2,3_Huff!AL22*3_Huff!AL$139*1_Friction!AL22,0)</f>
        <v>0</v>
      </c>
      <c r="AN22" s="0" t="n">
        <f aca="false">IF(Matrice_OD!AM22&lt;=Param!$B$2,3_Huff!AM22*3_Huff!AM$139*1_Friction!AM22,0)</f>
        <v>1.84261891588899E-006</v>
      </c>
      <c r="AO22" s="0" t="n">
        <f aca="false">IF(Matrice_OD!AN22&lt;=Param!$B$2,3_Huff!AN22*3_Huff!AN$139*1_Friction!AN22,0)</f>
        <v>0</v>
      </c>
      <c r="AP22" s="48" t="n">
        <f aca="false">SUM(D22:AO22)</f>
        <v>0.000230703490594215</v>
      </c>
      <c r="AQ22" s="43" t="n">
        <f aca="false">AP22*1000</f>
        <v>0.230703490594215</v>
      </c>
      <c r="AR22" s="43" t="n">
        <f aca="false">RANK(AP22,AP$2:AP$136,0)</f>
        <v>40</v>
      </c>
      <c r="AS22" s="43" t="n">
        <f aca="false">COUNTIF(Matrice_OD!$C22:$AN22,"&lt;="&amp;Param!$B$2)</f>
        <v>30</v>
      </c>
    </row>
    <row r="23" customFormat="false" ht="15" hidden="false" customHeight="true" outlineLevel="0" collapsed="false">
      <c r="A23" s="0" t="s">
        <v>144</v>
      </c>
      <c r="B23" s="0" t="s">
        <v>145</v>
      </c>
      <c r="C23" s="0" t="n">
        <f aca="false">Demande!C23</f>
        <v>13441</v>
      </c>
      <c r="D23" s="43" t="n">
        <f aca="false">IF(Matrice_OD!C23&lt;=Param!$B$2,3_Huff!C23*3_Huff!C$139*1_Friction!C23,0)</f>
        <v>1.23654814560545E-007</v>
      </c>
      <c r="E23" s="43" t="n">
        <f aca="false">IF(Matrice_OD!D23&lt;=Param!$B$2,3_Huff!D23*3_Huff!D$139*1_Friction!D23,0)</f>
        <v>1.79753123387998E-006</v>
      </c>
      <c r="F23" s="43" t="n">
        <f aca="false">IF(Matrice_OD!E23&lt;=Param!$B$2,3_Huff!E23*3_Huff!E$139*1_Friction!E23,0)</f>
        <v>2.12892192503493E-005</v>
      </c>
      <c r="G23" s="43" t="n">
        <f aca="false">IF(Matrice_OD!F23&lt;=Param!$B$2,3_Huff!F23*3_Huff!F$139*1_Friction!F23,0)</f>
        <v>3.91740378563304E-006</v>
      </c>
      <c r="H23" s="43" t="n">
        <f aca="false">IF(Matrice_OD!G23&lt;=Param!$B$2,3_Huff!G23*3_Huff!G$139*1_Friction!G23,0)</f>
        <v>1.10325051307769E-005</v>
      </c>
      <c r="I23" s="43" t="n">
        <f aca="false">IF(Matrice_OD!H23&lt;=Param!$B$2,3_Huff!H23*3_Huff!H$139*1_Friction!H23,0)</f>
        <v>3.07365060502311E-006</v>
      </c>
      <c r="J23" s="43" t="n">
        <f aca="false">IF(Matrice_OD!I23&lt;=Param!$B$2,3_Huff!I23*3_Huff!I$139*1_Friction!I23,0)</f>
        <v>7.07513549446844E-006</v>
      </c>
      <c r="K23" s="43" t="n">
        <f aca="false">IF(Matrice_OD!J23&lt;=Param!$B$2,3_Huff!J23*3_Huff!J$139*1_Friction!J23,0)</f>
        <v>5.38945411246077E-006</v>
      </c>
      <c r="L23" s="43" t="n">
        <f aca="false">IF(Matrice_OD!K23&lt;=Param!$B$2,3_Huff!K23*3_Huff!K$139*1_Friction!K23,0)</f>
        <v>3.17839958345368E-006</v>
      </c>
      <c r="M23" s="43" t="n">
        <f aca="false">IF(Matrice_OD!L23&lt;=Param!$B$2,3_Huff!L23*3_Huff!L$139*1_Friction!L23,0)</f>
        <v>3.5644150368418E-006</v>
      </c>
      <c r="N23" s="43" t="n">
        <f aca="false">IF(Matrice_OD!M23&lt;=Param!$B$2,3_Huff!M23*3_Huff!M$139*1_Friction!M23,0)</f>
        <v>2.1001823370023E-005</v>
      </c>
      <c r="O23" s="43" t="n">
        <f aca="false">IF(Matrice_OD!N23&lt;=Param!$B$2,3_Huff!N23*3_Huff!N$139*1_Friction!N23,0)</f>
        <v>2.52466711381615E-006</v>
      </c>
      <c r="P23" s="43" t="n">
        <f aca="false">IF(Matrice_OD!O23&lt;=Param!$B$2,3_Huff!O23*3_Huff!O$139*1_Friction!O23,0)</f>
        <v>8.13902130052787E-006</v>
      </c>
      <c r="Q23" s="43" t="n">
        <f aca="false">IF(Matrice_OD!P23&lt;=Param!$B$2,3_Huff!P23*3_Huff!P$139*1_Friction!P23,0)</f>
        <v>4.08056484509278E-006</v>
      </c>
      <c r="R23" s="43" t="n">
        <f aca="false">IF(Matrice_OD!Q23&lt;=Param!$B$2,3_Huff!Q23*3_Huff!Q$139*1_Friction!Q23,0)</f>
        <v>3.65488554190896E-005</v>
      </c>
      <c r="S23" s="43" t="n">
        <f aca="false">IF(Matrice_OD!R23&lt;=Param!$B$2,3_Huff!R23*3_Huff!R$139*1_Friction!R23,0)</f>
        <v>4.8170874214552E-006</v>
      </c>
      <c r="T23" s="43" t="n">
        <f aca="false">IF(Matrice_OD!S23&lt;=Param!$B$2,3_Huff!S23*3_Huff!S$139*1_Friction!S23,0)</f>
        <v>3.45392553794931E-006</v>
      </c>
      <c r="U23" s="43" t="n">
        <f aca="false">IF(Matrice_OD!T23&lt;=Param!$B$2,3_Huff!T23*3_Huff!T$139*1_Friction!T23,0)</f>
        <v>4.40133974586934E-006</v>
      </c>
      <c r="V23" s="43" t="n">
        <f aca="false">IF(Matrice_OD!U23&lt;=Param!$B$2,3_Huff!U23*3_Huff!U$139*1_Friction!U23,0)</f>
        <v>2.83892718043398E-006</v>
      </c>
      <c r="W23" s="43" t="n">
        <f aca="false">IF(Matrice_OD!V23&lt;=Param!$B$2,3_Huff!V23*3_Huff!V$139*1_Friction!V23,0)</f>
        <v>7.04586484727653E-007</v>
      </c>
      <c r="X23" s="43" t="n">
        <f aca="false">IF(Matrice_OD!W23&lt;=Param!$B$2,3_Huff!W23*3_Huff!W$139*1_Friction!W23,0)</f>
        <v>1.85980527004368E-007</v>
      </c>
      <c r="Y23" s="43" t="n">
        <f aca="false">IF(Matrice_OD!X23&lt;=Param!$B$2,3_Huff!X23*3_Huff!X$139*1_Friction!X23,0)</f>
        <v>3.09506750855864E-007</v>
      </c>
      <c r="Z23" s="43" t="n">
        <f aca="false">IF(Matrice_OD!Y23&lt;=Param!$B$2,3_Huff!Y23*3_Huff!Y$139*1_Friction!Y23,0)</f>
        <v>2.06477328245229E-007</v>
      </c>
      <c r="AA23" s="43" t="n">
        <f aca="false">IF(Matrice_OD!Z23&lt;=Param!$B$2,3_Huff!Z23*3_Huff!Z$139*1_Friction!Z23,0)</f>
        <v>4.98391694258508E-007</v>
      </c>
      <c r="AB23" s="43" t="n">
        <f aca="false">IF(Matrice_OD!AA23&lt;=Param!$B$2,3_Huff!AA23*3_Huff!AA$139*1_Friction!AA23,0)</f>
        <v>1.08579848223691E-006</v>
      </c>
      <c r="AC23" s="43" t="n">
        <f aca="false">IF(Matrice_OD!AB23&lt;=Param!$B$2,3_Huff!AB23*3_Huff!AB$139*1_Friction!AB23,0)</f>
        <v>5.92663261825018E-007</v>
      </c>
      <c r="AD23" s="43" t="n">
        <f aca="false">IF(Matrice_OD!AC23&lt;=Param!$B$2,3_Huff!AC23*3_Huff!AC$139*1_Friction!AC23,0)</f>
        <v>0</v>
      </c>
      <c r="AE23" s="43" t="n">
        <f aca="false">IF(Matrice_OD!AD23&lt;=Param!$B$2,3_Huff!AD23*3_Huff!AD$139*1_Friction!AD23,0)</f>
        <v>0</v>
      </c>
      <c r="AF23" s="43" t="n">
        <f aca="false">IF(Matrice_OD!AE23&lt;=Param!$B$2,3_Huff!AE23*3_Huff!AE$139*1_Friction!AE23,0)</f>
        <v>0</v>
      </c>
      <c r="AG23" s="43" t="n">
        <f aca="false">IF(Matrice_OD!AF23&lt;=Param!$B$2,3_Huff!AF23*3_Huff!AF$139*1_Friction!AF23,0)</f>
        <v>0</v>
      </c>
      <c r="AH23" s="43" t="n">
        <f aca="false">IF(Matrice_OD!AG23&lt;=Param!$B$2,3_Huff!AG23*3_Huff!AG$139*1_Friction!AG23,0)</f>
        <v>0</v>
      </c>
      <c r="AI23" s="43" t="n">
        <f aca="false">IF(Matrice_OD!AH23&lt;=Param!$B$2,3_Huff!AH23*3_Huff!AH$139*1_Friction!AH23,0)</f>
        <v>1.31498169625994E-005</v>
      </c>
      <c r="AJ23" s="43" t="n">
        <f aca="false">IF(Matrice_OD!AI23&lt;=Param!$B$2,3_Huff!AI23*3_Huff!AI$139*1_Friction!AI23,0)</f>
        <v>1.87231303233574E-006</v>
      </c>
      <c r="AK23" s="43" t="n">
        <f aca="false">IF(Matrice_OD!AJ23&lt;=Param!$B$2,3_Huff!AJ23*3_Huff!AJ$139*1_Friction!AJ23,0)</f>
        <v>4.18271626194131E-007</v>
      </c>
      <c r="AL23" s="43" t="n">
        <f aca="false">IF(Matrice_OD!AK23&lt;=Param!$B$2,3_Huff!AK23*3_Huff!AK$139*1_Friction!AK23,0)</f>
        <v>0</v>
      </c>
      <c r="AM23" s="0" t="n">
        <f aca="false">IF(Matrice_OD!AL23&lt;=Param!$B$2,3_Huff!AL23*3_Huff!AL$139*1_Friction!AL23,0)</f>
        <v>0</v>
      </c>
      <c r="AN23" s="0" t="n">
        <f aca="false">IF(Matrice_OD!AM23&lt;=Param!$B$2,3_Huff!AM23*3_Huff!AM$139*1_Friction!AM23,0)</f>
        <v>2.84175281881583E-007</v>
      </c>
      <c r="AO23" s="0" t="n">
        <f aca="false">IF(Matrice_OD!AN23&lt;=Param!$B$2,3_Huff!AN23*3_Huff!AN$139*1_Friction!AN23,0)</f>
        <v>0</v>
      </c>
      <c r="AP23" s="49" t="n">
        <f aca="false">SUM(D23:AO23)</f>
        <v>0.000167555562413869</v>
      </c>
      <c r="AQ23" s="43" t="n">
        <f aca="false">AP23*1000</f>
        <v>0.167555562413869</v>
      </c>
      <c r="AR23" s="43" t="n">
        <f aca="false">RANK(AP23,AP$2:AP$136,0)</f>
        <v>50</v>
      </c>
      <c r="AS23" s="43" t="n">
        <f aca="false">COUNTIF(Matrice_OD!$C23:$AN23,"&lt;="&amp;Param!$B$2)</f>
        <v>30</v>
      </c>
    </row>
    <row r="24" customFormat="false" ht="15" hidden="false" customHeight="true" outlineLevel="0" collapsed="false">
      <c r="A24" s="0" t="s">
        <v>146</v>
      </c>
      <c r="B24" s="0" t="s">
        <v>147</v>
      </c>
      <c r="C24" s="0" t="n">
        <f aca="false">Demande!C24</f>
        <v>48138</v>
      </c>
      <c r="D24" s="43" t="n">
        <f aca="false">IF(Matrice_OD!C24&lt;=Param!$B$2,3_Huff!C24*3_Huff!C$139*1_Friction!C24,0)</f>
        <v>7.41401742419904E-008</v>
      </c>
      <c r="E24" s="43" t="n">
        <f aca="false">IF(Matrice_OD!D24&lt;=Param!$B$2,3_Huff!D24*3_Huff!D$139*1_Friction!D24,0)</f>
        <v>5.3234053386344E-008</v>
      </c>
      <c r="F24" s="43" t="n">
        <f aca="false">IF(Matrice_OD!E24&lt;=Param!$B$2,3_Huff!E24*3_Huff!E$139*1_Friction!E24,0)</f>
        <v>4.47255143322179E-007</v>
      </c>
      <c r="G24" s="43" t="n">
        <f aca="false">IF(Matrice_OD!F24&lt;=Param!$B$2,3_Huff!F24*3_Huff!F$139*1_Friction!F24,0)</f>
        <v>7.82092543105515E-008</v>
      </c>
      <c r="H24" s="43" t="n">
        <f aca="false">IF(Matrice_OD!G24&lt;=Param!$B$2,3_Huff!G24*3_Huff!G$139*1_Friction!G24,0)</f>
        <v>2.04013164070913E-007</v>
      </c>
      <c r="I24" s="43" t="n">
        <f aca="false">IF(Matrice_OD!H24&lt;=Param!$B$2,3_Huff!H24*3_Huff!H$139*1_Friction!H24,0)</f>
        <v>0</v>
      </c>
      <c r="J24" s="43" t="n">
        <f aca="false">IF(Matrice_OD!I24&lt;=Param!$B$2,3_Huff!I24*3_Huff!I$139*1_Friction!I24,0)</f>
        <v>0</v>
      </c>
      <c r="K24" s="43" t="n">
        <f aca="false">IF(Matrice_OD!J24&lt;=Param!$B$2,3_Huff!J24*3_Huff!J$139*1_Friction!J24,0)</f>
        <v>0</v>
      </c>
      <c r="L24" s="43" t="n">
        <f aca="false">IF(Matrice_OD!K24&lt;=Param!$B$2,3_Huff!K24*3_Huff!K$139*1_Friction!K24,0)</f>
        <v>0</v>
      </c>
      <c r="M24" s="43" t="n">
        <f aca="false">IF(Matrice_OD!L24&lt;=Param!$B$2,3_Huff!L24*3_Huff!L$139*1_Friction!L24,0)</f>
        <v>0</v>
      </c>
      <c r="N24" s="43" t="n">
        <f aca="false">IF(Matrice_OD!M24&lt;=Param!$B$2,3_Huff!M24*3_Huff!M$139*1_Friction!M24,0)</f>
        <v>0</v>
      </c>
      <c r="O24" s="43" t="n">
        <f aca="false">IF(Matrice_OD!N24&lt;=Param!$B$2,3_Huff!N24*3_Huff!N$139*1_Friction!N24,0)</f>
        <v>0</v>
      </c>
      <c r="P24" s="43" t="n">
        <f aca="false">IF(Matrice_OD!O24&lt;=Param!$B$2,3_Huff!O24*3_Huff!O$139*1_Friction!O24,0)</f>
        <v>0</v>
      </c>
      <c r="Q24" s="43" t="n">
        <f aca="false">IF(Matrice_OD!P24&lt;=Param!$B$2,3_Huff!P24*3_Huff!P$139*1_Friction!P24,0)</f>
        <v>0</v>
      </c>
      <c r="R24" s="43" t="n">
        <f aca="false">IF(Matrice_OD!Q24&lt;=Param!$B$2,3_Huff!Q24*3_Huff!Q$139*1_Friction!Q24,0)</f>
        <v>0</v>
      </c>
      <c r="S24" s="43" t="n">
        <f aca="false">IF(Matrice_OD!R24&lt;=Param!$B$2,3_Huff!R24*3_Huff!R$139*1_Friction!R24,0)</f>
        <v>0</v>
      </c>
      <c r="T24" s="43" t="n">
        <f aca="false">IF(Matrice_OD!S24&lt;=Param!$B$2,3_Huff!S24*3_Huff!S$139*1_Friction!S24,0)</f>
        <v>0</v>
      </c>
      <c r="U24" s="43" t="n">
        <f aca="false">IF(Matrice_OD!T24&lt;=Param!$B$2,3_Huff!T24*3_Huff!T$139*1_Friction!T24,0)</f>
        <v>0</v>
      </c>
      <c r="V24" s="43" t="n">
        <f aca="false">IF(Matrice_OD!U24&lt;=Param!$B$2,3_Huff!U24*3_Huff!U$139*1_Friction!U24,0)</f>
        <v>0</v>
      </c>
      <c r="W24" s="43" t="n">
        <f aca="false">IF(Matrice_OD!V24&lt;=Param!$B$2,3_Huff!V24*3_Huff!V$139*1_Friction!V24,0)</f>
        <v>0</v>
      </c>
      <c r="X24" s="43" t="n">
        <f aca="false">IF(Matrice_OD!W24&lt;=Param!$B$2,3_Huff!W24*3_Huff!W$139*1_Friction!W24,0)</f>
        <v>0</v>
      </c>
      <c r="Y24" s="43" t="n">
        <f aca="false">IF(Matrice_OD!X24&lt;=Param!$B$2,3_Huff!X24*3_Huff!X$139*1_Friction!X24,0)</f>
        <v>0</v>
      </c>
      <c r="Z24" s="43" t="n">
        <f aca="false">IF(Matrice_OD!Y24&lt;=Param!$B$2,3_Huff!Y24*3_Huff!Y$139*1_Friction!Y24,0)</f>
        <v>0</v>
      </c>
      <c r="AA24" s="43" t="n">
        <f aca="false">IF(Matrice_OD!Z24&lt;=Param!$B$2,3_Huff!Z24*3_Huff!Z$139*1_Friction!Z24,0)</f>
        <v>0</v>
      </c>
      <c r="AB24" s="43" t="n">
        <f aca="false">IF(Matrice_OD!AA24&lt;=Param!$B$2,3_Huff!AA24*3_Huff!AA$139*1_Friction!AA24,0)</f>
        <v>0</v>
      </c>
      <c r="AC24" s="43" t="n">
        <f aca="false">IF(Matrice_OD!AB24&lt;=Param!$B$2,3_Huff!AB24*3_Huff!AB$139*1_Friction!AB24,0)</f>
        <v>0</v>
      </c>
      <c r="AD24" s="43" t="n">
        <f aca="false">IF(Matrice_OD!AC24&lt;=Param!$B$2,3_Huff!AC24*3_Huff!AC$139*1_Friction!AC24,0)</f>
        <v>0</v>
      </c>
      <c r="AE24" s="43" t="n">
        <f aca="false">IF(Matrice_OD!AD24&lt;=Param!$B$2,3_Huff!AD24*3_Huff!AD$139*1_Friction!AD24,0)</f>
        <v>0</v>
      </c>
      <c r="AF24" s="43" t="n">
        <f aca="false">IF(Matrice_OD!AE24&lt;=Param!$B$2,3_Huff!AE24*3_Huff!AE$139*1_Friction!AE24,0)</f>
        <v>0</v>
      </c>
      <c r="AG24" s="43" t="n">
        <f aca="false">IF(Matrice_OD!AF24&lt;=Param!$B$2,3_Huff!AF24*3_Huff!AF$139*1_Friction!AF24,0)</f>
        <v>0</v>
      </c>
      <c r="AH24" s="43" t="n">
        <f aca="false">IF(Matrice_OD!AG24&lt;=Param!$B$2,3_Huff!AG24*3_Huff!AG$139*1_Friction!AG24,0)</f>
        <v>8.23934167941516E-005</v>
      </c>
      <c r="AI24" s="43" t="n">
        <f aca="false">IF(Matrice_OD!AH24&lt;=Param!$B$2,3_Huff!AH24*3_Huff!AH$139*1_Friction!AH24,0)</f>
        <v>0</v>
      </c>
      <c r="AJ24" s="43" t="n">
        <f aca="false">IF(Matrice_OD!AI24&lt;=Param!$B$2,3_Huff!AI24*3_Huff!AI$139*1_Friction!AI24,0)</f>
        <v>0</v>
      </c>
      <c r="AK24" s="43" t="n">
        <f aca="false">IF(Matrice_OD!AJ24&lt;=Param!$B$2,3_Huff!AJ24*3_Huff!AJ$139*1_Friction!AJ24,0)</f>
        <v>0</v>
      </c>
      <c r="AL24" s="43" t="n">
        <f aca="false">IF(Matrice_OD!AK24&lt;=Param!$B$2,3_Huff!AK24*3_Huff!AK$139*1_Friction!AK24,0)</f>
        <v>0</v>
      </c>
      <c r="AM24" s="0" t="n">
        <f aca="false">IF(Matrice_OD!AL24&lt;=Param!$B$2,3_Huff!AL24*3_Huff!AL$139*1_Friction!AL24,0)</f>
        <v>0</v>
      </c>
      <c r="AN24" s="0" t="n">
        <f aca="false">IF(Matrice_OD!AM24&lt;=Param!$B$2,3_Huff!AM24*3_Huff!AM$139*1_Friction!AM24,0)</f>
        <v>1.43903723629627E-007</v>
      </c>
      <c r="AO24" s="0" t="n">
        <f aca="false">IF(Matrice_OD!AN24&lt;=Param!$B$2,3_Huff!AN24*3_Huff!AN$139*1_Friction!AN24,0)</f>
        <v>3.91166223129697E-007</v>
      </c>
      <c r="AP24" s="48" t="n">
        <f aca="false">SUM(D24:AO24)</f>
        <v>8.37853385302429E-005</v>
      </c>
      <c r="AQ24" s="43" t="n">
        <f aca="false">AP24*1000</f>
        <v>0.0837853385302429</v>
      </c>
      <c r="AR24" s="43" t="n">
        <f aca="false">RANK(AP24,AP$2:AP$136,0)</f>
        <v>78</v>
      </c>
      <c r="AS24" s="43" t="n">
        <f aca="false">COUNTIF(Matrice_OD!$C24:$AN24,"&lt;="&amp;Param!$B$2)</f>
        <v>8</v>
      </c>
    </row>
    <row r="25" customFormat="false" ht="15" hidden="false" customHeight="true" outlineLevel="0" collapsed="false">
      <c r="A25" s="0" t="s">
        <v>148</v>
      </c>
      <c r="B25" s="0" t="s">
        <v>149</v>
      </c>
      <c r="C25" s="0" t="n">
        <f aca="false">Demande!C25</f>
        <v>33635</v>
      </c>
      <c r="D25" s="43" t="n">
        <f aca="false">IF(Matrice_OD!C25&lt;=Param!$B$2,3_Huff!C25*3_Huff!C$139*1_Friction!C25,0)</f>
        <v>0</v>
      </c>
      <c r="E25" s="43" t="n">
        <f aca="false">IF(Matrice_OD!D25&lt;=Param!$B$2,3_Huff!D25*3_Huff!D$139*1_Friction!D25,0)</f>
        <v>0</v>
      </c>
      <c r="F25" s="43" t="n">
        <f aca="false">IF(Matrice_OD!E25&lt;=Param!$B$2,3_Huff!E25*3_Huff!E$139*1_Friction!E25,0)</f>
        <v>0</v>
      </c>
      <c r="G25" s="43" t="n">
        <f aca="false">IF(Matrice_OD!F25&lt;=Param!$B$2,3_Huff!F25*3_Huff!F$139*1_Friction!F25,0)</f>
        <v>0</v>
      </c>
      <c r="H25" s="43" t="n">
        <f aca="false">IF(Matrice_OD!G25&lt;=Param!$B$2,3_Huff!G25*3_Huff!G$139*1_Friction!G25,0)</f>
        <v>0</v>
      </c>
      <c r="I25" s="43" t="n">
        <f aca="false">IF(Matrice_OD!H25&lt;=Param!$B$2,3_Huff!H25*3_Huff!H$139*1_Friction!H25,0)</f>
        <v>0</v>
      </c>
      <c r="J25" s="43" t="n">
        <f aca="false">IF(Matrice_OD!I25&lt;=Param!$B$2,3_Huff!I25*3_Huff!I$139*1_Friction!I25,0)</f>
        <v>0</v>
      </c>
      <c r="K25" s="43" t="n">
        <f aca="false">IF(Matrice_OD!J25&lt;=Param!$B$2,3_Huff!J25*3_Huff!J$139*1_Friction!J25,0)</f>
        <v>0</v>
      </c>
      <c r="L25" s="43" t="n">
        <f aca="false">IF(Matrice_OD!K25&lt;=Param!$B$2,3_Huff!K25*3_Huff!K$139*1_Friction!K25,0)</f>
        <v>0</v>
      </c>
      <c r="M25" s="43" t="n">
        <f aca="false">IF(Matrice_OD!L25&lt;=Param!$B$2,3_Huff!L25*3_Huff!L$139*1_Friction!L25,0)</f>
        <v>0</v>
      </c>
      <c r="N25" s="43" t="n">
        <f aca="false">IF(Matrice_OD!M25&lt;=Param!$B$2,3_Huff!M25*3_Huff!M$139*1_Friction!M25,0)</f>
        <v>0</v>
      </c>
      <c r="O25" s="43" t="n">
        <f aca="false">IF(Matrice_OD!N25&lt;=Param!$B$2,3_Huff!N25*3_Huff!N$139*1_Friction!N25,0)</f>
        <v>0</v>
      </c>
      <c r="P25" s="43" t="n">
        <f aca="false">IF(Matrice_OD!O25&lt;=Param!$B$2,3_Huff!O25*3_Huff!O$139*1_Friction!O25,0)</f>
        <v>0</v>
      </c>
      <c r="Q25" s="43" t="n">
        <f aca="false">IF(Matrice_OD!P25&lt;=Param!$B$2,3_Huff!P25*3_Huff!P$139*1_Friction!P25,0)</f>
        <v>0</v>
      </c>
      <c r="R25" s="43" t="n">
        <f aca="false">IF(Matrice_OD!Q25&lt;=Param!$B$2,3_Huff!Q25*3_Huff!Q$139*1_Friction!Q25,0)</f>
        <v>0</v>
      </c>
      <c r="S25" s="43" t="n">
        <f aca="false">IF(Matrice_OD!R25&lt;=Param!$B$2,3_Huff!R25*3_Huff!R$139*1_Friction!R25,0)</f>
        <v>0</v>
      </c>
      <c r="T25" s="43" t="n">
        <f aca="false">IF(Matrice_OD!S25&lt;=Param!$B$2,3_Huff!S25*3_Huff!S$139*1_Friction!S25,0)</f>
        <v>0</v>
      </c>
      <c r="U25" s="43" t="n">
        <f aca="false">IF(Matrice_OD!T25&lt;=Param!$B$2,3_Huff!T25*3_Huff!T$139*1_Friction!T25,0)</f>
        <v>0</v>
      </c>
      <c r="V25" s="43" t="n">
        <f aca="false">IF(Matrice_OD!U25&lt;=Param!$B$2,3_Huff!U25*3_Huff!U$139*1_Friction!U25,0)</f>
        <v>0</v>
      </c>
      <c r="W25" s="43" t="n">
        <f aca="false">IF(Matrice_OD!V25&lt;=Param!$B$2,3_Huff!V25*3_Huff!V$139*1_Friction!V25,0)</f>
        <v>0</v>
      </c>
      <c r="X25" s="43" t="n">
        <f aca="false">IF(Matrice_OD!W25&lt;=Param!$B$2,3_Huff!W25*3_Huff!W$139*1_Friction!W25,0)</f>
        <v>0</v>
      </c>
      <c r="Y25" s="43" t="n">
        <f aca="false">IF(Matrice_OD!X25&lt;=Param!$B$2,3_Huff!X25*3_Huff!X$139*1_Friction!X25,0)</f>
        <v>0</v>
      </c>
      <c r="Z25" s="43" t="n">
        <f aca="false">IF(Matrice_OD!Y25&lt;=Param!$B$2,3_Huff!Y25*3_Huff!Y$139*1_Friction!Y25,0)</f>
        <v>0</v>
      </c>
      <c r="AA25" s="43" t="n">
        <f aca="false">IF(Matrice_OD!Z25&lt;=Param!$B$2,3_Huff!Z25*3_Huff!Z$139*1_Friction!Z25,0)</f>
        <v>0</v>
      </c>
      <c r="AB25" s="43" t="n">
        <f aca="false">IF(Matrice_OD!AA25&lt;=Param!$B$2,3_Huff!AA25*3_Huff!AA$139*1_Friction!AA25,0)</f>
        <v>0</v>
      </c>
      <c r="AC25" s="43" t="n">
        <f aca="false">IF(Matrice_OD!AB25&lt;=Param!$B$2,3_Huff!AB25*3_Huff!AB$139*1_Friction!AB25,0)</f>
        <v>0</v>
      </c>
      <c r="AD25" s="43" t="n">
        <f aca="false">IF(Matrice_OD!AC25&lt;=Param!$B$2,3_Huff!AC25*3_Huff!AC$139*1_Friction!AC25,0)</f>
        <v>0</v>
      </c>
      <c r="AE25" s="43" t="n">
        <f aca="false">IF(Matrice_OD!AD25&lt;=Param!$B$2,3_Huff!AD25*3_Huff!AD$139*1_Friction!AD25,0)</f>
        <v>0</v>
      </c>
      <c r="AF25" s="43" t="n">
        <f aca="false">IF(Matrice_OD!AE25&lt;=Param!$B$2,3_Huff!AE25*3_Huff!AE$139*1_Friction!AE25,0)</f>
        <v>0</v>
      </c>
      <c r="AG25" s="43" t="n">
        <f aca="false">IF(Matrice_OD!AF25&lt;=Param!$B$2,3_Huff!AF25*3_Huff!AF$139*1_Friction!AF25,0)</f>
        <v>0</v>
      </c>
      <c r="AH25" s="43" t="n">
        <f aca="false">IF(Matrice_OD!AG25&lt;=Param!$B$2,3_Huff!AG25*3_Huff!AG$139*1_Friction!AG25,0)</f>
        <v>3.17478180335935E-008</v>
      </c>
      <c r="AI25" s="43" t="n">
        <f aca="false">IF(Matrice_OD!AH25&lt;=Param!$B$2,3_Huff!AH25*3_Huff!AH$139*1_Friction!AH25,0)</f>
        <v>0</v>
      </c>
      <c r="AJ25" s="43" t="n">
        <f aca="false">IF(Matrice_OD!AI25&lt;=Param!$B$2,3_Huff!AI25*3_Huff!AI$139*1_Friction!AI25,0)</f>
        <v>0</v>
      </c>
      <c r="AK25" s="43" t="n">
        <f aca="false">IF(Matrice_OD!AJ25&lt;=Param!$B$2,3_Huff!AJ25*3_Huff!AJ$139*1_Friction!AJ25,0)</f>
        <v>0</v>
      </c>
      <c r="AL25" s="43" t="n">
        <f aca="false">IF(Matrice_OD!AK25&lt;=Param!$B$2,3_Huff!AK25*3_Huff!AK$139*1_Friction!AK25,0)</f>
        <v>0</v>
      </c>
      <c r="AM25" s="0" t="n">
        <f aca="false">IF(Matrice_OD!AL25&lt;=Param!$B$2,3_Huff!AL25*3_Huff!AL$139*1_Friction!AL25,0)</f>
        <v>0</v>
      </c>
      <c r="AN25" s="0" t="n">
        <f aca="false">IF(Matrice_OD!AM25&lt;=Param!$B$2,3_Huff!AM25*3_Huff!AM$139*1_Friction!AM25,0)</f>
        <v>0</v>
      </c>
      <c r="AO25" s="0" t="n">
        <f aca="false">IF(Matrice_OD!AN25&lt;=Param!$B$2,3_Huff!AN25*3_Huff!AN$139*1_Friction!AN25,0)</f>
        <v>0.000163936461055562</v>
      </c>
      <c r="AP25" s="49" t="n">
        <f aca="false">SUM(D25:AO25)</f>
        <v>0.000163968208873595</v>
      </c>
      <c r="AQ25" s="43" t="n">
        <f aca="false">AP25*1000</f>
        <v>0.163968208873595</v>
      </c>
      <c r="AR25" s="43" t="n">
        <f aca="false">RANK(AP25,AP$2:AP$136,0)</f>
        <v>52</v>
      </c>
      <c r="AS25" s="43" t="n">
        <f aca="false">COUNTIF(Matrice_OD!$C25:$AN25,"&lt;="&amp;Param!$B$2)</f>
        <v>2</v>
      </c>
    </row>
    <row r="26" customFormat="false" ht="15" hidden="false" customHeight="true" outlineLevel="0" collapsed="false">
      <c r="A26" s="0" t="s">
        <v>150</v>
      </c>
      <c r="B26" s="0" t="s">
        <v>151</v>
      </c>
      <c r="C26" s="0" t="n">
        <f aca="false">Demande!C26</f>
        <v>23531</v>
      </c>
      <c r="D26" s="43" t="n">
        <f aca="false">IF(Matrice_OD!C26&lt;=Param!$B$2,3_Huff!C26*3_Huff!C$139*1_Friction!C26,0)</f>
        <v>0</v>
      </c>
      <c r="E26" s="43" t="n">
        <f aca="false">IF(Matrice_OD!D26&lt;=Param!$B$2,3_Huff!D26*3_Huff!D$139*1_Friction!D26,0)</f>
        <v>0</v>
      </c>
      <c r="F26" s="43" t="n">
        <f aca="false">IF(Matrice_OD!E26&lt;=Param!$B$2,3_Huff!E26*3_Huff!E$139*1_Friction!E26,0)</f>
        <v>0</v>
      </c>
      <c r="G26" s="43" t="n">
        <f aca="false">IF(Matrice_OD!F26&lt;=Param!$B$2,3_Huff!F26*3_Huff!F$139*1_Friction!F26,0)</f>
        <v>0</v>
      </c>
      <c r="H26" s="43" t="n">
        <f aca="false">IF(Matrice_OD!G26&lt;=Param!$B$2,3_Huff!G26*3_Huff!G$139*1_Friction!G26,0)</f>
        <v>0</v>
      </c>
      <c r="I26" s="43" t="n">
        <f aca="false">IF(Matrice_OD!H26&lt;=Param!$B$2,3_Huff!H26*3_Huff!H$139*1_Friction!H26,0)</f>
        <v>0</v>
      </c>
      <c r="J26" s="43" t="n">
        <f aca="false">IF(Matrice_OD!I26&lt;=Param!$B$2,3_Huff!I26*3_Huff!I$139*1_Friction!I26,0)</f>
        <v>0</v>
      </c>
      <c r="K26" s="43" t="n">
        <f aca="false">IF(Matrice_OD!J26&lt;=Param!$B$2,3_Huff!J26*3_Huff!J$139*1_Friction!J26,0)</f>
        <v>0</v>
      </c>
      <c r="L26" s="43" t="n">
        <f aca="false">IF(Matrice_OD!K26&lt;=Param!$B$2,3_Huff!K26*3_Huff!K$139*1_Friction!K26,0)</f>
        <v>0</v>
      </c>
      <c r="M26" s="43" t="n">
        <f aca="false">IF(Matrice_OD!L26&lt;=Param!$B$2,3_Huff!L26*3_Huff!L$139*1_Friction!L26,0)</f>
        <v>0</v>
      </c>
      <c r="N26" s="43" t="n">
        <f aca="false">IF(Matrice_OD!M26&lt;=Param!$B$2,3_Huff!M26*3_Huff!M$139*1_Friction!M26,0)</f>
        <v>0</v>
      </c>
      <c r="O26" s="43" t="n">
        <f aca="false">IF(Matrice_OD!N26&lt;=Param!$B$2,3_Huff!N26*3_Huff!N$139*1_Friction!N26,0)</f>
        <v>0</v>
      </c>
      <c r="P26" s="43" t="n">
        <f aca="false">IF(Matrice_OD!O26&lt;=Param!$B$2,3_Huff!O26*3_Huff!O$139*1_Friction!O26,0)</f>
        <v>0</v>
      </c>
      <c r="Q26" s="43" t="n">
        <f aca="false">IF(Matrice_OD!P26&lt;=Param!$B$2,3_Huff!P26*3_Huff!P$139*1_Friction!P26,0)</f>
        <v>0</v>
      </c>
      <c r="R26" s="43" t="n">
        <f aca="false">IF(Matrice_OD!Q26&lt;=Param!$B$2,3_Huff!Q26*3_Huff!Q$139*1_Friction!Q26,0)</f>
        <v>0</v>
      </c>
      <c r="S26" s="43" t="n">
        <f aca="false">IF(Matrice_OD!R26&lt;=Param!$B$2,3_Huff!R26*3_Huff!R$139*1_Friction!R26,0)</f>
        <v>0</v>
      </c>
      <c r="T26" s="43" t="n">
        <f aca="false">IF(Matrice_OD!S26&lt;=Param!$B$2,3_Huff!S26*3_Huff!S$139*1_Friction!S26,0)</f>
        <v>0</v>
      </c>
      <c r="U26" s="43" t="n">
        <f aca="false">IF(Matrice_OD!T26&lt;=Param!$B$2,3_Huff!T26*3_Huff!T$139*1_Friction!T26,0)</f>
        <v>0</v>
      </c>
      <c r="V26" s="43" t="n">
        <f aca="false">IF(Matrice_OD!U26&lt;=Param!$B$2,3_Huff!U26*3_Huff!U$139*1_Friction!U26,0)</f>
        <v>0</v>
      </c>
      <c r="W26" s="43" t="n">
        <f aca="false">IF(Matrice_OD!V26&lt;=Param!$B$2,3_Huff!V26*3_Huff!V$139*1_Friction!V26,0)</f>
        <v>0</v>
      </c>
      <c r="X26" s="43" t="n">
        <f aca="false">IF(Matrice_OD!W26&lt;=Param!$B$2,3_Huff!W26*3_Huff!W$139*1_Friction!W26,0)</f>
        <v>0</v>
      </c>
      <c r="Y26" s="43" t="n">
        <f aca="false">IF(Matrice_OD!X26&lt;=Param!$B$2,3_Huff!X26*3_Huff!X$139*1_Friction!X26,0)</f>
        <v>0</v>
      </c>
      <c r="Z26" s="43" t="n">
        <f aca="false">IF(Matrice_OD!Y26&lt;=Param!$B$2,3_Huff!Y26*3_Huff!Y$139*1_Friction!Y26,0)</f>
        <v>0</v>
      </c>
      <c r="AA26" s="43" t="n">
        <f aca="false">IF(Matrice_OD!Z26&lt;=Param!$B$2,3_Huff!Z26*3_Huff!Z$139*1_Friction!Z26,0)</f>
        <v>0</v>
      </c>
      <c r="AB26" s="43" t="n">
        <f aca="false">IF(Matrice_OD!AA26&lt;=Param!$B$2,3_Huff!AA26*3_Huff!AA$139*1_Friction!AA26,0)</f>
        <v>0</v>
      </c>
      <c r="AC26" s="43" t="n">
        <f aca="false">IF(Matrice_OD!AB26&lt;=Param!$B$2,3_Huff!AB26*3_Huff!AB$139*1_Friction!AB26,0)</f>
        <v>0</v>
      </c>
      <c r="AD26" s="43" t="n">
        <f aca="false">IF(Matrice_OD!AC26&lt;=Param!$B$2,3_Huff!AC26*3_Huff!AC$139*1_Friction!AC26,0)</f>
        <v>0</v>
      </c>
      <c r="AE26" s="43" t="n">
        <f aca="false">IF(Matrice_OD!AD26&lt;=Param!$B$2,3_Huff!AD26*3_Huff!AD$139*1_Friction!AD26,0)</f>
        <v>0</v>
      </c>
      <c r="AF26" s="43" t="n">
        <f aca="false">IF(Matrice_OD!AE26&lt;=Param!$B$2,3_Huff!AE26*3_Huff!AE$139*1_Friction!AE26,0)</f>
        <v>0</v>
      </c>
      <c r="AG26" s="43" t="n">
        <f aca="false">IF(Matrice_OD!AF26&lt;=Param!$B$2,3_Huff!AF26*3_Huff!AF$139*1_Friction!AF26,0)</f>
        <v>0</v>
      </c>
      <c r="AH26" s="43" t="n">
        <f aca="false">IF(Matrice_OD!AG26&lt;=Param!$B$2,3_Huff!AG26*3_Huff!AG$139*1_Friction!AG26,0)</f>
        <v>5.2379583925924E-005</v>
      </c>
      <c r="AI26" s="43" t="n">
        <f aca="false">IF(Matrice_OD!AH26&lt;=Param!$B$2,3_Huff!AH26*3_Huff!AH$139*1_Friction!AH26,0)</f>
        <v>0</v>
      </c>
      <c r="AJ26" s="43" t="n">
        <f aca="false">IF(Matrice_OD!AI26&lt;=Param!$B$2,3_Huff!AI26*3_Huff!AI$139*1_Friction!AI26,0)</f>
        <v>0</v>
      </c>
      <c r="AK26" s="43" t="n">
        <f aca="false">IF(Matrice_OD!AJ26&lt;=Param!$B$2,3_Huff!AJ26*3_Huff!AJ$139*1_Friction!AJ26,0)</f>
        <v>0</v>
      </c>
      <c r="AL26" s="43" t="n">
        <f aca="false">IF(Matrice_OD!AK26&lt;=Param!$B$2,3_Huff!AK26*3_Huff!AK$139*1_Friction!AK26,0)</f>
        <v>0</v>
      </c>
      <c r="AM26" s="0" t="n">
        <f aca="false">IF(Matrice_OD!AL26&lt;=Param!$B$2,3_Huff!AL26*3_Huff!AL$139*1_Friction!AL26,0)</f>
        <v>0</v>
      </c>
      <c r="AN26" s="0" t="n">
        <f aca="false">IF(Matrice_OD!AM26&lt;=Param!$B$2,3_Huff!AM26*3_Huff!AM$139*1_Friction!AM26,0)</f>
        <v>0</v>
      </c>
      <c r="AO26" s="0" t="n">
        <f aca="false">IF(Matrice_OD!AN26&lt;=Param!$B$2,3_Huff!AN26*3_Huff!AN$139*1_Friction!AN26,0)</f>
        <v>0</v>
      </c>
      <c r="AP26" s="48" t="n">
        <f aca="false">SUM(D26:AO26)</f>
        <v>5.2379583925924E-005</v>
      </c>
      <c r="AQ26" s="43" t="n">
        <f aca="false">AP26*1000</f>
        <v>0.052379583925924</v>
      </c>
      <c r="AR26" s="43" t="n">
        <f aca="false">RANK(AP26,AP$2:AP$136,0)</f>
        <v>92</v>
      </c>
      <c r="AS26" s="43" t="n">
        <f aca="false">COUNTIF(Matrice_OD!$C26:$AN26,"&lt;="&amp;Param!$B$2)</f>
        <v>1</v>
      </c>
    </row>
    <row r="27" customFormat="false" ht="15" hidden="false" customHeight="true" outlineLevel="0" collapsed="false">
      <c r="A27" s="0" t="s">
        <v>152</v>
      </c>
      <c r="B27" s="0" t="s">
        <v>153</v>
      </c>
      <c r="C27" s="0" t="n">
        <f aca="false">Demande!C27</f>
        <v>13548</v>
      </c>
      <c r="D27" s="43" t="n">
        <f aca="false">IF(Matrice_OD!C27&lt;=Param!$B$2,3_Huff!C27*3_Huff!C$139*1_Friction!C27,0)</f>
        <v>0</v>
      </c>
      <c r="E27" s="43" t="n">
        <f aca="false">IF(Matrice_OD!D27&lt;=Param!$B$2,3_Huff!D27*3_Huff!D$139*1_Friction!D27,0)</f>
        <v>0</v>
      </c>
      <c r="F27" s="43" t="n">
        <f aca="false">IF(Matrice_OD!E27&lt;=Param!$B$2,3_Huff!E27*3_Huff!E$139*1_Friction!E27,0)</f>
        <v>0</v>
      </c>
      <c r="G27" s="43" t="n">
        <f aca="false">IF(Matrice_OD!F27&lt;=Param!$B$2,3_Huff!F27*3_Huff!F$139*1_Friction!F27,0)</f>
        <v>0</v>
      </c>
      <c r="H27" s="43" t="n">
        <f aca="false">IF(Matrice_OD!G27&lt;=Param!$B$2,3_Huff!G27*3_Huff!G$139*1_Friction!G27,0)</f>
        <v>0</v>
      </c>
      <c r="I27" s="43" t="n">
        <f aca="false">IF(Matrice_OD!H27&lt;=Param!$B$2,3_Huff!H27*3_Huff!H$139*1_Friction!H27,0)</f>
        <v>0</v>
      </c>
      <c r="J27" s="43" t="n">
        <f aca="false">IF(Matrice_OD!I27&lt;=Param!$B$2,3_Huff!I27*3_Huff!I$139*1_Friction!I27,0)</f>
        <v>0</v>
      </c>
      <c r="K27" s="43" t="n">
        <f aca="false">IF(Matrice_OD!J27&lt;=Param!$B$2,3_Huff!J27*3_Huff!J$139*1_Friction!J27,0)</f>
        <v>0</v>
      </c>
      <c r="L27" s="43" t="n">
        <f aca="false">IF(Matrice_OD!K27&lt;=Param!$B$2,3_Huff!K27*3_Huff!K$139*1_Friction!K27,0)</f>
        <v>0</v>
      </c>
      <c r="M27" s="43" t="n">
        <f aca="false">IF(Matrice_OD!L27&lt;=Param!$B$2,3_Huff!L27*3_Huff!L$139*1_Friction!L27,0)</f>
        <v>0</v>
      </c>
      <c r="N27" s="43" t="n">
        <f aca="false">IF(Matrice_OD!M27&lt;=Param!$B$2,3_Huff!M27*3_Huff!M$139*1_Friction!M27,0)</f>
        <v>0</v>
      </c>
      <c r="O27" s="43" t="n">
        <f aca="false">IF(Matrice_OD!N27&lt;=Param!$B$2,3_Huff!N27*3_Huff!N$139*1_Friction!N27,0)</f>
        <v>0</v>
      </c>
      <c r="P27" s="43" t="n">
        <f aca="false">IF(Matrice_OD!O27&lt;=Param!$B$2,3_Huff!O27*3_Huff!O$139*1_Friction!O27,0)</f>
        <v>0</v>
      </c>
      <c r="Q27" s="43" t="n">
        <f aca="false">IF(Matrice_OD!P27&lt;=Param!$B$2,3_Huff!P27*3_Huff!P$139*1_Friction!P27,0)</f>
        <v>0</v>
      </c>
      <c r="R27" s="43" t="n">
        <f aca="false">IF(Matrice_OD!Q27&lt;=Param!$B$2,3_Huff!Q27*3_Huff!Q$139*1_Friction!Q27,0)</f>
        <v>0</v>
      </c>
      <c r="S27" s="43" t="n">
        <f aca="false">IF(Matrice_OD!R27&lt;=Param!$B$2,3_Huff!R27*3_Huff!R$139*1_Friction!R27,0)</f>
        <v>0</v>
      </c>
      <c r="T27" s="43" t="n">
        <f aca="false">IF(Matrice_OD!S27&lt;=Param!$B$2,3_Huff!S27*3_Huff!S$139*1_Friction!S27,0)</f>
        <v>0</v>
      </c>
      <c r="U27" s="43" t="n">
        <f aca="false">IF(Matrice_OD!T27&lt;=Param!$B$2,3_Huff!T27*3_Huff!T$139*1_Friction!T27,0)</f>
        <v>0</v>
      </c>
      <c r="V27" s="43" t="n">
        <f aca="false">IF(Matrice_OD!U27&lt;=Param!$B$2,3_Huff!U27*3_Huff!U$139*1_Friction!U27,0)</f>
        <v>0</v>
      </c>
      <c r="W27" s="43" t="n">
        <f aca="false">IF(Matrice_OD!V27&lt;=Param!$B$2,3_Huff!V27*3_Huff!V$139*1_Friction!V27,0)</f>
        <v>0</v>
      </c>
      <c r="X27" s="43" t="n">
        <f aca="false">IF(Matrice_OD!W27&lt;=Param!$B$2,3_Huff!W27*3_Huff!W$139*1_Friction!W27,0)</f>
        <v>0</v>
      </c>
      <c r="Y27" s="43" t="n">
        <f aca="false">IF(Matrice_OD!X27&lt;=Param!$B$2,3_Huff!X27*3_Huff!X$139*1_Friction!X27,0)</f>
        <v>0</v>
      </c>
      <c r="Z27" s="43" t="n">
        <f aca="false">IF(Matrice_OD!Y27&lt;=Param!$B$2,3_Huff!Y27*3_Huff!Y$139*1_Friction!Y27,0)</f>
        <v>0</v>
      </c>
      <c r="AA27" s="43" t="n">
        <f aca="false">IF(Matrice_OD!Z27&lt;=Param!$B$2,3_Huff!Z27*3_Huff!Z$139*1_Friction!Z27,0)</f>
        <v>0</v>
      </c>
      <c r="AB27" s="43" t="n">
        <f aca="false">IF(Matrice_OD!AA27&lt;=Param!$B$2,3_Huff!AA27*3_Huff!AA$139*1_Friction!AA27,0)</f>
        <v>0</v>
      </c>
      <c r="AC27" s="43" t="n">
        <f aca="false">IF(Matrice_OD!AB27&lt;=Param!$B$2,3_Huff!AB27*3_Huff!AB$139*1_Friction!AB27,0)</f>
        <v>0</v>
      </c>
      <c r="AD27" s="43" t="n">
        <f aca="false">IF(Matrice_OD!AC27&lt;=Param!$B$2,3_Huff!AC27*3_Huff!AC$139*1_Friction!AC27,0)</f>
        <v>0</v>
      </c>
      <c r="AE27" s="43" t="n">
        <f aca="false">IF(Matrice_OD!AD27&lt;=Param!$B$2,3_Huff!AD27*3_Huff!AD$139*1_Friction!AD27,0)</f>
        <v>0</v>
      </c>
      <c r="AF27" s="43" t="n">
        <f aca="false">IF(Matrice_OD!AE27&lt;=Param!$B$2,3_Huff!AE27*3_Huff!AE$139*1_Friction!AE27,0)</f>
        <v>0</v>
      </c>
      <c r="AG27" s="43" t="n">
        <f aca="false">IF(Matrice_OD!AF27&lt;=Param!$B$2,3_Huff!AF27*3_Huff!AF$139*1_Friction!AF27,0)</f>
        <v>0</v>
      </c>
      <c r="AH27" s="43" t="n">
        <f aca="false">IF(Matrice_OD!AG27&lt;=Param!$B$2,3_Huff!AG27*3_Huff!AG$139*1_Friction!AG27,0)</f>
        <v>1.94925302628217E-006</v>
      </c>
      <c r="AI27" s="43" t="n">
        <f aca="false">IF(Matrice_OD!AH27&lt;=Param!$B$2,3_Huff!AH27*3_Huff!AH$139*1_Friction!AH27,0)</f>
        <v>0</v>
      </c>
      <c r="AJ27" s="43" t="n">
        <f aca="false">IF(Matrice_OD!AI27&lt;=Param!$B$2,3_Huff!AI27*3_Huff!AI$139*1_Friction!AI27,0)</f>
        <v>0</v>
      </c>
      <c r="AK27" s="43" t="n">
        <f aca="false">IF(Matrice_OD!AJ27&lt;=Param!$B$2,3_Huff!AJ27*3_Huff!AJ$139*1_Friction!AJ27,0)</f>
        <v>0</v>
      </c>
      <c r="AL27" s="43" t="n">
        <f aca="false">IF(Matrice_OD!AK27&lt;=Param!$B$2,3_Huff!AK27*3_Huff!AK$139*1_Friction!AK27,0)</f>
        <v>0</v>
      </c>
      <c r="AM27" s="0" t="n">
        <f aca="false">IF(Matrice_OD!AL27&lt;=Param!$B$2,3_Huff!AL27*3_Huff!AL$139*1_Friction!AL27,0)</f>
        <v>0</v>
      </c>
      <c r="AN27" s="0" t="n">
        <f aca="false">IF(Matrice_OD!AM27&lt;=Param!$B$2,3_Huff!AM27*3_Huff!AM$139*1_Friction!AM27,0)</f>
        <v>0</v>
      </c>
      <c r="AO27" s="0" t="n">
        <f aca="false">IF(Matrice_OD!AN27&lt;=Param!$B$2,3_Huff!AN27*3_Huff!AN$139*1_Friction!AN27,0)</f>
        <v>0</v>
      </c>
      <c r="AP27" s="49" t="n">
        <f aca="false">SUM(D27:AO27)</f>
        <v>1.94925302628217E-006</v>
      </c>
      <c r="AQ27" s="43" t="n">
        <f aca="false">AP27*1000</f>
        <v>0.00194925302628217</v>
      </c>
      <c r="AR27" s="43" t="n">
        <f aca="false">RANK(AP27,AP$2:AP$136,0)</f>
        <v>122</v>
      </c>
      <c r="AS27" s="43" t="n">
        <f aca="false">COUNTIF(Matrice_OD!$C27:$AN27,"&lt;="&amp;Param!$B$2)</f>
        <v>1</v>
      </c>
    </row>
    <row r="28" customFormat="false" ht="15" hidden="false" customHeight="true" outlineLevel="0" collapsed="false">
      <c r="A28" s="0" t="s">
        <v>154</v>
      </c>
      <c r="B28" s="0" t="s">
        <v>155</v>
      </c>
      <c r="C28" s="0" t="n">
        <f aca="false">Demande!C28</f>
        <v>16401</v>
      </c>
      <c r="D28" s="43" t="n">
        <f aca="false">IF(Matrice_OD!C28&lt;=Param!$B$2,3_Huff!C28*3_Huff!C$139*1_Friction!C28,0)</f>
        <v>0</v>
      </c>
      <c r="E28" s="43" t="n">
        <f aca="false">IF(Matrice_OD!D28&lt;=Param!$B$2,3_Huff!D28*3_Huff!D$139*1_Friction!D28,0)</f>
        <v>0</v>
      </c>
      <c r="F28" s="43" t="n">
        <f aca="false">IF(Matrice_OD!E28&lt;=Param!$B$2,3_Huff!E28*3_Huff!E$139*1_Friction!E28,0)</f>
        <v>0</v>
      </c>
      <c r="G28" s="43" t="n">
        <f aca="false">IF(Matrice_OD!F28&lt;=Param!$B$2,3_Huff!F28*3_Huff!F$139*1_Friction!F28,0)</f>
        <v>0</v>
      </c>
      <c r="H28" s="43" t="n">
        <f aca="false">IF(Matrice_OD!G28&lt;=Param!$B$2,3_Huff!G28*3_Huff!G$139*1_Friction!G28,0)</f>
        <v>0</v>
      </c>
      <c r="I28" s="43" t="n">
        <f aca="false">IF(Matrice_OD!H28&lt;=Param!$B$2,3_Huff!H28*3_Huff!H$139*1_Friction!H28,0)</f>
        <v>0</v>
      </c>
      <c r="J28" s="43" t="n">
        <f aca="false">IF(Matrice_OD!I28&lt;=Param!$B$2,3_Huff!I28*3_Huff!I$139*1_Friction!I28,0)</f>
        <v>0</v>
      </c>
      <c r="K28" s="43" t="n">
        <f aca="false">IF(Matrice_OD!J28&lt;=Param!$B$2,3_Huff!J28*3_Huff!J$139*1_Friction!J28,0)</f>
        <v>0</v>
      </c>
      <c r="L28" s="43" t="n">
        <f aca="false">IF(Matrice_OD!K28&lt;=Param!$B$2,3_Huff!K28*3_Huff!K$139*1_Friction!K28,0)</f>
        <v>0</v>
      </c>
      <c r="M28" s="43" t="n">
        <f aca="false">IF(Matrice_OD!L28&lt;=Param!$B$2,3_Huff!L28*3_Huff!L$139*1_Friction!L28,0)</f>
        <v>0</v>
      </c>
      <c r="N28" s="43" t="n">
        <f aca="false">IF(Matrice_OD!M28&lt;=Param!$B$2,3_Huff!M28*3_Huff!M$139*1_Friction!M28,0)</f>
        <v>0</v>
      </c>
      <c r="O28" s="43" t="n">
        <f aca="false">IF(Matrice_OD!N28&lt;=Param!$B$2,3_Huff!N28*3_Huff!N$139*1_Friction!N28,0)</f>
        <v>0</v>
      </c>
      <c r="P28" s="43" t="n">
        <f aca="false">IF(Matrice_OD!O28&lt;=Param!$B$2,3_Huff!O28*3_Huff!O$139*1_Friction!O28,0)</f>
        <v>0</v>
      </c>
      <c r="Q28" s="43" t="n">
        <f aca="false">IF(Matrice_OD!P28&lt;=Param!$B$2,3_Huff!P28*3_Huff!P$139*1_Friction!P28,0)</f>
        <v>0</v>
      </c>
      <c r="R28" s="43" t="n">
        <f aca="false">IF(Matrice_OD!Q28&lt;=Param!$B$2,3_Huff!Q28*3_Huff!Q$139*1_Friction!Q28,0)</f>
        <v>0</v>
      </c>
      <c r="S28" s="43" t="n">
        <f aca="false">IF(Matrice_OD!R28&lt;=Param!$B$2,3_Huff!R28*3_Huff!R$139*1_Friction!R28,0)</f>
        <v>0</v>
      </c>
      <c r="T28" s="43" t="n">
        <f aca="false">IF(Matrice_OD!S28&lt;=Param!$B$2,3_Huff!S28*3_Huff!S$139*1_Friction!S28,0)</f>
        <v>0</v>
      </c>
      <c r="U28" s="43" t="n">
        <f aca="false">IF(Matrice_OD!T28&lt;=Param!$B$2,3_Huff!T28*3_Huff!T$139*1_Friction!T28,0)</f>
        <v>0</v>
      </c>
      <c r="V28" s="43" t="n">
        <f aca="false">IF(Matrice_OD!U28&lt;=Param!$B$2,3_Huff!U28*3_Huff!U$139*1_Friction!U28,0)</f>
        <v>0</v>
      </c>
      <c r="W28" s="43" t="n">
        <f aca="false">IF(Matrice_OD!V28&lt;=Param!$B$2,3_Huff!V28*3_Huff!V$139*1_Friction!V28,0)</f>
        <v>0</v>
      </c>
      <c r="X28" s="43" t="n">
        <f aca="false">IF(Matrice_OD!W28&lt;=Param!$B$2,3_Huff!W28*3_Huff!W$139*1_Friction!W28,0)</f>
        <v>0</v>
      </c>
      <c r="Y28" s="43" t="n">
        <f aca="false">IF(Matrice_OD!X28&lt;=Param!$B$2,3_Huff!X28*3_Huff!X$139*1_Friction!X28,0)</f>
        <v>0</v>
      </c>
      <c r="Z28" s="43" t="n">
        <f aca="false">IF(Matrice_OD!Y28&lt;=Param!$B$2,3_Huff!Y28*3_Huff!Y$139*1_Friction!Y28,0)</f>
        <v>0</v>
      </c>
      <c r="AA28" s="43" t="n">
        <f aca="false">IF(Matrice_OD!Z28&lt;=Param!$B$2,3_Huff!Z28*3_Huff!Z$139*1_Friction!Z28,0)</f>
        <v>0</v>
      </c>
      <c r="AB28" s="43" t="n">
        <f aca="false">IF(Matrice_OD!AA28&lt;=Param!$B$2,3_Huff!AA28*3_Huff!AA$139*1_Friction!AA28,0)</f>
        <v>0</v>
      </c>
      <c r="AC28" s="43" t="n">
        <f aca="false">IF(Matrice_OD!AB28&lt;=Param!$B$2,3_Huff!AB28*3_Huff!AB$139*1_Friction!AB28,0)</f>
        <v>0</v>
      </c>
      <c r="AD28" s="43" t="n">
        <f aca="false">IF(Matrice_OD!AC28&lt;=Param!$B$2,3_Huff!AC28*3_Huff!AC$139*1_Friction!AC28,0)</f>
        <v>0</v>
      </c>
      <c r="AE28" s="43" t="n">
        <f aca="false">IF(Matrice_OD!AD28&lt;=Param!$B$2,3_Huff!AD28*3_Huff!AD$139*1_Friction!AD28,0)</f>
        <v>0</v>
      </c>
      <c r="AF28" s="43" t="n">
        <f aca="false">IF(Matrice_OD!AE28&lt;=Param!$B$2,3_Huff!AE28*3_Huff!AE$139*1_Friction!AE28,0)</f>
        <v>0</v>
      </c>
      <c r="AG28" s="43" t="n">
        <f aca="false">IF(Matrice_OD!AF28&lt;=Param!$B$2,3_Huff!AF28*3_Huff!AF$139*1_Friction!AF28,0)</f>
        <v>0</v>
      </c>
      <c r="AH28" s="43" t="n">
        <f aca="false">IF(Matrice_OD!AG28&lt;=Param!$B$2,3_Huff!AG28*3_Huff!AG$139*1_Friction!AG28,0)</f>
        <v>0</v>
      </c>
      <c r="AI28" s="43" t="n">
        <f aca="false">IF(Matrice_OD!AH28&lt;=Param!$B$2,3_Huff!AH28*3_Huff!AH$139*1_Friction!AH28,0)</f>
        <v>0</v>
      </c>
      <c r="AJ28" s="43" t="n">
        <f aca="false">IF(Matrice_OD!AI28&lt;=Param!$B$2,3_Huff!AI28*3_Huff!AI$139*1_Friction!AI28,0)</f>
        <v>0</v>
      </c>
      <c r="AK28" s="43" t="n">
        <f aca="false">IF(Matrice_OD!AJ28&lt;=Param!$B$2,3_Huff!AJ28*3_Huff!AJ$139*1_Friction!AJ28,0)</f>
        <v>0</v>
      </c>
      <c r="AL28" s="43" t="n">
        <f aca="false">IF(Matrice_OD!AK28&lt;=Param!$B$2,3_Huff!AK28*3_Huff!AK$139*1_Friction!AK28,0)</f>
        <v>0</v>
      </c>
      <c r="AM28" s="0" t="n">
        <f aca="false">IF(Matrice_OD!AL28&lt;=Param!$B$2,3_Huff!AL28*3_Huff!AL$139*1_Friction!AL28,0)</f>
        <v>0</v>
      </c>
      <c r="AN28" s="0" t="n">
        <f aca="false">IF(Matrice_OD!AM28&lt;=Param!$B$2,3_Huff!AM28*3_Huff!AM$139*1_Friction!AM28,0)</f>
        <v>0</v>
      </c>
      <c r="AO28" s="0" t="n">
        <f aca="false">IF(Matrice_OD!AN28&lt;=Param!$B$2,3_Huff!AN28*3_Huff!AN$139*1_Friction!AN28,0)</f>
        <v>0</v>
      </c>
      <c r="AP28" s="48" t="n">
        <f aca="false">SUM(D28:AO28)</f>
        <v>0</v>
      </c>
      <c r="AQ28" s="43" t="n">
        <f aca="false">AP28*1000</f>
        <v>0</v>
      </c>
      <c r="AR28" s="43" t="n">
        <f aca="false">RANK(AP28,AP$2:AP$136,0)</f>
        <v>123</v>
      </c>
      <c r="AS28" s="43" t="n">
        <f aca="false">COUNTIF(Matrice_OD!$C28:$AN28,"&lt;="&amp;Param!$B$2)</f>
        <v>0</v>
      </c>
    </row>
    <row r="29" customFormat="false" ht="15" hidden="false" customHeight="true" outlineLevel="0" collapsed="false">
      <c r="A29" s="0" t="s">
        <v>156</v>
      </c>
      <c r="B29" s="0" t="s">
        <v>157</v>
      </c>
      <c r="C29" s="0" t="n">
        <f aca="false">Demande!C29</f>
        <v>11992</v>
      </c>
      <c r="D29" s="43" t="n">
        <f aca="false">IF(Matrice_OD!C29&lt;=Param!$B$2,3_Huff!C29*3_Huff!C$139*1_Friction!C29,0)</f>
        <v>0</v>
      </c>
      <c r="E29" s="43" t="n">
        <f aca="false">IF(Matrice_OD!D29&lt;=Param!$B$2,3_Huff!D29*3_Huff!D$139*1_Friction!D29,0)</f>
        <v>0</v>
      </c>
      <c r="F29" s="43" t="n">
        <f aca="false">IF(Matrice_OD!E29&lt;=Param!$B$2,3_Huff!E29*3_Huff!E$139*1_Friction!E29,0)</f>
        <v>0</v>
      </c>
      <c r="G29" s="43" t="n">
        <f aca="false">IF(Matrice_OD!F29&lt;=Param!$B$2,3_Huff!F29*3_Huff!F$139*1_Friction!F29,0)</f>
        <v>0</v>
      </c>
      <c r="H29" s="43" t="n">
        <f aca="false">IF(Matrice_OD!G29&lt;=Param!$B$2,3_Huff!G29*3_Huff!G$139*1_Friction!G29,0)</f>
        <v>0</v>
      </c>
      <c r="I29" s="43" t="n">
        <f aca="false">IF(Matrice_OD!H29&lt;=Param!$B$2,3_Huff!H29*3_Huff!H$139*1_Friction!H29,0)</f>
        <v>0</v>
      </c>
      <c r="J29" s="43" t="n">
        <f aca="false">IF(Matrice_OD!I29&lt;=Param!$B$2,3_Huff!I29*3_Huff!I$139*1_Friction!I29,0)</f>
        <v>0</v>
      </c>
      <c r="K29" s="43" t="n">
        <f aca="false">IF(Matrice_OD!J29&lt;=Param!$B$2,3_Huff!J29*3_Huff!J$139*1_Friction!J29,0)</f>
        <v>0</v>
      </c>
      <c r="L29" s="43" t="n">
        <f aca="false">IF(Matrice_OD!K29&lt;=Param!$B$2,3_Huff!K29*3_Huff!K$139*1_Friction!K29,0)</f>
        <v>0</v>
      </c>
      <c r="M29" s="43" t="n">
        <f aca="false">IF(Matrice_OD!L29&lt;=Param!$B$2,3_Huff!L29*3_Huff!L$139*1_Friction!L29,0)</f>
        <v>0</v>
      </c>
      <c r="N29" s="43" t="n">
        <f aca="false">IF(Matrice_OD!M29&lt;=Param!$B$2,3_Huff!M29*3_Huff!M$139*1_Friction!M29,0)</f>
        <v>0</v>
      </c>
      <c r="O29" s="43" t="n">
        <f aca="false">IF(Matrice_OD!N29&lt;=Param!$B$2,3_Huff!N29*3_Huff!N$139*1_Friction!N29,0)</f>
        <v>0</v>
      </c>
      <c r="P29" s="43" t="n">
        <f aca="false">IF(Matrice_OD!O29&lt;=Param!$B$2,3_Huff!O29*3_Huff!O$139*1_Friction!O29,0)</f>
        <v>0</v>
      </c>
      <c r="Q29" s="43" t="n">
        <f aca="false">IF(Matrice_OD!P29&lt;=Param!$B$2,3_Huff!P29*3_Huff!P$139*1_Friction!P29,0)</f>
        <v>0</v>
      </c>
      <c r="R29" s="43" t="n">
        <f aca="false">IF(Matrice_OD!Q29&lt;=Param!$B$2,3_Huff!Q29*3_Huff!Q$139*1_Friction!Q29,0)</f>
        <v>0</v>
      </c>
      <c r="S29" s="43" t="n">
        <f aca="false">IF(Matrice_OD!R29&lt;=Param!$B$2,3_Huff!R29*3_Huff!R$139*1_Friction!R29,0)</f>
        <v>0</v>
      </c>
      <c r="T29" s="43" t="n">
        <f aca="false">IF(Matrice_OD!S29&lt;=Param!$B$2,3_Huff!S29*3_Huff!S$139*1_Friction!S29,0)</f>
        <v>0</v>
      </c>
      <c r="U29" s="43" t="n">
        <f aca="false">IF(Matrice_OD!T29&lt;=Param!$B$2,3_Huff!T29*3_Huff!T$139*1_Friction!T29,0)</f>
        <v>0</v>
      </c>
      <c r="V29" s="43" t="n">
        <f aca="false">IF(Matrice_OD!U29&lt;=Param!$B$2,3_Huff!U29*3_Huff!U$139*1_Friction!U29,0)</f>
        <v>0</v>
      </c>
      <c r="W29" s="43" t="n">
        <f aca="false">IF(Matrice_OD!V29&lt;=Param!$B$2,3_Huff!V29*3_Huff!V$139*1_Friction!V29,0)</f>
        <v>0</v>
      </c>
      <c r="X29" s="43" t="n">
        <f aca="false">IF(Matrice_OD!W29&lt;=Param!$B$2,3_Huff!W29*3_Huff!W$139*1_Friction!W29,0)</f>
        <v>0</v>
      </c>
      <c r="Y29" s="43" t="n">
        <f aca="false">IF(Matrice_OD!X29&lt;=Param!$B$2,3_Huff!X29*3_Huff!X$139*1_Friction!X29,0)</f>
        <v>0</v>
      </c>
      <c r="Z29" s="43" t="n">
        <f aca="false">IF(Matrice_OD!Y29&lt;=Param!$B$2,3_Huff!Y29*3_Huff!Y$139*1_Friction!Y29,0)</f>
        <v>0</v>
      </c>
      <c r="AA29" s="43" t="n">
        <f aca="false">IF(Matrice_OD!Z29&lt;=Param!$B$2,3_Huff!Z29*3_Huff!Z$139*1_Friction!Z29,0)</f>
        <v>0</v>
      </c>
      <c r="AB29" s="43" t="n">
        <f aca="false">IF(Matrice_OD!AA29&lt;=Param!$B$2,3_Huff!AA29*3_Huff!AA$139*1_Friction!AA29,0)</f>
        <v>0</v>
      </c>
      <c r="AC29" s="43" t="n">
        <f aca="false">IF(Matrice_OD!AB29&lt;=Param!$B$2,3_Huff!AB29*3_Huff!AB$139*1_Friction!AB29,0)</f>
        <v>0</v>
      </c>
      <c r="AD29" s="43" t="n">
        <f aca="false">IF(Matrice_OD!AC29&lt;=Param!$B$2,3_Huff!AC29*3_Huff!AC$139*1_Friction!AC29,0)</f>
        <v>0</v>
      </c>
      <c r="AE29" s="43" t="n">
        <f aca="false">IF(Matrice_OD!AD29&lt;=Param!$B$2,3_Huff!AD29*3_Huff!AD$139*1_Friction!AD29,0)</f>
        <v>0</v>
      </c>
      <c r="AF29" s="43" t="n">
        <f aca="false">IF(Matrice_OD!AE29&lt;=Param!$B$2,3_Huff!AE29*3_Huff!AE$139*1_Friction!AE29,0)</f>
        <v>0</v>
      </c>
      <c r="AG29" s="43" t="n">
        <f aca="false">IF(Matrice_OD!AF29&lt;=Param!$B$2,3_Huff!AF29*3_Huff!AF$139*1_Friction!AF29,0)</f>
        <v>0</v>
      </c>
      <c r="AH29" s="43" t="n">
        <f aca="false">IF(Matrice_OD!AG29&lt;=Param!$B$2,3_Huff!AG29*3_Huff!AG$139*1_Friction!AG29,0)</f>
        <v>0</v>
      </c>
      <c r="AI29" s="43" t="n">
        <f aca="false">IF(Matrice_OD!AH29&lt;=Param!$B$2,3_Huff!AH29*3_Huff!AH$139*1_Friction!AH29,0)</f>
        <v>0</v>
      </c>
      <c r="AJ29" s="43" t="n">
        <f aca="false">IF(Matrice_OD!AI29&lt;=Param!$B$2,3_Huff!AI29*3_Huff!AI$139*1_Friction!AI29,0)</f>
        <v>0</v>
      </c>
      <c r="AK29" s="43" t="n">
        <f aca="false">IF(Matrice_OD!AJ29&lt;=Param!$B$2,3_Huff!AJ29*3_Huff!AJ$139*1_Friction!AJ29,0)</f>
        <v>0</v>
      </c>
      <c r="AL29" s="43" t="n">
        <f aca="false">IF(Matrice_OD!AK29&lt;=Param!$B$2,3_Huff!AK29*3_Huff!AK$139*1_Friction!AK29,0)</f>
        <v>0</v>
      </c>
      <c r="AM29" s="0" t="n">
        <f aca="false">IF(Matrice_OD!AL29&lt;=Param!$B$2,3_Huff!AL29*3_Huff!AL$139*1_Friction!AL29,0)</f>
        <v>0</v>
      </c>
      <c r="AN29" s="0" t="n">
        <f aca="false">IF(Matrice_OD!AM29&lt;=Param!$B$2,3_Huff!AM29*3_Huff!AM$139*1_Friction!AM29,0)</f>
        <v>0</v>
      </c>
      <c r="AO29" s="0" t="n">
        <f aca="false">IF(Matrice_OD!AN29&lt;=Param!$B$2,3_Huff!AN29*3_Huff!AN$139*1_Friction!AN29,0)</f>
        <v>1.98772803967515E-006</v>
      </c>
      <c r="AP29" s="49" t="n">
        <f aca="false">SUM(D29:AO29)</f>
        <v>1.98772803967515E-006</v>
      </c>
      <c r="AQ29" s="43" t="n">
        <f aca="false">AP29*1000</f>
        <v>0.00198772803967515</v>
      </c>
      <c r="AR29" s="43" t="n">
        <f aca="false">RANK(AP29,AP$2:AP$136,0)</f>
        <v>121</v>
      </c>
      <c r="AS29" s="43" t="n">
        <f aca="false">COUNTIF(Matrice_OD!$C29:$AN29,"&lt;="&amp;Param!$B$2)</f>
        <v>1</v>
      </c>
    </row>
    <row r="30" customFormat="false" ht="15" hidden="false" customHeight="true" outlineLevel="0" collapsed="false">
      <c r="A30" s="0" t="s">
        <v>158</v>
      </c>
      <c r="B30" s="0" t="s">
        <v>159</v>
      </c>
      <c r="C30" s="0" t="n">
        <f aca="false">Demande!C30</f>
        <v>11964</v>
      </c>
      <c r="D30" s="43" t="n">
        <f aca="false">IF(Matrice_OD!C30&lt;=Param!$B$2,3_Huff!C30*3_Huff!C$139*1_Friction!C30,0)</f>
        <v>0</v>
      </c>
      <c r="E30" s="43" t="n">
        <f aca="false">IF(Matrice_OD!D30&lt;=Param!$B$2,3_Huff!D30*3_Huff!D$139*1_Friction!D30,0)</f>
        <v>0</v>
      </c>
      <c r="F30" s="43" t="n">
        <f aca="false">IF(Matrice_OD!E30&lt;=Param!$B$2,3_Huff!E30*3_Huff!E$139*1_Friction!E30,0)</f>
        <v>0</v>
      </c>
      <c r="G30" s="43" t="n">
        <f aca="false">IF(Matrice_OD!F30&lt;=Param!$B$2,3_Huff!F30*3_Huff!F$139*1_Friction!F30,0)</f>
        <v>0</v>
      </c>
      <c r="H30" s="43" t="n">
        <f aca="false">IF(Matrice_OD!G30&lt;=Param!$B$2,3_Huff!G30*3_Huff!G$139*1_Friction!G30,0)</f>
        <v>0</v>
      </c>
      <c r="I30" s="43" t="n">
        <f aca="false">IF(Matrice_OD!H30&lt;=Param!$B$2,3_Huff!H30*3_Huff!H$139*1_Friction!H30,0)</f>
        <v>0</v>
      </c>
      <c r="J30" s="43" t="n">
        <f aca="false">IF(Matrice_OD!I30&lt;=Param!$B$2,3_Huff!I30*3_Huff!I$139*1_Friction!I30,0)</f>
        <v>0</v>
      </c>
      <c r="K30" s="43" t="n">
        <f aca="false">IF(Matrice_OD!J30&lt;=Param!$B$2,3_Huff!J30*3_Huff!J$139*1_Friction!J30,0)</f>
        <v>0</v>
      </c>
      <c r="L30" s="43" t="n">
        <f aca="false">IF(Matrice_OD!K30&lt;=Param!$B$2,3_Huff!K30*3_Huff!K$139*1_Friction!K30,0)</f>
        <v>0</v>
      </c>
      <c r="M30" s="43" t="n">
        <f aca="false">IF(Matrice_OD!L30&lt;=Param!$B$2,3_Huff!L30*3_Huff!L$139*1_Friction!L30,0)</f>
        <v>0</v>
      </c>
      <c r="N30" s="43" t="n">
        <f aca="false">IF(Matrice_OD!M30&lt;=Param!$B$2,3_Huff!M30*3_Huff!M$139*1_Friction!M30,0)</f>
        <v>0</v>
      </c>
      <c r="O30" s="43" t="n">
        <f aca="false">IF(Matrice_OD!N30&lt;=Param!$B$2,3_Huff!N30*3_Huff!N$139*1_Friction!N30,0)</f>
        <v>0</v>
      </c>
      <c r="P30" s="43" t="n">
        <f aca="false">IF(Matrice_OD!O30&lt;=Param!$B$2,3_Huff!O30*3_Huff!O$139*1_Friction!O30,0)</f>
        <v>0</v>
      </c>
      <c r="Q30" s="43" t="n">
        <f aca="false">IF(Matrice_OD!P30&lt;=Param!$B$2,3_Huff!P30*3_Huff!P$139*1_Friction!P30,0)</f>
        <v>0</v>
      </c>
      <c r="R30" s="43" t="n">
        <f aca="false">IF(Matrice_OD!Q30&lt;=Param!$B$2,3_Huff!Q30*3_Huff!Q$139*1_Friction!Q30,0)</f>
        <v>0</v>
      </c>
      <c r="S30" s="43" t="n">
        <f aca="false">IF(Matrice_OD!R30&lt;=Param!$B$2,3_Huff!R30*3_Huff!R$139*1_Friction!R30,0)</f>
        <v>0</v>
      </c>
      <c r="T30" s="43" t="n">
        <f aca="false">IF(Matrice_OD!S30&lt;=Param!$B$2,3_Huff!S30*3_Huff!S$139*1_Friction!S30,0)</f>
        <v>0</v>
      </c>
      <c r="U30" s="43" t="n">
        <f aca="false">IF(Matrice_OD!T30&lt;=Param!$B$2,3_Huff!T30*3_Huff!T$139*1_Friction!T30,0)</f>
        <v>0</v>
      </c>
      <c r="V30" s="43" t="n">
        <f aca="false">IF(Matrice_OD!U30&lt;=Param!$B$2,3_Huff!U30*3_Huff!U$139*1_Friction!U30,0)</f>
        <v>0</v>
      </c>
      <c r="W30" s="43" t="n">
        <f aca="false">IF(Matrice_OD!V30&lt;=Param!$B$2,3_Huff!V30*3_Huff!V$139*1_Friction!V30,0)</f>
        <v>0</v>
      </c>
      <c r="X30" s="43" t="n">
        <f aca="false">IF(Matrice_OD!W30&lt;=Param!$B$2,3_Huff!W30*3_Huff!W$139*1_Friction!W30,0)</f>
        <v>0</v>
      </c>
      <c r="Y30" s="43" t="n">
        <f aca="false">IF(Matrice_OD!X30&lt;=Param!$B$2,3_Huff!X30*3_Huff!X$139*1_Friction!X30,0)</f>
        <v>0</v>
      </c>
      <c r="Z30" s="43" t="n">
        <f aca="false">IF(Matrice_OD!Y30&lt;=Param!$B$2,3_Huff!Y30*3_Huff!Y$139*1_Friction!Y30,0)</f>
        <v>0</v>
      </c>
      <c r="AA30" s="43" t="n">
        <f aca="false">IF(Matrice_OD!Z30&lt;=Param!$B$2,3_Huff!Z30*3_Huff!Z$139*1_Friction!Z30,0)</f>
        <v>0</v>
      </c>
      <c r="AB30" s="43" t="n">
        <f aca="false">IF(Matrice_OD!AA30&lt;=Param!$B$2,3_Huff!AA30*3_Huff!AA$139*1_Friction!AA30,0)</f>
        <v>0</v>
      </c>
      <c r="AC30" s="43" t="n">
        <f aca="false">IF(Matrice_OD!AB30&lt;=Param!$B$2,3_Huff!AB30*3_Huff!AB$139*1_Friction!AB30,0)</f>
        <v>0</v>
      </c>
      <c r="AD30" s="43" t="n">
        <f aca="false">IF(Matrice_OD!AC30&lt;=Param!$B$2,3_Huff!AC30*3_Huff!AC$139*1_Friction!AC30,0)</f>
        <v>0</v>
      </c>
      <c r="AE30" s="43" t="n">
        <f aca="false">IF(Matrice_OD!AD30&lt;=Param!$B$2,3_Huff!AD30*3_Huff!AD$139*1_Friction!AD30,0)</f>
        <v>0</v>
      </c>
      <c r="AF30" s="43" t="n">
        <f aca="false">IF(Matrice_OD!AE30&lt;=Param!$B$2,3_Huff!AE30*3_Huff!AE$139*1_Friction!AE30,0)</f>
        <v>0</v>
      </c>
      <c r="AG30" s="43" t="n">
        <f aca="false">IF(Matrice_OD!AF30&lt;=Param!$B$2,3_Huff!AF30*3_Huff!AF$139*1_Friction!AF30,0)</f>
        <v>0</v>
      </c>
      <c r="AH30" s="43" t="n">
        <f aca="false">IF(Matrice_OD!AG30&lt;=Param!$B$2,3_Huff!AG30*3_Huff!AG$139*1_Friction!AG30,0)</f>
        <v>9.34391616431833E-005</v>
      </c>
      <c r="AI30" s="43" t="n">
        <f aca="false">IF(Matrice_OD!AH30&lt;=Param!$B$2,3_Huff!AH30*3_Huff!AH$139*1_Friction!AH30,0)</f>
        <v>0</v>
      </c>
      <c r="AJ30" s="43" t="n">
        <f aca="false">IF(Matrice_OD!AI30&lt;=Param!$B$2,3_Huff!AI30*3_Huff!AI$139*1_Friction!AI30,0)</f>
        <v>0</v>
      </c>
      <c r="AK30" s="43" t="n">
        <f aca="false">IF(Matrice_OD!AJ30&lt;=Param!$B$2,3_Huff!AJ30*3_Huff!AJ$139*1_Friction!AJ30,0)</f>
        <v>0</v>
      </c>
      <c r="AL30" s="43" t="n">
        <f aca="false">IF(Matrice_OD!AK30&lt;=Param!$B$2,3_Huff!AK30*3_Huff!AK$139*1_Friction!AK30,0)</f>
        <v>0</v>
      </c>
      <c r="AM30" s="0" t="n">
        <f aca="false">IF(Matrice_OD!AL30&lt;=Param!$B$2,3_Huff!AL30*3_Huff!AL$139*1_Friction!AL30,0)</f>
        <v>0</v>
      </c>
      <c r="AN30" s="0" t="n">
        <f aca="false">IF(Matrice_OD!AM30&lt;=Param!$B$2,3_Huff!AM30*3_Huff!AM$139*1_Friction!AM30,0)</f>
        <v>0</v>
      </c>
      <c r="AO30" s="0" t="n">
        <f aca="false">IF(Matrice_OD!AN30&lt;=Param!$B$2,3_Huff!AN30*3_Huff!AN$139*1_Friction!AN30,0)</f>
        <v>0</v>
      </c>
      <c r="AP30" s="48" t="n">
        <f aca="false">SUM(D30:AO30)</f>
        <v>9.34391616431833E-005</v>
      </c>
      <c r="AQ30" s="43" t="n">
        <f aca="false">AP30*1000</f>
        <v>0.0934391616431833</v>
      </c>
      <c r="AR30" s="43" t="n">
        <f aca="false">RANK(AP30,AP$2:AP$136,0)</f>
        <v>72</v>
      </c>
      <c r="AS30" s="43" t="n">
        <f aca="false">COUNTIF(Matrice_OD!$C30:$AN30,"&lt;="&amp;Param!$B$2)</f>
        <v>1</v>
      </c>
    </row>
    <row r="31" customFormat="false" ht="15" hidden="false" customHeight="true" outlineLevel="0" collapsed="false">
      <c r="A31" s="0" t="s">
        <v>160</v>
      </c>
      <c r="B31" s="0" t="s">
        <v>161</v>
      </c>
      <c r="C31" s="0" t="n">
        <f aca="false">Demande!C31</f>
        <v>12959</v>
      </c>
      <c r="D31" s="43" t="n">
        <f aca="false">IF(Matrice_OD!C31&lt;=Param!$B$2,3_Huff!C31*3_Huff!C$139*1_Friction!C31,0)</f>
        <v>0</v>
      </c>
      <c r="E31" s="43" t="n">
        <f aca="false">IF(Matrice_OD!D31&lt;=Param!$B$2,3_Huff!D31*3_Huff!D$139*1_Friction!D31,0)</f>
        <v>0</v>
      </c>
      <c r="F31" s="43" t="n">
        <f aca="false">IF(Matrice_OD!E31&lt;=Param!$B$2,3_Huff!E31*3_Huff!E$139*1_Friction!E31,0)</f>
        <v>0</v>
      </c>
      <c r="G31" s="43" t="n">
        <f aca="false">IF(Matrice_OD!F31&lt;=Param!$B$2,3_Huff!F31*3_Huff!F$139*1_Friction!F31,0)</f>
        <v>0</v>
      </c>
      <c r="H31" s="43" t="n">
        <f aca="false">IF(Matrice_OD!G31&lt;=Param!$B$2,3_Huff!G31*3_Huff!G$139*1_Friction!G31,0)</f>
        <v>0</v>
      </c>
      <c r="I31" s="43" t="n">
        <f aca="false">IF(Matrice_OD!H31&lt;=Param!$B$2,3_Huff!H31*3_Huff!H$139*1_Friction!H31,0)</f>
        <v>0</v>
      </c>
      <c r="J31" s="43" t="n">
        <f aca="false">IF(Matrice_OD!I31&lt;=Param!$B$2,3_Huff!I31*3_Huff!I$139*1_Friction!I31,0)</f>
        <v>0</v>
      </c>
      <c r="K31" s="43" t="n">
        <f aca="false">IF(Matrice_OD!J31&lt;=Param!$B$2,3_Huff!J31*3_Huff!J$139*1_Friction!J31,0)</f>
        <v>0</v>
      </c>
      <c r="L31" s="43" t="n">
        <f aca="false">IF(Matrice_OD!K31&lt;=Param!$B$2,3_Huff!K31*3_Huff!K$139*1_Friction!K31,0)</f>
        <v>0</v>
      </c>
      <c r="M31" s="43" t="n">
        <f aca="false">IF(Matrice_OD!L31&lt;=Param!$B$2,3_Huff!L31*3_Huff!L$139*1_Friction!L31,0)</f>
        <v>0</v>
      </c>
      <c r="N31" s="43" t="n">
        <f aca="false">IF(Matrice_OD!M31&lt;=Param!$B$2,3_Huff!M31*3_Huff!M$139*1_Friction!M31,0)</f>
        <v>0</v>
      </c>
      <c r="O31" s="43" t="n">
        <f aca="false">IF(Matrice_OD!N31&lt;=Param!$B$2,3_Huff!N31*3_Huff!N$139*1_Friction!N31,0)</f>
        <v>0</v>
      </c>
      <c r="P31" s="43" t="n">
        <f aca="false">IF(Matrice_OD!O31&lt;=Param!$B$2,3_Huff!O31*3_Huff!O$139*1_Friction!O31,0)</f>
        <v>0</v>
      </c>
      <c r="Q31" s="43" t="n">
        <f aca="false">IF(Matrice_OD!P31&lt;=Param!$B$2,3_Huff!P31*3_Huff!P$139*1_Friction!P31,0)</f>
        <v>0</v>
      </c>
      <c r="R31" s="43" t="n">
        <f aca="false">IF(Matrice_OD!Q31&lt;=Param!$B$2,3_Huff!Q31*3_Huff!Q$139*1_Friction!Q31,0)</f>
        <v>0</v>
      </c>
      <c r="S31" s="43" t="n">
        <f aca="false">IF(Matrice_OD!R31&lt;=Param!$B$2,3_Huff!R31*3_Huff!R$139*1_Friction!R31,0)</f>
        <v>0</v>
      </c>
      <c r="T31" s="43" t="n">
        <f aca="false">IF(Matrice_OD!S31&lt;=Param!$B$2,3_Huff!S31*3_Huff!S$139*1_Friction!S31,0)</f>
        <v>0</v>
      </c>
      <c r="U31" s="43" t="n">
        <f aca="false">IF(Matrice_OD!T31&lt;=Param!$B$2,3_Huff!T31*3_Huff!T$139*1_Friction!T31,0)</f>
        <v>0</v>
      </c>
      <c r="V31" s="43" t="n">
        <f aca="false">IF(Matrice_OD!U31&lt;=Param!$B$2,3_Huff!U31*3_Huff!U$139*1_Friction!U31,0)</f>
        <v>0</v>
      </c>
      <c r="W31" s="43" t="n">
        <f aca="false">IF(Matrice_OD!V31&lt;=Param!$B$2,3_Huff!V31*3_Huff!V$139*1_Friction!V31,0)</f>
        <v>0</v>
      </c>
      <c r="X31" s="43" t="n">
        <f aca="false">IF(Matrice_OD!W31&lt;=Param!$B$2,3_Huff!W31*3_Huff!W$139*1_Friction!W31,0)</f>
        <v>0</v>
      </c>
      <c r="Y31" s="43" t="n">
        <f aca="false">IF(Matrice_OD!X31&lt;=Param!$B$2,3_Huff!X31*3_Huff!X$139*1_Friction!X31,0)</f>
        <v>0</v>
      </c>
      <c r="Z31" s="43" t="n">
        <f aca="false">IF(Matrice_OD!Y31&lt;=Param!$B$2,3_Huff!Y31*3_Huff!Y$139*1_Friction!Y31,0)</f>
        <v>0</v>
      </c>
      <c r="AA31" s="43" t="n">
        <f aca="false">IF(Matrice_OD!Z31&lt;=Param!$B$2,3_Huff!Z31*3_Huff!Z$139*1_Friction!Z31,0)</f>
        <v>0</v>
      </c>
      <c r="AB31" s="43" t="n">
        <f aca="false">IF(Matrice_OD!AA31&lt;=Param!$B$2,3_Huff!AA31*3_Huff!AA$139*1_Friction!AA31,0)</f>
        <v>0</v>
      </c>
      <c r="AC31" s="43" t="n">
        <f aca="false">IF(Matrice_OD!AB31&lt;=Param!$B$2,3_Huff!AB31*3_Huff!AB$139*1_Friction!AB31,0)</f>
        <v>0</v>
      </c>
      <c r="AD31" s="43" t="n">
        <f aca="false">IF(Matrice_OD!AC31&lt;=Param!$B$2,3_Huff!AC31*3_Huff!AC$139*1_Friction!AC31,0)</f>
        <v>0</v>
      </c>
      <c r="AE31" s="43" t="n">
        <f aca="false">IF(Matrice_OD!AD31&lt;=Param!$B$2,3_Huff!AD31*3_Huff!AD$139*1_Friction!AD31,0)</f>
        <v>0</v>
      </c>
      <c r="AF31" s="43" t="n">
        <f aca="false">IF(Matrice_OD!AE31&lt;=Param!$B$2,3_Huff!AE31*3_Huff!AE$139*1_Friction!AE31,0)</f>
        <v>0</v>
      </c>
      <c r="AG31" s="43" t="n">
        <f aca="false">IF(Matrice_OD!AF31&lt;=Param!$B$2,3_Huff!AF31*3_Huff!AF$139*1_Friction!AF31,0)</f>
        <v>0</v>
      </c>
      <c r="AH31" s="43" t="n">
        <f aca="false">IF(Matrice_OD!AG31&lt;=Param!$B$2,3_Huff!AG31*3_Huff!AG$139*1_Friction!AG31,0)</f>
        <v>8.29480464672747E-005</v>
      </c>
      <c r="AI31" s="43" t="n">
        <f aca="false">IF(Matrice_OD!AH31&lt;=Param!$B$2,3_Huff!AH31*3_Huff!AH$139*1_Friction!AH31,0)</f>
        <v>0</v>
      </c>
      <c r="AJ31" s="43" t="n">
        <f aca="false">IF(Matrice_OD!AI31&lt;=Param!$B$2,3_Huff!AI31*3_Huff!AI$139*1_Friction!AI31,0)</f>
        <v>0</v>
      </c>
      <c r="AK31" s="43" t="n">
        <f aca="false">IF(Matrice_OD!AJ31&lt;=Param!$B$2,3_Huff!AJ31*3_Huff!AJ$139*1_Friction!AJ31,0)</f>
        <v>0</v>
      </c>
      <c r="AL31" s="43" t="n">
        <f aca="false">IF(Matrice_OD!AK31&lt;=Param!$B$2,3_Huff!AK31*3_Huff!AK$139*1_Friction!AK31,0)</f>
        <v>0</v>
      </c>
      <c r="AM31" s="0" t="n">
        <f aca="false">IF(Matrice_OD!AL31&lt;=Param!$B$2,3_Huff!AL31*3_Huff!AL$139*1_Friction!AL31,0)</f>
        <v>0</v>
      </c>
      <c r="AN31" s="0" t="n">
        <f aca="false">IF(Matrice_OD!AM31&lt;=Param!$B$2,3_Huff!AM31*3_Huff!AM$139*1_Friction!AM31,0)</f>
        <v>0</v>
      </c>
      <c r="AO31" s="0" t="n">
        <f aca="false">IF(Matrice_OD!AN31&lt;=Param!$B$2,3_Huff!AN31*3_Huff!AN$139*1_Friction!AN31,0)</f>
        <v>1.24915144510515E-006</v>
      </c>
      <c r="AP31" s="49" t="n">
        <f aca="false">SUM(D31:AO31)</f>
        <v>8.41971979123798E-005</v>
      </c>
      <c r="AQ31" s="43" t="n">
        <f aca="false">AP31*1000</f>
        <v>0.0841971979123798</v>
      </c>
      <c r="AR31" s="43" t="n">
        <f aca="false">RANK(AP31,AP$2:AP$136,0)</f>
        <v>77</v>
      </c>
      <c r="AS31" s="43" t="n">
        <f aca="false">COUNTIF(Matrice_OD!$C31:$AN31,"&lt;="&amp;Param!$B$2)</f>
        <v>2</v>
      </c>
    </row>
    <row r="32" customFormat="false" ht="15" hidden="false" customHeight="true" outlineLevel="0" collapsed="false">
      <c r="A32" s="0" t="s">
        <v>162</v>
      </c>
      <c r="B32" s="0" t="s">
        <v>163</v>
      </c>
      <c r="C32" s="0" t="n">
        <f aca="false">Demande!C32</f>
        <v>11260</v>
      </c>
      <c r="D32" s="43" t="n">
        <f aca="false">IF(Matrice_OD!C32&lt;=Param!$B$2,3_Huff!C32*3_Huff!C$139*1_Friction!C32,0)</f>
        <v>0</v>
      </c>
      <c r="E32" s="43" t="n">
        <f aca="false">IF(Matrice_OD!D32&lt;=Param!$B$2,3_Huff!D32*3_Huff!D$139*1_Friction!D32,0)</f>
        <v>0</v>
      </c>
      <c r="F32" s="43" t="n">
        <f aca="false">IF(Matrice_OD!E32&lt;=Param!$B$2,3_Huff!E32*3_Huff!E$139*1_Friction!E32,0)</f>
        <v>0</v>
      </c>
      <c r="G32" s="43" t="n">
        <f aca="false">IF(Matrice_OD!F32&lt;=Param!$B$2,3_Huff!F32*3_Huff!F$139*1_Friction!F32,0)</f>
        <v>0</v>
      </c>
      <c r="H32" s="43" t="n">
        <f aca="false">IF(Matrice_OD!G32&lt;=Param!$B$2,3_Huff!G32*3_Huff!G$139*1_Friction!G32,0)</f>
        <v>0</v>
      </c>
      <c r="I32" s="43" t="n">
        <f aca="false">IF(Matrice_OD!H32&lt;=Param!$B$2,3_Huff!H32*3_Huff!H$139*1_Friction!H32,0)</f>
        <v>0</v>
      </c>
      <c r="J32" s="43" t="n">
        <f aca="false">IF(Matrice_OD!I32&lt;=Param!$B$2,3_Huff!I32*3_Huff!I$139*1_Friction!I32,0)</f>
        <v>0</v>
      </c>
      <c r="K32" s="43" t="n">
        <f aca="false">IF(Matrice_OD!J32&lt;=Param!$B$2,3_Huff!J32*3_Huff!J$139*1_Friction!J32,0)</f>
        <v>0</v>
      </c>
      <c r="L32" s="43" t="n">
        <f aca="false">IF(Matrice_OD!K32&lt;=Param!$B$2,3_Huff!K32*3_Huff!K$139*1_Friction!K32,0)</f>
        <v>0</v>
      </c>
      <c r="M32" s="43" t="n">
        <f aca="false">IF(Matrice_OD!L32&lt;=Param!$B$2,3_Huff!L32*3_Huff!L$139*1_Friction!L32,0)</f>
        <v>0</v>
      </c>
      <c r="N32" s="43" t="n">
        <f aca="false">IF(Matrice_OD!M32&lt;=Param!$B$2,3_Huff!M32*3_Huff!M$139*1_Friction!M32,0)</f>
        <v>0</v>
      </c>
      <c r="O32" s="43" t="n">
        <f aca="false">IF(Matrice_OD!N32&lt;=Param!$B$2,3_Huff!N32*3_Huff!N$139*1_Friction!N32,0)</f>
        <v>0</v>
      </c>
      <c r="P32" s="43" t="n">
        <f aca="false">IF(Matrice_OD!O32&lt;=Param!$B$2,3_Huff!O32*3_Huff!O$139*1_Friction!O32,0)</f>
        <v>0</v>
      </c>
      <c r="Q32" s="43" t="n">
        <f aca="false">IF(Matrice_OD!P32&lt;=Param!$B$2,3_Huff!P32*3_Huff!P$139*1_Friction!P32,0)</f>
        <v>0</v>
      </c>
      <c r="R32" s="43" t="n">
        <f aca="false">IF(Matrice_OD!Q32&lt;=Param!$B$2,3_Huff!Q32*3_Huff!Q$139*1_Friction!Q32,0)</f>
        <v>0</v>
      </c>
      <c r="S32" s="43" t="n">
        <f aca="false">IF(Matrice_OD!R32&lt;=Param!$B$2,3_Huff!R32*3_Huff!R$139*1_Friction!R32,0)</f>
        <v>0</v>
      </c>
      <c r="T32" s="43" t="n">
        <f aca="false">IF(Matrice_OD!S32&lt;=Param!$B$2,3_Huff!S32*3_Huff!S$139*1_Friction!S32,0)</f>
        <v>0</v>
      </c>
      <c r="U32" s="43" t="n">
        <f aca="false">IF(Matrice_OD!T32&lt;=Param!$B$2,3_Huff!T32*3_Huff!T$139*1_Friction!T32,0)</f>
        <v>0</v>
      </c>
      <c r="V32" s="43" t="n">
        <f aca="false">IF(Matrice_OD!U32&lt;=Param!$B$2,3_Huff!U32*3_Huff!U$139*1_Friction!U32,0)</f>
        <v>0</v>
      </c>
      <c r="W32" s="43" t="n">
        <f aca="false">IF(Matrice_OD!V32&lt;=Param!$B$2,3_Huff!V32*3_Huff!V$139*1_Friction!V32,0)</f>
        <v>0</v>
      </c>
      <c r="X32" s="43" t="n">
        <f aca="false">IF(Matrice_OD!W32&lt;=Param!$B$2,3_Huff!W32*3_Huff!W$139*1_Friction!W32,0)</f>
        <v>0</v>
      </c>
      <c r="Y32" s="43" t="n">
        <f aca="false">IF(Matrice_OD!X32&lt;=Param!$B$2,3_Huff!X32*3_Huff!X$139*1_Friction!X32,0)</f>
        <v>0</v>
      </c>
      <c r="Z32" s="43" t="n">
        <f aca="false">IF(Matrice_OD!Y32&lt;=Param!$B$2,3_Huff!Y32*3_Huff!Y$139*1_Friction!Y32,0)</f>
        <v>0</v>
      </c>
      <c r="AA32" s="43" t="n">
        <f aca="false">IF(Matrice_OD!Z32&lt;=Param!$B$2,3_Huff!Z32*3_Huff!Z$139*1_Friction!Z32,0)</f>
        <v>0</v>
      </c>
      <c r="AB32" s="43" t="n">
        <f aca="false">IF(Matrice_OD!AA32&lt;=Param!$B$2,3_Huff!AA32*3_Huff!AA$139*1_Friction!AA32,0)</f>
        <v>0</v>
      </c>
      <c r="AC32" s="43" t="n">
        <f aca="false">IF(Matrice_OD!AB32&lt;=Param!$B$2,3_Huff!AB32*3_Huff!AB$139*1_Friction!AB32,0)</f>
        <v>0</v>
      </c>
      <c r="AD32" s="43" t="n">
        <f aca="false">IF(Matrice_OD!AC32&lt;=Param!$B$2,3_Huff!AC32*3_Huff!AC$139*1_Friction!AC32,0)</f>
        <v>0</v>
      </c>
      <c r="AE32" s="43" t="n">
        <f aca="false">IF(Matrice_OD!AD32&lt;=Param!$B$2,3_Huff!AD32*3_Huff!AD$139*1_Friction!AD32,0)</f>
        <v>0</v>
      </c>
      <c r="AF32" s="43" t="n">
        <f aca="false">IF(Matrice_OD!AE32&lt;=Param!$B$2,3_Huff!AE32*3_Huff!AE$139*1_Friction!AE32,0)</f>
        <v>0</v>
      </c>
      <c r="AG32" s="43" t="n">
        <f aca="false">IF(Matrice_OD!AF32&lt;=Param!$B$2,3_Huff!AF32*3_Huff!AF$139*1_Friction!AF32,0)</f>
        <v>0</v>
      </c>
      <c r="AH32" s="43" t="n">
        <f aca="false">IF(Matrice_OD!AG32&lt;=Param!$B$2,3_Huff!AG32*3_Huff!AG$139*1_Friction!AG32,0)</f>
        <v>0</v>
      </c>
      <c r="AI32" s="43" t="n">
        <f aca="false">IF(Matrice_OD!AH32&lt;=Param!$B$2,3_Huff!AH32*3_Huff!AH$139*1_Friction!AH32,0)</f>
        <v>0</v>
      </c>
      <c r="AJ32" s="43" t="n">
        <f aca="false">IF(Matrice_OD!AI32&lt;=Param!$B$2,3_Huff!AI32*3_Huff!AI$139*1_Friction!AI32,0)</f>
        <v>0</v>
      </c>
      <c r="AK32" s="43" t="n">
        <f aca="false">IF(Matrice_OD!AJ32&lt;=Param!$B$2,3_Huff!AJ32*3_Huff!AJ$139*1_Friction!AJ32,0)</f>
        <v>0</v>
      </c>
      <c r="AL32" s="43" t="n">
        <f aca="false">IF(Matrice_OD!AK32&lt;=Param!$B$2,3_Huff!AK32*3_Huff!AK$139*1_Friction!AK32,0)</f>
        <v>0</v>
      </c>
      <c r="AM32" s="0" t="n">
        <f aca="false">IF(Matrice_OD!AL32&lt;=Param!$B$2,3_Huff!AL32*3_Huff!AL$139*1_Friction!AL32,0)</f>
        <v>0</v>
      </c>
      <c r="AN32" s="0" t="n">
        <f aca="false">IF(Matrice_OD!AM32&lt;=Param!$B$2,3_Huff!AM32*3_Huff!AM$139*1_Friction!AM32,0)</f>
        <v>0</v>
      </c>
      <c r="AO32" s="0" t="n">
        <f aca="false">IF(Matrice_OD!AN32&lt;=Param!$B$2,3_Huff!AN32*3_Huff!AN$139*1_Friction!AN32,0)</f>
        <v>0</v>
      </c>
      <c r="AP32" s="48" t="n">
        <f aca="false">SUM(D32:AO32)</f>
        <v>0</v>
      </c>
      <c r="AQ32" s="43" t="n">
        <f aca="false">AP32*1000</f>
        <v>0</v>
      </c>
      <c r="AR32" s="43" t="n">
        <f aca="false">RANK(AP32,AP$2:AP$136,0)</f>
        <v>123</v>
      </c>
      <c r="AS32" s="43" t="n">
        <f aca="false">COUNTIF(Matrice_OD!$C32:$AN32,"&lt;="&amp;Param!$B$2)</f>
        <v>0</v>
      </c>
    </row>
    <row r="33" customFormat="false" ht="15" hidden="false" customHeight="true" outlineLevel="0" collapsed="false">
      <c r="A33" s="0" t="s">
        <v>164</v>
      </c>
      <c r="B33" s="0" t="s">
        <v>165</v>
      </c>
      <c r="C33" s="0" t="n">
        <f aca="false">Demande!C33</f>
        <v>5734</v>
      </c>
      <c r="D33" s="43" t="n">
        <f aca="false">IF(Matrice_OD!C33&lt;=Param!$B$2,3_Huff!C33*3_Huff!C$139*1_Friction!C33,0)</f>
        <v>1.07118874571614E-005</v>
      </c>
      <c r="E33" s="43" t="n">
        <f aca="false">IF(Matrice_OD!D33&lt;=Param!$B$2,3_Huff!D33*3_Huff!D$139*1_Friction!D33,0)</f>
        <v>2.03596440791276E-007</v>
      </c>
      <c r="F33" s="43" t="n">
        <f aca="false">IF(Matrice_OD!E33&lt;=Param!$B$2,3_Huff!E33*3_Huff!E$139*1_Friction!E33,0)</f>
        <v>1.76843107365649E-006</v>
      </c>
      <c r="G33" s="43" t="n">
        <f aca="false">IF(Matrice_OD!F33&lt;=Param!$B$2,3_Huff!F33*3_Huff!F$139*1_Friction!F33,0)</f>
        <v>3.09963103577041E-007</v>
      </c>
      <c r="H33" s="43" t="n">
        <f aca="false">IF(Matrice_OD!G33&lt;=Param!$B$2,3_Huff!G33*3_Huff!G$139*1_Friction!G33,0)</f>
        <v>8.17749094198071E-007</v>
      </c>
      <c r="I33" s="43" t="n">
        <f aca="false">IF(Matrice_OD!H33&lt;=Param!$B$2,3_Huff!H33*3_Huff!H$139*1_Friction!H33,0)</f>
        <v>1.59842307391384E-007</v>
      </c>
      <c r="J33" s="43" t="n">
        <f aca="false">IF(Matrice_OD!I33&lt;=Param!$B$2,3_Huff!I33*3_Huff!I$139*1_Friction!I33,0)</f>
        <v>3.66647722216411E-007</v>
      </c>
      <c r="K33" s="43" t="n">
        <f aca="false">IF(Matrice_OD!J33&lt;=Param!$B$2,3_Huff!J33*3_Huff!J$139*1_Friction!J33,0)</f>
        <v>2.83786575930998E-007</v>
      </c>
      <c r="L33" s="43" t="n">
        <f aca="false">IF(Matrice_OD!K33&lt;=Param!$B$2,3_Huff!K33*3_Huff!K$139*1_Friction!K33,0)</f>
        <v>1.74036347284312E-007</v>
      </c>
      <c r="M33" s="43" t="n">
        <f aca="false">IF(Matrice_OD!L33&lt;=Param!$B$2,3_Huff!L33*3_Huff!L$139*1_Friction!L33,0)</f>
        <v>1.65628696312175E-007</v>
      </c>
      <c r="N33" s="43" t="n">
        <f aca="false">IF(Matrice_OD!M33&lt;=Param!$B$2,3_Huff!M33*3_Huff!M$139*1_Friction!M33,0)</f>
        <v>8.59171326701241E-007</v>
      </c>
      <c r="O33" s="43" t="n">
        <f aca="false">IF(Matrice_OD!N33&lt;=Param!$B$2,3_Huff!N33*3_Huff!N$139*1_Friction!N33,0)</f>
        <v>1.16975150381365E-007</v>
      </c>
      <c r="P33" s="43" t="n">
        <f aca="false">IF(Matrice_OD!O33&lt;=Param!$B$2,3_Huff!O33*3_Huff!O$139*1_Friction!O33,0)</f>
        <v>3.65758073462259E-007</v>
      </c>
      <c r="Q33" s="43" t="n">
        <f aca="false">IF(Matrice_OD!P33&lt;=Param!$B$2,3_Huff!P33*3_Huff!P$139*1_Friction!P33,0)</f>
        <v>1.73794763353761E-007</v>
      </c>
      <c r="R33" s="43" t="n">
        <f aca="false">IF(Matrice_OD!Q33&lt;=Param!$B$2,3_Huff!Q33*3_Huff!Q$139*1_Friction!Q33,0)</f>
        <v>1.44733066581734E-006</v>
      </c>
      <c r="S33" s="43" t="n">
        <f aca="false">IF(Matrice_OD!R33&lt;=Param!$B$2,3_Huff!R33*3_Huff!R$139*1_Friction!R33,0)</f>
        <v>1.9001072542635E-007</v>
      </c>
      <c r="T33" s="43" t="n">
        <f aca="false">IF(Matrice_OD!S33&lt;=Param!$B$2,3_Huff!S33*3_Huff!S$139*1_Friction!S33,0)</f>
        <v>1.37107410597893E-007</v>
      </c>
      <c r="U33" s="43" t="n">
        <f aca="false">IF(Matrice_OD!T33&lt;=Param!$B$2,3_Huff!T33*3_Huff!T$139*1_Friction!T33,0)</f>
        <v>2.03382089038234E-007</v>
      </c>
      <c r="V33" s="43" t="n">
        <f aca="false">IF(Matrice_OD!U33&lt;=Param!$B$2,3_Huff!U33*3_Huff!U$139*1_Friction!U33,0)</f>
        <v>0</v>
      </c>
      <c r="W33" s="43" t="n">
        <f aca="false">IF(Matrice_OD!V33&lt;=Param!$B$2,3_Huff!V33*3_Huff!V$139*1_Friction!V33,0)</f>
        <v>0</v>
      </c>
      <c r="X33" s="43" t="n">
        <f aca="false">IF(Matrice_OD!W33&lt;=Param!$B$2,3_Huff!W33*3_Huff!W$139*1_Friction!W33,0)</f>
        <v>0</v>
      </c>
      <c r="Y33" s="43" t="n">
        <f aca="false">IF(Matrice_OD!X33&lt;=Param!$B$2,3_Huff!X33*3_Huff!X$139*1_Friction!X33,0)</f>
        <v>0</v>
      </c>
      <c r="Z33" s="43" t="n">
        <f aca="false">IF(Matrice_OD!Y33&lt;=Param!$B$2,3_Huff!Y33*3_Huff!Y$139*1_Friction!Y33,0)</f>
        <v>0</v>
      </c>
      <c r="AA33" s="43" t="n">
        <f aca="false">IF(Matrice_OD!Z33&lt;=Param!$B$2,3_Huff!Z33*3_Huff!Z$139*1_Friction!Z33,0)</f>
        <v>0</v>
      </c>
      <c r="AB33" s="43" t="n">
        <f aca="false">IF(Matrice_OD!AA33&lt;=Param!$B$2,3_Huff!AA33*3_Huff!AA$139*1_Friction!AA33,0)</f>
        <v>0</v>
      </c>
      <c r="AC33" s="43" t="n">
        <f aca="false">IF(Matrice_OD!AB33&lt;=Param!$B$2,3_Huff!AB33*3_Huff!AB$139*1_Friction!AB33,0)</f>
        <v>0</v>
      </c>
      <c r="AD33" s="43" t="n">
        <f aca="false">IF(Matrice_OD!AC33&lt;=Param!$B$2,3_Huff!AC33*3_Huff!AC$139*1_Friction!AC33,0)</f>
        <v>0</v>
      </c>
      <c r="AE33" s="43" t="n">
        <f aca="false">IF(Matrice_OD!AD33&lt;=Param!$B$2,3_Huff!AD33*3_Huff!AD$139*1_Friction!AD33,0)</f>
        <v>0</v>
      </c>
      <c r="AF33" s="43" t="n">
        <f aca="false">IF(Matrice_OD!AE33&lt;=Param!$B$2,3_Huff!AE33*3_Huff!AE$139*1_Friction!AE33,0)</f>
        <v>0</v>
      </c>
      <c r="AG33" s="43" t="n">
        <f aca="false">IF(Matrice_OD!AF33&lt;=Param!$B$2,3_Huff!AF33*3_Huff!AF$139*1_Friction!AF33,0)</f>
        <v>0</v>
      </c>
      <c r="AH33" s="43" t="n">
        <f aca="false">IF(Matrice_OD!AG33&lt;=Param!$B$2,3_Huff!AG33*3_Huff!AG$139*1_Friction!AG33,0)</f>
        <v>2.43274321486486E-008</v>
      </c>
      <c r="AI33" s="43" t="n">
        <f aca="false">IF(Matrice_OD!AH33&lt;=Param!$B$2,3_Huff!AH33*3_Huff!AH$139*1_Friction!AH33,0)</f>
        <v>3.86181986116373E-007</v>
      </c>
      <c r="AJ33" s="43" t="n">
        <f aca="false">IF(Matrice_OD!AI33&lt;=Param!$B$2,3_Huff!AI33*3_Huff!AI$139*1_Friction!AI33,0)</f>
        <v>1.18500988777896E-007</v>
      </c>
      <c r="AK33" s="43" t="n">
        <f aca="false">IF(Matrice_OD!AJ33&lt;=Param!$B$2,3_Huff!AJ33*3_Huff!AJ$139*1_Friction!AJ33,0)</f>
        <v>0</v>
      </c>
      <c r="AL33" s="43" t="n">
        <f aca="false">IF(Matrice_OD!AK33&lt;=Param!$B$2,3_Huff!AK33*3_Huff!AK$139*1_Friction!AK33,0)</f>
        <v>0</v>
      </c>
      <c r="AM33" s="0" t="n">
        <f aca="false">IF(Matrice_OD!AL33&lt;=Param!$B$2,3_Huff!AL33*3_Huff!AL$139*1_Friction!AL33,0)</f>
        <v>0</v>
      </c>
      <c r="AN33" s="0" t="n">
        <f aca="false">IF(Matrice_OD!AM33&lt;=Param!$B$2,3_Huff!AM33*3_Huff!AM$139*1_Friction!AM33,0)</f>
        <v>2.33164408366207E-005</v>
      </c>
      <c r="AO33" s="0" t="n">
        <f aca="false">IF(Matrice_OD!AN33&lt;=Param!$B$2,3_Huff!AN33*3_Huff!AN$139*1_Friction!AN33,0)</f>
        <v>0</v>
      </c>
      <c r="AP33" s="49" t="n">
        <f aca="false">SUM(D33:AO33)</f>
        <v>4.23005502669616E-005</v>
      </c>
      <c r="AQ33" s="43" t="n">
        <f aca="false">AP33*1000</f>
        <v>0.0423005502669616</v>
      </c>
      <c r="AR33" s="43" t="n">
        <f aca="false">RANK(AP33,AP$2:AP$136,0)</f>
        <v>98</v>
      </c>
      <c r="AS33" s="43" t="n">
        <f aca="false">COUNTIF(Matrice_OD!$C33:$AN33,"&lt;="&amp;Param!$B$2)</f>
        <v>22</v>
      </c>
    </row>
    <row r="34" customFormat="false" ht="15" hidden="false" customHeight="true" outlineLevel="0" collapsed="false">
      <c r="A34" s="0" t="s">
        <v>166</v>
      </c>
      <c r="B34" s="0" t="s">
        <v>167</v>
      </c>
      <c r="C34" s="0" t="n">
        <f aca="false">Demande!C34</f>
        <v>10254</v>
      </c>
      <c r="D34" s="43" t="n">
        <f aca="false">IF(Matrice_OD!C34&lt;=Param!$B$2,3_Huff!C34*3_Huff!C$139*1_Friction!C34,0)</f>
        <v>2.7455064862908E-006</v>
      </c>
      <c r="E34" s="43" t="n">
        <f aca="false">IF(Matrice_OD!D34&lt;=Param!$B$2,3_Huff!D34*3_Huff!D$139*1_Friction!D34,0)</f>
        <v>5.96954488942112E-007</v>
      </c>
      <c r="F34" s="43" t="n">
        <f aca="false">IF(Matrice_OD!E34&lt;=Param!$B$2,3_Huff!E34*3_Huff!E$139*1_Friction!E34,0)</f>
        <v>5.35525208492457E-006</v>
      </c>
      <c r="G34" s="43" t="n">
        <f aca="false">IF(Matrice_OD!F34&lt;=Param!$B$2,3_Huff!F34*3_Huff!F$139*1_Friction!F34,0)</f>
        <v>9.40785086409156E-007</v>
      </c>
      <c r="H34" s="43" t="n">
        <f aca="false">IF(Matrice_OD!G34&lt;=Param!$B$2,3_Huff!G34*3_Huff!G$139*1_Friction!G34,0)</f>
        <v>2.50936566894192E-006</v>
      </c>
      <c r="I34" s="43" t="n">
        <f aca="false">IF(Matrice_OD!H34&lt;=Param!$B$2,3_Huff!H34*3_Huff!H$139*1_Friction!H34,0)</f>
        <v>4.97138726838094E-007</v>
      </c>
      <c r="J34" s="43" t="n">
        <f aca="false">IF(Matrice_OD!I34&lt;=Param!$B$2,3_Huff!I34*3_Huff!I$139*1_Friction!I34,0)</f>
        <v>1.14341330638307E-006</v>
      </c>
      <c r="K34" s="43" t="n">
        <f aca="false">IF(Matrice_OD!J34&lt;=Param!$B$2,3_Huff!J34*3_Huff!J$139*1_Friction!J34,0)</f>
        <v>8.90701680106988E-007</v>
      </c>
      <c r="L34" s="43" t="n">
        <f aca="false">IF(Matrice_OD!K34&lt;=Param!$B$2,3_Huff!K34*3_Huff!K$139*1_Friction!K34,0)</f>
        <v>5.48388119480664E-007</v>
      </c>
      <c r="M34" s="43" t="n">
        <f aca="false">IF(Matrice_OD!L34&lt;=Param!$B$2,3_Huff!L34*3_Huff!L$139*1_Friction!L34,0)</f>
        <v>5.22760390437395E-007</v>
      </c>
      <c r="N34" s="43" t="n">
        <f aca="false">IF(Matrice_OD!M34&lt;=Param!$B$2,3_Huff!M34*3_Huff!M$139*1_Friction!M34,0)</f>
        <v>2.71341670640365E-006</v>
      </c>
      <c r="O34" s="43" t="n">
        <f aca="false">IF(Matrice_OD!N34&lt;=Param!$B$2,3_Huff!N34*3_Huff!N$139*1_Friction!N34,0)</f>
        <v>3.71652237472984E-007</v>
      </c>
      <c r="P34" s="43" t="n">
        <f aca="false">IF(Matrice_OD!O34&lt;=Param!$B$2,3_Huff!O34*3_Huff!O$139*1_Friction!O34,0)</f>
        <v>1.16376742460562E-006</v>
      </c>
      <c r="Q34" s="43" t="n">
        <f aca="false">IF(Matrice_OD!P34&lt;=Param!$B$2,3_Huff!P34*3_Huff!P$139*1_Friction!P34,0)</f>
        <v>5.54010314878021E-007</v>
      </c>
      <c r="R34" s="43" t="n">
        <f aca="false">IF(Matrice_OD!Q34&lt;=Param!$B$2,3_Huff!Q34*3_Huff!Q$139*1_Friction!Q34,0)</f>
        <v>4.63759089161113E-006</v>
      </c>
      <c r="S34" s="43" t="n">
        <f aca="false">IF(Matrice_OD!R34&lt;=Param!$B$2,3_Huff!R34*3_Huff!R$139*1_Friction!R34,0)</f>
        <v>6.11495972881428E-007</v>
      </c>
      <c r="T34" s="43" t="n">
        <f aca="false">IF(Matrice_OD!S34&lt;=Param!$B$2,3_Huff!S34*3_Huff!S$139*1_Friction!S34,0)</f>
        <v>4.43897637714513E-007</v>
      </c>
      <c r="U34" s="43" t="n">
        <f aca="false">IF(Matrice_OD!T34&lt;=Param!$B$2,3_Huff!T34*3_Huff!T$139*1_Friction!T34,0)</f>
        <v>3.25183044522177E-008</v>
      </c>
      <c r="V34" s="43" t="n">
        <f aca="false">IF(Matrice_OD!U34&lt;=Param!$B$2,3_Huff!U34*3_Huff!U$139*1_Friction!U34,0)</f>
        <v>0</v>
      </c>
      <c r="W34" s="43" t="n">
        <f aca="false">IF(Matrice_OD!V34&lt;=Param!$B$2,3_Huff!V34*3_Huff!V$139*1_Friction!V34,0)</f>
        <v>0</v>
      </c>
      <c r="X34" s="43" t="n">
        <f aca="false">IF(Matrice_OD!W34&lt;=Param!$B$2,3_Huff!W34*3_Huff!W$139*1_Friction!W34,0)</f>
        <v>0</v>
      </c>
      <c r="Y34" s="43" t="n">
        <f aca="false">IF(Matrice_OD!X34&lt;=Param!$B$2,3_Huff!X34*3_Huff!X$139*1_Friction!X34,0)</f>
        <v>0</v>
      </c>
      <c r="Z34" s="43" t="n">
        <f aca="false">IF(Matrice_OD!Y34&lt;=Param!$B$2,3_Huff!Y34*3_Huff!Y$139*1_Friction!Y34,0)</f>
        <v>0</v>
      </c>
      <c r="AA34" s="43" t="n">
        <f aca="false">IF(Matrice_OD!Z34&lt;=Param!$B$2,3_Huff!Z34*3_Huff!Z$139*1_Friction!Z34,0)</f>
        <v>0</v>
      </c>
      <c r="AB34" s="43" t="n">
        <f aca="false">IF(Matrice_OD!AA34&lt;=Param!$B$2,3_Huff!AA34*3_Huff!AA$139*1_Friction!AA34,0)</f>
        <v>0</v>
      </c>
      <c r="AC34" s="43" t="n">
        <f aca="false">IF(Matrice_OD!AB34&lt;=Param!$B$2,3_Huff!AB34*3_Huff!AB$139*1_Friction!AB34,0)</f>
        <v>0</v>
      </c>
      <c r="AD34" s="43" t="n">
        <f aca="false">IF(Matrice_OD!AC34&lt;=Param!$B$2,3_Huff!AC34*3_Huff!AC$139*1_Friction!AC34,0)</f>
        <v>0</v>
      </c>
      <c r="AE34" s="43" t="n">
        <f aca="false">IF(Matrice_OD!AD34&lt;=Param!$B$2,3_Huff!AD34*3_Huff!AD$139*1_Friction!AD34,0)</f>
        <v>0</v>
      </c>
      <c r="AF34" s="43" t="n">
        <f aca="false">IF(Matrice_OD!AE34&lt;=Param!$B$2,3_Huff!AE34*3_Huff!AE$139*1_Friction!AE34,0)</f>
        <v>0</v>
      </c>
      <c r="AG34" s="43" t="n">
        <f aca="false">IF(Matrice_OD!AF34&lt;=Param!$B$2,3_Huff!AF34*3_Huff!AF$139*1_Friction!AF34,0)</f>
        <v>0</v>
      </c>
      <c r="AH34" s="43" t="n">
        <f aca="false">IF(Matrice_OD!AG34&lt;=Param!$B$2,3_Huff!AG34*3_Huff!AG$139*1_Friction!AG34,0)</f>
        <v>4.00096991779394E-007</v>
      </c>
      <c r="AI34" s="43" t="n">
        <f aca="false">IF(Matrice_OD!AH34&lt;=Param!$B$2,3_Huff!AH34*3_Huff!AH$139*1_Friction!AH34,0)</f>
        <v>1.27038223099846E-006</v>
      </c>
      <c r="AJ34" s="43" t="n">
        <f aca="false">IF(Matrice_OD!AI34&lt;=Param!$B$2,3_Huff!AI34*3_Huff!AI$139*1_Friction!AI34,0)</f>
        <v>1.93495729869794E-008</v>
      </c>
      <c r="AK34" s="43" t="n">
        <f aca="false">IF(Matrice_OD!AJ34&lt;=Param!$B$2,3_Huff!AJ34*3_Huff!AJ$139*1_Friction!AJ34,0)</f>
        <v>0</v>
      </c>
      <c r="AL34" s="43" t="n">
        <f aca="false">IF(Matrice_OD!AK34&lt;=Param!$B$2,3_Huff!AK34*3_Huff!AK$139*1_Friction!AK34,0)</f>
        <v>0</v>
      </c>
      <c r="AM34" s="0" t="n">
        <f aca="false">IF(Matrice_OD!AL34&lt;=Param!$B$2,3_Huff!AL34*3_Huff!AL$139*1_Friction!AL34,0)</f>
        <v>0</v>
      </c>
      <c r="AN34" s="0" t="n">
        <f aca="false">IF(Matrice_OD!AM34&lt;=Param!$B$2,3_Huff!AM34*3_Huff!AM$139*1_Friction!AM34,0)</f>
        <v>5.83414209236959E-006</v>
      </c>
      <c r="AO34" s="0" t="n">
        <f aca="false">IF(Matrice_OD!AN34&lt;=Param!$B$2,3_Huff!AN34*3_Huff!AN$139*1_Friction!AN34,0)</f>
        <v>0</v>
      </c>
      <c r="AP34" s="48" t="n">
        <f aca="false">SUM(D34:AO34)</f>
        <v>3.38025864169088E-005</v>
      </c>
      <c r="AQ34" s="43" t="n">
        <f aca="false">AP34*1000</f>
        <v>0.0338025864169088</v>
      </c>
      <c r="AR34" s="43" t="n">
        <f aca="false">RANK(AP34,AP$2:AP$136,0)</f>
        <v>105</v>
      </c>
      <c r="AS34" s="43" t="n">
        <f aca="false">COUNTIF(Matrice_OD!$C34:$AN34,"&lt;="&amp;Param!$B$2)</f>
        <v>22</v>
      </c>
    </row>
    <row r="35" customFormat="false" ht="15" hidden="false" customHeight="true" outlineLevel="0" collapsed="false">
      <c r="A35" s="0" t="s">
        <v>168</v>
      </c>
      <c r="B35" s="0" t="s">
        <v>169</v>
      </c>
      <c r="C35" s="0" t="n">
        <f aca="false">Demande!C35</f>
        <v>13409</v>
      </c>
      <c r="D35" s="43" t="n">
        <f aca="false">IF(Matrice_OD!C35&lt;=Param!$B$2,3_Huff!C35*3_Huff!C$139*1_Friction!C35,0)</f>
        <v>1.43459463903093E-005</v>
      </c>
      <c r="E35" s="43" t="n">
        <f aca="false">IF(Matrice_OD!D35&lt;=Param!$B$2,3_Huff!D35*3_Huff!D$139*1_Friction!D35,0)</f>
        <v>4.79716049008902E-007</v>
      </c>
      <c r="F35" s="43" t="n">
        <f aca="false">IF(Matrice_OD!E35&lt;=Param!$B$2,3_Huff!E35*3_Huff!E$139*1_Friction!E35,0)</f>
        <v>4.30870535651903E-006</v>
      </c>
      <c r="G35" s="43" t="n">
        <f aca="false">IF(Matrice_OD!F35&lt;=Param!$B$2,3_Huff!F35*3_Huff!F$139*1_Friction!F35,0)</f>
        <v>7.56997142529948E-007</v>
      </c>
      <c r="H35" s="43" t="n">
        <f aca="false">IF(Matrice_OD!G35&lt;=Param!$B$2,3_Huff!G35*3_Huff!G$139*1_Friction!G35,0)</f>
        <v>2.01997383159481E-006</v>
      </c>
      <c r="I35" s="43" t="n">
        <f aca="false">IF(Matrice_OD!H35&lt;=Param!$B$2,3_Huff!H35*3_Huff!H$139*1_Friction!H35,0)</f>
        <v>4.01034383388508E-007</v>
      </c>
      <c r="J35" s="43" t="n">
        <f aca="false">IF(Matrice_OD!I35&lt;=Param!$B$2,3_Huff!I35*3_Huff!I$139*1_Friction!I35,0)</f>
        <v>9.22469877865407E-007</v>
      </c>
      <c r="K35" s="43" t="n">
        <f aca="false">IF(Matrice_OD!J35&lt;=Param!$B$2,3_Huff!J35*3_Huff!J$139*1_Friction!J35,0)</f>
        <v>7.18767420625909E-007</v>
      </c>
      <c r="L35" s="43" t="n">
        <f aca="false">IF(Matrice_OD!K35&lt;=Param!$B$2,3_Huff!K35*3_Huff!K$139*1_Friction!K35,0)</f>
        <v>4.41875228650179E-007</v>
      </c>
      <c r="M35" s="43" t="n">
        <f aca="false">IF(Matrice_OD!L35&lt;=Param!$B$2,3_Huff!L35*3_Huff!L$139*1_Friction!L35,0)</f>
        <v>4.21941380257504E-007</v>
      </c>
      <c r="N35" s="43" t="n">
        <f aca="false">IF(Matrice_OD!M35&lt;=Param!$B$2,3_Huff!M35*3_Huff!M$139*1_Friction!M35,0)</f>
        <v>2.19016235799137E-006</v>
      </c>
      <c r="O35" s="43" t="n">
        <f aca="false">IF(Matrice_OD!N35&lt;=Param!$B$2,3_Huff!N35*3_Huff!N$139*1_Friction!N35,0)</f>
        <v>2.99559220027915E-007</v>
      </c>
      <c r="P35" s="43" t="n">
        <f aca="false">IF(Matrice_OD!O35&lt;=Param!$B$2,3_Huff!O35*3_Huff!O$139*1_Friction!O35,0)</f>
        <v>9.39616115710999E-007</v>
      </c>
      <c r="Q35" s="43" t="n">
        <f aca="false">IF(Matrice_OD!P35&lt;=Param!$B$2,3_Huff!P35*3_Huff!P$139*1_Friction!P35,0)</f>
        <v>4.47335353328244E-007</v>
      </c>
      <c r="R35" s="43" t="n">
        <f aca="false">IF(Matrice_OD!Q35&lt;=Param!$B$2,3_Huff!Q35*3_Huff!Q$139*1_Friction!Q35,0)</f>
        <v>3.7456339842638E-006</v>
      </c>
      <c r="S35" s="43" t="n">
        <f aca="false">IF(Matrice_OD!R35&lt;=Param!$B$2,3_Huff!R35*3_Huff!R$139*1_Friction!R35,0)</f>
        <v>4.93114460314832E-007</v>
      </c>
      <c r="T35" s="43" t="n">
        <f aca="false">IF(Matrice_OD!S35&lt;=Param!$B$2,3_Huff!S35*3_Huff!S$139*1_Friction!S35,0)</f>
        <v>3.58638958448455E-007</v>
      </c>
      <c r="U35" s="43" t="n">
        <f aca="false">IF(Matrice_OD!T35&lt;=Param!$B$2,3_Huff!T35*3_Huff!T$139*1_Friction!T35,0)</f>
        <v>4.99209191397319E-007</v>
      </c>
      <c r="V35" s="43" t="n">
        <f aca="false">IF(Matrice_OD!U35&lt;=Param!$B$2,3_Huff!U35*3_Huff!U$139*1_Friction!U35,0)</f>
        <v>0</v>
      </c>
      <c r="W35" s="43" t="n">
        <f aca="false">IF(Matrice_OD!V35&lt;=Param!$B$2,3_Huff!V35*3_Huff!V$139*1_Friction!V35,0)</f>
        <v>0</v>
      </c>
      <c r="X35" s="43" t="n">
        <f aca="false">IF(Matrice_OD!W35&lt;=Param!$B$2,3_Huff!W35*3_Huff!W$139*1_Friction!W35,0)</f>
        <v>0</v>
      </c>
      <c r="Y35" s="43" t="n">
        <f aca="false">IF(Matrice_OD!X35&lt;=Param!$B$2,3_Huff!X35*3_Huff!X$139*1_Friction!X35,0)</f>
        <v>0</v>
      </c>
      <c r="Z35" s="43" t="n">
        <f aca="false">IF(Matrice_OD!Y35&lt;=Param!$B$2,3_Huff!Y35*3_Huff!Y$139*1_Friction!Y35,0)</f>
        <v>0</v>
      </c>
      <c r="AA35" s="43" t="n">
        <f aca="false">IF(Matrice_OD!Z35&lt;=Param!$B$2,3_Huff!Z35*3_Huff!Z$139*1_Friction!Z35,0)</f>
        <v>0</v>
      </c>
      <c r="AB35" s="43" t="n">
        <f aca="false">IF(Matrice_OD!AA35&lt;=Param!$B$2,3_Huff!AA35*3_Huff!AA$139*1_Friction!AA35,0)</f>
        <v>0</v>
      </c>
      <c r="AC35" s="43" t="n">
        <f aca="false">IF(Matrice_OD!AB35&lt;=Param!$B$2,3_Huff!AB35*3_Huff!AB$139*1_Friction!AB35,0)</f>
        <v>0</v>
      </c>
      <c r="AD35" s="43" t="n">
        <f aca="false">IF(Matrice_OD!AC35&lt;=Param!$B$2,3_Huff!AC35*3_Huff!AC$139*1_Friction!AC35,0)</f>
        <v>0</v>
      </c>
      <c r="AE35" s="43" t="n">
        <f aca="false">IF(Matrice_OD!AD35&lt;=Param!$B$2,3_Huff!AD35*3_Huff!AD$139*1_Friction!AD35,0)</f>
        <v>0</v>
      </c>
      <c r="AF35" s="43" t="n">
        <f aca="false">IF(Matrice_OD!AE35&lt;=Param!$B$2,3_Huff!AE35*3_Huff!AE$139*1_Friction!AE35,0)</f>
        <v>0</v>
      </c>
      <c r="AG35" s="43" t="n">
        <f aca="false">IF(Matrice_OD!AF35&lt;=Param!$B$2,3_Huff!AF35*3_Huff!AF$139*1_Friction!AF35,0)</f>
        <v>0</v>
      </c>
      <c r="AH35" s="43" t="n">
        <f aca="false">IF(Matrice_OD!AG35&lt;=Param!$B$2,3_Huff!AG35*3_Huff!AG$139*1_Friction!AG35,0)</f>
        <v>1.40765495398877E-007</v>
      </c>
      <c r="AI35" s="43" t="n">
        <f aca="false">IF(Matrice_OD!AH35&lt;=Param!$B$2,3_Huff!AH35*3_Huff!AH$139*1_Friction!AH35,0)</f>
        <v>1.02528475084998E-006</v>
      </c>
      <c r="AJ35" s="43" t="n">
        <f aca="false">IF(Matrice_OD!AI35&lt;=Param!$B$2,3_Huff!AI35*3_Huff!AI$139*1_Friction!AI35,0)</f>
        <v>2.83094768098418E-007</v>
      </c>
      <c r="AK35" s="43" t="n">
        <f aca="false">IF(Matrice_OD!AJ35&lt;=Param!$B$2,3_Huff!AJ35*3_Huff!AJ$139*1_Friction!AJ35,0)</f>
        <v>0</v>
      </c>
      <c r="AL35" s="43" t="n">
        <f aca="false">IF(Matrice_OD!AK35&lt;=Param!$B$2,3_Huff!AK35*3_Huff!AK$139*1_Friction!AK35,0)</f>
        <v>0</v>
      </c>
      <c r="AM35" s="0" t="n">
        <f aca="false">IF(Matrice_OD!AL35&lt;=Param!$B$2,3_Huff!AL35*3_Huff!AL$139*1_Friction!AL35,0)</f>
        <v>0</v>
      </c>
      <c r="AN35" s="0" t="n">
        <f aca="false">IF(Matrice_OD!AM35&lt;=Param!$B$2,3_Huff!AM35*3_Huff!AM$139*1_Friction!AM35,0)</f>
        <v>3.2543034962952E-005</v>
      </c>
      <c r="AO35" s="0" t="n">
        <f aca="false">IF(Matrice_OD!AN35&lt;=Param!$B$2,3_Huff!AN35*3_Huff!AN$139*1_Friction!AN35,0)</f>
        <v>0</v>
      </c>
      <c r="AP35" s="49" t="n">
        <f aca="false">SUM(D35:AO35)</f>
        <v>6.77828766795317E-005</v>
      </c>
      <c r="AQ35" s="43" t="n">
        <f aca="false">AP35*1000</f>
        <v>0.0677828766795317</v>
      </c>
      <c r="AR35" s="43" t="n">
        <f aca="false">RANK(AP35,AP$2:AP$136,0)</f>
        <v>83</v>
      </c>
      <c r="AS35" s="43" t="n">
        <f aca="false">COUNTIF(Matrice_OD!$C35:$AN35,"&lt;="&amp;Param!$B$2)</f>
        <v>22</v>
      </c>
    </row>
    <row r="36" customFormat="false" ht="15" hidden="false" customHeight="true" outlineLevel="0" collapsed="false">
      <c r="A36" s="0" t="s">
        <v>170</v>
      </c>
      <c r="B36" s="0" t="s">
        <v>171</v>
      </c>
      <c r="C36" s="0" t="n">
        <f aca="false">Demande!C36</f>
        <v>13602</v>
      </c>
      <c r="D36" s="43" t="n">
        <f aca="false">IF(Matrice_OD!C36&lt;=Param!$B$2,3_Huff!C36*3_Huff!C$139*1_Friction!C36,0)</f>
        <v>1.5256994778325E-005</v>
      </c>
      <c r="E36" s="43" t="n">
        <f aca="false">IF(Matrice_OD!D36&lt;=Param!$B$2,3_Huff!D36*3_Huff!D$139*1_Friction!D36,0)</f>
        <v>6.14415014342256E-007</v>
      </c>
      <c r="F36" s="43" t="n">
        <f aca="false">IF(Matrice_OD!E36&lt;=Param!$B$2,3_Huff!E36*3_Huff!E$139*1_Friction!E36,0)</f>
        <v>5.57956915458783E-006</v>
      </c>
      <c r="G36" s="43" t="n">
        <f aca="false">IF(Matrice_OD!F36&lt;=Param!$B$2,3_Huff!F36*3_Huff!F$139*1_Friction!F36,0)</f>
        <v>9.8103589579213E-007</v>
      </c>
      <c r="H36" s="43" t="n">
        <f aca="false">IF(Matrice_OD!G36&lt;=Param!$B$2,3_Huff!G36*3_Huff!G$139*1_Friction!G36,0)</f>
        <v>2.62759917924001E-006</v>
      </c>
      <c r="I36" s="43" t="n">
        <f aca="false">IF(Matrice_OD!H36&lt;=Param!$B$2,3_Huff!H36*3_Huff!H$139*1_Friction!H36,0)</f>
        <v>5.2321616870356E-007</v>
      </c>
      <c r="J36" s="43" t="n">
        <f aca="false">IF(Matrice_OD!I36&lt;=Param!$B$2,3_Huff!I36*3_Huff!I$139*1_Friction!I36,0)</f>
        <v>1.20461559578742E-006</v>
      </c>
      <c r="K36" s="43" t="n">
        <f aca="false">IF(Matrice_OD!J36&lt;=Param!$B$2,3_Huff!J36*3_Huff!J$139*1_Friction!J36,0)</f>
        <v>9.40655817315198E-007</v>
      </c>
      <c r="L36" s="43" t="n">
        <f aca="false">IF(Matrice_OD!K36&lt;=Param!$B$2,3_Huff!K36*3_Huff!K$139*1_Friction!K36,0)</f>
        <v>5.8000540734953E-007</v>
      </c>
      <c r="M36" s="43" t="n">
        <f aca="false">IF(Matrice_OD!L36&lt;=Param!$B$2,3_Huff!L36*3_Huff!L$139*1_Friction!L36,0)</f>
        <v>5.53246252858551E-007</v>
      </c>
      <c r="N36" s="43" t="n">
        <f aca="false">IF(Matrice_OD!M36&lt;=Param!$B$2,3_Huff!M36*3_Huff!M$139*1_Friction!M36,0)</f>
        <v>2.87232929747369E-006</v>
      </c>
      <c r="O36" s="43" t="n">
        <f aca="false">IF(Matrice_OD!N36&lt;=Param!$B$2,3_Huff!N36*3_Huff!N$139*1_Friction!N36,0)</f>
        <v>3.94311795756062E-007</v>
      </c>
      <c r="P36" s="43" t="n">
        <f aca="false">IF(Matrice_OD!O36&lt;=Param!$B$2,3_Huff!O36*3_Huff!O$139*1_Friction!O36,0)</f>
        <v>1.23734622759446E-006</v>
      </c>
      <c r="Q36" s="43" t="n">
        <f aca="false">IF(Matrice_OD!P36&lt;=Param!$B$2,3_Huff!P36*3_Huff!P$139*1_Friction!P36,0)</f>
        <v>5.88524399721309E-007</v>
      </c>
      <c r="R36" s="43" t="n">
        <f aca="false">IF(Matrice_OD!Q36&lt;=Param!$B$2,3_Huff!Q36*3_Huff!Q$139*1_Friction!Q36,0)</f>
        <v>4.94746421479625E-006</v>
      </c>
      <c r="S36" s="43" t="n">
        <f aca="false">IF(Matrice_OD!R36&lt;=Param!$B$2,3_Huff!R36*3_Huff!R$139*1_Friction!R36,0)</f>
        <v>6.51933184224394E-007</v>
      </c>
      <c r="T36" s="43" t="n">
        <f aca="false">IF(Matrice_OD!S36&lt;=Param!$B$2,3_Huff!S36*3_Huff!S$139*1_Friction!S36,0)</f>
        <v>4.7508366496408E-007</v>
      </c>
      <c r="U36" s="43" t="n">
        <f aca="false">IF(Matrice_OD!T36&lt;=Param!$B$2,3_Huff!T36*3_Huff!T$139*1_Friction!T36,0)</f>
        <v>6.46649924429992E-007</v>
      </c>
      <c r="V36" s="43" t="n">
        <f aca="false">IF(Matrice_OD!U36&lt;=Param!$B$2,3_Huff!U36*3_Huff!U$139*1_Friction!U36,0)</f>
        <v>0</v>
      </c>
      <c r="W36" s="43" t="n">
        <f aca="false">IF(Matrice_OD!V36&lt;=Param!$B$2,3_Huff!V36*3_Huff!V$139*1_Friction!V36,0)</f>
        <v>0</v>
      </c>
      <c r="X36" s="43" t="n">
        <f aca="false">IF(Matrice_OD!W36&lt;=Param!$B$2,3_Huff!W36*3_Huff!W$139*1_Friction!W36,0)</f>
        <v>0</v>
      </c>
      <c r="Y36" s="43" t="n">
        <f aca="false">IF(Matrice_OD!X36&lt;=Param!$B$2,3_Huff!X36*3_Huff!X$139*1_Friction!X36,0)</f>
        <v>0</v>
      </c>
      <c r="Z36" s="43" t="n">
        <f aca="false">IF(Matrice_OD!Y36&lt;=Param!$B$2,3_Huff!Y36*3_Huff!Y$139*1_Friction!Y36,0)</f>
        <v>0</v>
      </c>
      <c r="AA36" s="43" t="n">
        <f aca="false">IF(Matrice_OD!Z36&lt;=Param!$B$2,3_Huff!Z36*3_Huff!Z$139*1_Friction!Z36,0)</f>
        <v>0</v>
      </c>
      <c r="AB36" s="43" t="n">
        <f aca="false">IF(Matrice_OD!AA36&lt;=Param!$B$2,3_Huff!AA36*3_Huff!AA$139*1_Friction!AA36,0)</f>
        <v>0</v>
      </c>
      <c r="AC36" s="43" t="n">
        <f aca="false">IF(Matrice_OD!AB36&lt;=Param!$B$2,3_Huff!AB36*3_Huff!AB$139*1_Friction!AB36,0)</f>
        <v>0</v>
      </c>
      <c r="AD36" s="43" t="n">
        <f aca="false">IF(Matrice_OD!AC36&lt;=Param!$B$2,3_Huff!AC36*3_Huff!AC$139*1_Friction!AC36,0)</f>
        <v>0</v>
      </c>
      <c r="AE36" s="43" t="n">
        <f aca="false">IF(Matrice_OD!AD36&lt;=Param!$B$2,3_Huff!AD36*3_Huff!AD$139*1_Friction!AD36,0)</f>
        <v>0</v>
      </c>
      <c r="AF36" s="43" t="n">
        <f aca="false">IF(Matrice_OD!AE36&lt;=Param!$B$2,3_Huff!AE36*3_Huff!AE$139*1_Friction!AE36,0)</f>
        <v>0</v>
      </c>
      <c r="AG36" s="43" t="n">
        <f aca="false">IF(Matrice_OD!AF36&lt;=Param!$B$2,3_Huff!AF36*3_Huff!AF$139*1_Friction!AF36,0)</f>
        <v>0</v>
      </c>
      <c r="AH36" s="43" t="n">
        <f aca="false">IF(Matrice_OD!AG36&lt;=Param!$B$2,3_Huff!AG36*3_Huff!AG$139*1_Friction!AG36,0)</f>
        <v>0</v>
      </c>
      <c r="AI36" s="43" t="n">
        <f aca="false">IF(Matrice_OD!AH36&lt;=Param!$B$2,3_Huff!AH36*3_Huff!AH$139*1_Friction!AH36,0)</f>
        <v>1.36566846083144E-006</v>
      </c>
      <c r="AJ36" s="43" t="n">
        <f aca="false">IF(Matrice_OD!AI36&lt;=Param!$B$2,3_Huff!AI36*3_Huff!AI$139*1_Friction!AI36,0)</f>
        <v>3.63473847430476E-007</v>
      </c>
      <c r="AK36" s="43" t="n">
        <f aca="false">IF(Matrice_OD!AJ36&lt;=Param!$B$2,3_Huff!AJ36*3_Huff!AJ$139*1_Friction!AJ36,0)</f>
        <v>0</v>
      </c>
      <c r="AL36" s="43" t="n">
        <f aca="false">IF(Matrice_OD!AK36&lt;=Param!$B$2,3_Huff!AK36*3_Huff!AK$139*1_Friction!AK36,0)</f>
        <v>0</v>
      </c>
      <c r="AM36" s="0" t="n">
        <f aca="false">IF(Matrice_OD!AL36&lt;=Param!$B$2,3_Huff!AL36*3_Huff!AL$139*1_Friction!AL36,0)</f>
        <v>0</v>
      </c>
      <c r="AN36" s="0" t="n">
        <f aca="false">IF(Matrice_OD!AM36&lt;=Param!$B$2,3_Huff!AM36*3_Huff!AM$139*1_Friction!AM36,0)</f>
        <v>3.50121742626384E-005</v>
      </c>
      <c r="AO36" s="0" t="n">
        <f aca="false">IF(Matrice_OD!AN36&lt;=Param!$B$2,3_Huff!AN36*3_Huff!AN$139*1_Friction!AN36,0)</f>
        <v>2.35981939767827E-007</v>
      </c>
      <c r="AP36" s="48" t="n">
        <f aca="false">SUM(D36:AO36)</f>
        <v>7.76522944839298E-005</v>
      </c>
      <c r="AQ36" s="43" t="n">
        <f aca="false">AP36*1000</f>
        <v>0.0776522944839298</v>
      </c>
      <c r="AR36" s="43" t="n">
        <f aca="false">RANK(AP36,AP$2:AP$136,0)</f>
        <v>82</v>
      </c>
      <c r="AS36" s="43" t="n">
        <f aca="false">COUNTIF(Matrice_OD!$C36:$AN36,"&lt;="&amp;Param!$B$2)</f>
        <v>22</v>
      </c>
    </row>
    <row r="37" customFormat="false" ht="15" hidden="false" customHeight="true" outlineLevel="0" collapsed="false">
      <c r="A37" s="0" t="s">
        <v>172</v>
      </c>
      <c r="B37" s="0" t="s">
        <v>173</v>
      </c>
      <c r="C37" s="0" t="n">
        <f aca="false">Demande!C37</f>
        <v>9352</v>
      </c>
      <c r="D37" s="43" t="n">
        <f aca="false">IF(Matrice_OD!C37&lt;=Param!$B$2,3_Huff!C37*3_Huff!C$139*1_Friction!C37,0)</f>
        <v>1.61267009380415E-005</v>
      </c>
      <c r="E37" s="43" t="n">
        <f aca="false">IF(Matrice_OD!D37&lt;=Param!$B$2,3_Huff!D37*3_Huff!D$139*1_Friction!D37,0)</f>
        <v>7.04806435226487E-007</v>
      </c>
      <c r="F37" s="43" t="n">
        <f aca="false">IF(Matrice_OD!E37&lt;=Param!$B$2,3_Huff!E37*3_Huff!E$139*1_Friction!E37,0)</f>
        <v>6.43115098251295E-006</v>
      </c>
      <c r="G37" s="43" t="n">
        <f aca="false">IF(Matrice_OD!F37&lt;=Param!$B$2,3_Huff!F37*3_Huff!F$139*1_Friction!F37,0)</f>
        <v>1.12946079707063E-006</v>
      </c>
      <c r="H37" s="43" t="n">
        <f aca="false">IF(Matrice_OD!G37&lt;=Param!$B$2,3_Huff!G37*3_Huff!G$139*1_Friction!G37,0)</f>
        <v>3.03459327952953E-006</v>
      </c>
      <c r="I37" s="43" t="n">
        <f aca="false">IF(Matrice_OD!H37&lt;=Param!$B$2,3_Huff!H37*3_Huff!H$139*1_Friction!H37,0)</f>
        <v>6.05465214855632E-007</v>
      </c>
      <c r="J37" s="43" t="n">
        <f aca="false">IF(Matrice_OD!I37&lt;=Param!$B$2,3_Huff!I37*3_Huff!I$139*1_Friction!I37,0)</f>
        <v>1.3945364033837E-006</v>
      </c>
      <c r="K37" s="43" t="n">
        <f aca="false">IF(Matrice_OD!J37&lt;=Param!$B$2,3_Huff!J37*3_Huff!J$139*1_Friction!J37,0)</f>
        <v>1.08999737774292E-006</v>
      </c>
      <c r="L37" s="43" t="n">
        <f aca="false">IF(Matrice_OD!K37&lt;=Param!$B$2,3_Huff!K37*3_Huff!K$139*1_Friction!K37,0)</f>
        <v>6.71450130096731E-007</v>
      </c>
      <c r="M37" s="43" t="n">
        <f aca="false">IF(Matrice_OD!L37&lt;=Param!$B$2,3_Huff!L37*3_Huff!L$139*1_Friction!L37,0)</f>
        <v>6.41613049963649E-007</v>
      </c>
      <c r="N37" s="43" t="n">
        <f aca="false">IF(Matrice_OD!M37&lt;=Param!$B$2,3_Huff!M37*3_Huff!M$139*1_Friction!M37,0)</f>
        <v>3.33141652368301E-006</v>
      </c>
      <c r="O37" s="43" t="n">
        <f aca="false">IF(Matrice_OD!N37&lt;=Param!$B$2,3_Huff!N37*3_Huff!N$139*1_Friction!N37,0)</f>
        <v>4.57036485708509E-007</v>
      </c>
      <c r="P37" s="43" t="n">
        <f aca="false">IF(Matrice_OD!O37&lt;=Param!$B$2,3_Huff!O37*3_Huff!O$139*1_Friction!O37,0)</f>
        <v>1.43443789051048E-006</v>
      </c>
      <c r="Q37" s="43" t="n">
        <f aca="false">IF(Matrice_OD!P37&lt;=Param!$B$2,3_Huff!P37*3_Huff!P$139*1_Friction!P37,0)</f>
        <v>6.83532518370604E-007</v>
      </c>
      <c r="R37" s="43" t="n">
        <f aca="false">IF(Matrice_OD!Q37&lt;=Param!$B$2,3_Huff!Q37*3_Huff!Q$139*1_Friction!Q37,0)</f>
        <v>5.74304551252248E-006</v>
      </c>
      <c r="S37" s="43" t="n">
        <f aca="false">IF(Matrice_OD!R37&lt;=Param!$B$2,3_Huff!R37*3_Huff!R$139*1_Friction!R37,0)</f>
        <v>7.57067727759652E-007</v>
      </c>
      <c r="T37" s="43" t="n">
        <f aca="false">IF(Matrice_OD!S37&lt;=Param!$B$2,3_Huff!S37*3_Huff!S$139*1_Friction!S37,0)</f>
        <v>5.52169370040791E-007</v>
      </c>
      <c r="U37" s="43" t="n">
        <f aca="false">IF(Matrice_OD!T37&lt;=Param!$B$2,3_Huff!T37*3_Huff!T$139*1_Friction!T37,0)</f>
        <v>7.45962974425588E-007</v>
      </c>
      <c r="V37" s="43" t="n">
        <f aca="false">IF(Matrice_OD!U37&lt;=Param!$B$2,3_Huff!U37*3_Huff!U$139*1_Friction!U37,0)</f>
        <v>0</v>
      </c>
      <c r="W37" s="43" t="n">
        <f aca="false">IF(Matrice_OD!V37&lt;=Param!$B$2,3_Huff!V37*3_Huff!V$139*1_Friction!V37,0)</f>
        <v>0</v>
      </c>
      <c r="X37" s="43" t="n">
        <f aca="false">IF(Matrice_OD!W37&lt;=Param!$B$2,3_Huff!W37*3_Huff!W$139*1_Friction!W37,0)</f>
        <v>0</v>
      </c>
      <c r="Y37" s="43" t="n">
        <f aca="false">IF(Matrice_OD!X37&lt;=Param!$B$2,3_Huff!X37*3_Huff!X$139*1_Friction!X37,0)</f>
        <v>0</v>
      </c>
      <c r="Z37" s="43" t="n">
        <f aca="false">IF(Matrice_OD!Y37&lt;=Param!$B$2,3_Huff!Y37*3_Huff!Y$139*1_Friction!Y37,0)</f>
        <v>0</v>
      </c>
      <c r="AA37" s="43" t="n">
        <f aca="false">IF(Matrice_OD!Z37&lt;=Param!$B$2,3_Huff!Z37*3_Huff!Z$139*1_Friction!Z37,0)</f>
        <v>0</v>
      </c>
      <c r="AB37" s="43" t="n">
        <f aca="false">IF(Matrice_OD!AA37&lt;=Param!$B$2,3_Huff!AA37*3_Huff!AA$139*1_Friction!AA37,0)</f>
        <v>0</v>
      </c>
      <c r="AC37" s="43" t="n">
        <f aca="false">IF(Matrice_OD!AB37&lt;=Param!$B$2,3_Huff!AB37*3_Huff!AB$139*1_Friction!AB37,0)</f>
        <v>0</v>
      </c>
      <c r="AD37" s="43" t="n">
        <f aca="false">IF(Matrice_OD!AC37&lt;=Param!$B$2,3_Huff!AC37*3_Huff!AC$139*1_Friction!AC37,0)</f>
        <v>0</v>
      </c>
      <c r="AE37" s="43" t="n">
        <f aca="false">IF(Matrice_OD!AD37&lt;=Param!$B$2,3_Huff!AD37*3_Huff!AD$139*1_Friction!AD37,0)</f>
        <v>0</v>
      </c>
      <c r="AF37" s="43" t="n">
        <f aca="false">IF(Matrice_OD!AE37&lt;=Param!$B$2,3_Huff!AE37*3_Huff!AE$139*1_Friction!AE37,0)</f>
        <v>0</v>
      </c>
      <c r="AG37" s="43" t="n">
        <f aca="false">IF(Matrice_OD!AF37&lt;=Param!$B$2,3_Huff!AF37*3_Huff!AF$139*1_Friction!AF37,0)</f>
        <v>0</v>
      </c>
      <c r="AH37" s="43" t="n">
        <f aca="false">IF(Matrice_OD!AG37&lt;=Param!$B$2,3_Huff!AG37*3_Huff!AG$139*1_Friction!AG37,0)</f>
        <v>0</v>
      </c>
      <c r="AI37" s="43" t="n">
        <f aca="false">IF(Matrice_OD!AH37&lt;=Param!$B$2,3_Huff!AH37*3_Huff!AH$139*1_Friction!AH37,0)</f>
        <v>1.59103520615834E-006</v>
      </c>
      <c r="AJ37" s="43" t="n">
        <f aca="false">IF(Matrice_OD!AI37&lt;=Param!$B$2,3_Huff!AI37*3_Huff!AI$139*1_Friction!AI37,0)</f>
        <v>4.17677623248005E-007</v>
      </c>
      <c r="AK37" s="43" t="n">
        <f aca="false">IF(Matrice_OD!AJ37&lt;=Param!$B$2,3_Huff!AJ37*3_Huff!AJ$139*1_Friction!AJ37,0)</f>
        <v>0</v>
      </c>
      <c r="AL37" s="43" t="n">
        <f aca="false">IF(Matrice_OD!AK37&lt;=Param!$B$2,3_Huff!AK37*3_Huff!AK$139*1_Friction!AK37,0)</f>
        <v>0</v>
      </c>
      <c r="AM37" s="0" t="n">
        <f aca="false">IF(Matrice_OD!AL37&lt;=Param!$B$2,3_Huff!AL37*3_Huff!AL$139*1_Friction!AL37,0)</f>
        <v>0</v>
      </c>
      <c r="AN37" s="0" t="n">
        <f aca="false">IF(Matrice_OD!AM37&lt;=Param!$B$2,3_Huff!AM37*3_Huff!AM$139*1_Friction!AM37,0)</f>
        <v>3.70607567223792E-005</v>
      </c>
      <c r="AO37" s="0" t="n">
        <f aca="false">IF(Matrice_OD!AN37&lt;=Param!$B$2,3_Huff!AN37*3_Huff!AN$139*1_Friction!AN37,0)</f>
        <v>0</v>
      </c>
      <c r="AP37" s="49" t="n">
        <f aca="false">SUM(D37:AO37)</f>
        <v>8.46039131632304E-005</v>
      </c>
      <c r="AQ37" s="43" t="n">
        <f aca="false">AP37*1000</f>
        <v>0.0846039131632304</v>
      </c>
      <c r="AR37" s="43" t="n">
        <f aca="false">RANK(AP37,AP$2:AP$136,0)</f>
        <v>76</v>
      </c>
      <c r="AS37" s="43" t="n">
        <f aca="false">COUNTIF(Matrice_OD!$C37:$AN37,"&lt;="&amp;Param!$B$2)</f>
        <v>21</v>
      </c>
    </row>
    <row r="38" customFormat="false" ht="15" hidden="false" customHeight="true" outlineLevel="0" collapsed="false">
      <c r="A38" s="0" t="s">
        <v>174</v>
      </c>
      <c r="B38" s="0" t="s">
        <v>175</v>
      </c>
      <c r="C38" s="0" t="n">
        <f aca="false">Demande!C38</f>
        <v>8662</v>
      </c>
      <c r="D38" s="43" t="n">
        <f aca="false">IF(Matrice_OD!C38&lt;=Param!$B$2,3_Huff!C38*3_Huff!C$139*1_Friction!C38,0)</f>
        <v>1.98006922978523E-007</v>
      </c>
      <c r="E38" s="43" t="n">
        <f aca="false">IF(Matrice_OD!D38&lt;=Param!$B$2,3_Huff!D38*3_Huff!D$139*1_Friction!D38,0)</f>
        <v>0</v>
      </c>
      <c r="F38" s="43" t="n">
        <f aca="false">IF(Matrice_OD!E38&lt;=Param!$B$2,3_Huff!E38*3_Huff!E$139*1_Friction!E38,0)</f>
        <v>0</v>
      </c>
      <c r="G38" s="43" t="n">
        <f aca="false">IF(Matrice_OD!F38&lt;=Param!$B$2,3_Huff!F38*3_Huff!F$139*1_Friction!F38,0)</f>
        <v>0</v>
      </c>
      <c r="H38" s="43" t="n">
        <f aca="false">IF(Matrice_OD!G38&lt;=Param!$B$2,3_Huff!G38*3_Huff!G$139*1_Friction!G38,0)</f>
        <v>0</v>
      </c>
      <c r="I38" s="43" t="n">
        <f aca="false">IF(Matrice_OD!H38&lt;=Param!$B$2,3_Huff!H38*3_Huff!H$139*1_Friction!H38,0)</f>
        <v>0</v>
      </c>
      <c r="J38" s="43" t="n">
        <f aca="false">IF(Matrice_OD!I38&lt;=Param!$B$2,3_Huff!I38*3_Huff!I$139*1_Friction!I38,0)</f>
        <v>0</v>
      </c>
      <c r="K38" s="43" t="n">
        <f aca="false">IF(Matrice_OD!J38&lt;=Param!$B$2,3_Huff!J38*3_Huff!J$139*1_Friction!J38,0)</f>
        <v>0</v>
      </c>
      <c r="L38" s="43" t="n">
        <f aca="false">IF(Matrice_OD!K38&lt;=Param!$B$2,3_Huff!K38*3_Huff!K$139*1_Friction!K38,0)</f>
        <v>0</v>
      </c>
      <c r="M38" s="43" t="n">
        <f aca="false">IF(Matrice_OD!L38&lt;=Param!$B$2,3_Huff!L38*3_Huff!L$139*1_Friction!L38,0)</f>
        <v>0</v>
      </c>
      <c r="N38" s="43" t="n">
        <f aca="false">IF(Matrice_OD!M38&lt;=Param!$B$2,3_Huff!M38*3_Huff!M$139*1_Friction!M38,0)</f>
        <v>0</v>
      </c>
      <c r="O38" s="43" t="n">
        <f aca="false">IF(Matrice_OD!N38&lt;=Param!$B$2,3_Huff!N38*3_Huff!N$139*1_Friction!N38,0)</f>
        <v>0</v>
      </c>
      <c r="P38" s="43" t="n">
        <f aca="false">IF(Matrice_OD!O38&lt;=Param!$B$2,3_Huff!O38*3_Huff!O$139*1_Friction!O38,0)</f>
        <v>0</v>
      </c>
      <c r="Q38" s="43" t="n">
        <f aca="false">IF(Matrice_OD!P38&lt;=Param!$B$2,3_Huff!P38*3_Huff!P$139*1_Friction!P38,0)</f>
        <v>0</v>
      </c>
      <c r="R38" s="43" t="n">
        <f aca="false">IF(Matrice_OD!Q38&lt;=Param!$B$2,3_Huff!Q38*3_Huff!Q$139*1_Friction!Q38,0)</f>
        <v>0</v>
      </c>
      <c r="S38" s="43" t="n">
        <f aca="false">IF(Matrice_OD!R38&lt;=Param!$B$2,3_Huff!R38*3_Huff!R$139*1_Friction!R38,0)</f>
        <v>0</v>
      </c>
      <c r="T38" s="43" t="n">
        <f aca="false">IF(Matrice_OD!S38&lt;=Param!$B$2,3_Huff!S38*3_Huff!S$139*1_Friction!S38,0)</f>
        <v>0</v>
      </c>
      <c r="U38" s="43" t="n">
        <f aca="false">IF(Matrice_OD!T38&lt;=Param!$B$2,3_Huff!T38*3_Huff!T$139*1_Friction!T38,0)</f>
        <v>0</v>
      </c>
      <c r="V38" s="43" t="n">
        <f aca="false">IF(Matrice_OD!U38&lt;=Param!$B$2,3_Huff!U38*3_Huff!U$139*1_Friction!U38,0)</f>
        <v>0</v>
      </c>
      <c r="W38" s="43" t="n">
        <f aca="false">IF(Matrice_OD!V38&lt;=Param!$B$2,3_Huff!V38*3_Huff!V$139*1_Friction!V38,0)</f>
        <v>0</v>
      </c>
      <c r="X38" s="43" t="n">
        <f aca="false">IF(Matrice_OD!W38&lt;=Param!$B$2,3_Huff!W38*3_Huff!W$139*1_Friction!W38,0)</f>
        <v>0</v>
      </c>
      <c r="Y38" s="43" t="n">
        <f aca="false">IF(Matrice_OD!X38&lt;=Param!$B$2,3_Huff!X38*3_Huff!X$139*1_Friction!X38,0)</f>
        <v>0</v>
      </c>
      <c r="Z38" s="43" t="n">
        <f aca="false">IF(Matrice_OD!Y38&lt;=Param!$B$2,3_Huff!Y38*3_Huff!Y$139*1_Friction!Y38,0)</f>
        <v>0</v>
      </c>
      <c r="AA38" s="43" t="n">
        <f aca="false">IF(Matrice_OD!Z38&lt;=Param!$B$2,3_Huff!Z38*3_Huff!Z$139*1_Friction!Z38,0)</f>
        <v>0</v>
      </c>
      <c r="AB38" s="43" t="n">
        <f aca="false">IF(Matrice_OD!AA38&lt;=Param!$B$2,3_Huff!AA38*3_Huff!AA$139*1_Friction!AA38,0)</f>
        <v>0</v>
      </c>
      <c r="AC38" s="43" t="n">
        <f aca="false">IF(Matrice_OD!AB38&lt;=Param!$B$2,3_Huff!AB38*3_Huff!AB$139*1_Friction!AB38,0)</f>
        <v>0</v>
      </c>
      <c r="AD38" s="43" t="n">
        <f aca="false">IF(Matrice_OD!AC38&lt;=Param!$B$2,3_Huff!AC38*3_Huff!AC$139*1_Friction!AC38,0)</f>
        <v>0</v>
      </c>
      <c r="AE38" s="43" t="n">
        <f aca="false">IF(Matrice_OD!AD38&lt;=Param!$B$2,3_Huff!AD38*3_Huff!AD$139*1_Friction!AD38,0)</f>
        <v>0</v>
      </c>
      <c r="AF38" s="43" t="n">
        <f aca="false">IF(Matrice_OD!AE38&lt;=Param!$B$2,3_Huff!AE38*3_Huff!AE$139*1_Friction!AE38,0)</f>
        <v>0</v>
      </c>
      <c r="AG38" s="43" t="n">
        <f aca="false">IF(Matrice_OD!AF38&lt;=Param!$B$2,3_Huff!AF38*3_Huff!AF$139*1_Friction!AF38,0)</f>
        <v>0</v>
      </c>
      <c r="AH38" s="43" t="n">
        <f aca="false">IF(Matrice_OD!AG38&lt;=Param!$B$2,3_Huff!AG38*3_Huff!AG$139*1_Friction!AG38,0)</f>
        <v>3.64757287133522E-005</v>
      </c>
      <c r="AI38" s="43" t="n">
        <f aca="false">IF(Matrice_OD!AH38&lt;=Param!$B$2,3_Huff!AH38*3_Huff!AH$139*1_Friction!AH38,0)</f>
        <v>0</v>
      </c>
      <c r="AJ38" s="43" t="n">
        <f aca="false">IF(Matrice_OD!AI38&lt;=Param!$B$2,3_Huff!AI38*3_Huff!AI$139*1_Friction!AI38,0)</f>
        <v>0</v>
      </c>
      <c r="AK38" s="43" t="n">
        <f aca="false">IF(Matrice_OD!AJ38&lt;=Param!$B$2,3_Huff!AJ38*3_Huff!AJ$139*1_Friction!AJ38,0)</f>
        <v>0</v>
      </c>
      <c r="AL38" s="43" t="n">
        <f aca="false">IF(Matrice_OD!AK38&lt;=Param!$B$2,3_Huff!AK38*3_Huff!AK$139*1_Friction!AK38,0)</f>
        <v>0</v>
      </c>
      <c r="AM38" s="0" t="n">
        <f aca="false">IF(Matrice_OD!AL38&lt;=Param!$B$2,3_Huff!AL38*3_Huff!AL$139*1_Friction!AL38,0)</f>
        <v>0</v>
      </c>
      <c r="AN38" s="0" t="n">
        <f aca="false">IF(Matrice_OD!AM38&lt;=Param!$B$2,3_Huff!AM38*3_Huff!AM$139*1_Friction!AM38,0)</f>
        <v>3.88805972727426E-007</v>
      </c>
      <c r="AO38" s="0" t="n">
        <f aca="false">IF(Matrice_OD!AN38&lt;=Param!$B$2,3_Huff!AN38*3_Huff!AN$139*1_Friction!AN38,0)</f>
        <v>6.69119557999462E-006</v>
      </c>
      <c r="AP38" s="48" t="n">
        <f aca="false">SUM(D38:AO38)</f>
        <v>4.37537371890528E-005</v>
      </c>
      <c r="AQ38" s="43" t="n">
        <f aca="false">AP38*1000</f>
        <v>0.0437537371890528</v>
      </c>
      <c r="AR38" s="43" t="n">
        <f aca="false">RANK(AP38,AP$2:AP$136,0)</f>
        <v>97</v>
      </c>
      <c r="AS38" s="43" t="n">
        <f aca="false">COUNTIF(Matrice_OD!$C38:$AN38,"&lt;="&amp;Param!$B$2)</f>
        <v>4</v>
      </c>
    </row>
    <row r="39" customFormat="false" ht="15" hidden="false" customHeight="true" outlineLevel="0" collapsed="false">
      <c r="A39" s="0" t="s">
        <v>176</v>
      </c>
      <c r="B39" s="0" t="s">
        <v>177</v>
      </c>
      <c r="C39" s="0" t="n">
        <f aca="false">Demande!C39</f>
        <v>10891</v>
      </c>
      <c r="D39" s="43" t="n">
        <f aca="false">IF(Matrice_OD!C39&lt;=Param!$B$2,3_Huff!C39*3_Huff!C$139*1_Friction!C39,0)</f>
        <v>1.12862602366834E-007</v>
      </c>
      <c r="E39" s="43" t="n">
        <f aca="false">IF(Matrice_OD!D39&lt;=Param!$B$2,3_Huff!D39*3_Huff!D$139*1_Friction!D39,0)</f>
        <v>0</v>
      </c>
      <c r="F39" s="43" t="n">
        <f aca="false">IF(Matrice_OD!E39&lt;=Param!$B$2,3_Huff!E39*3_Huff!E$139*1_Friction!E39,0)</f>
        <v>0</v>
      </c>
      <c r="G39" s="43" t="n">
        <f aca="false">IF(Matrice_OD!F39&lt;=Param!$B$2,3_Huff!F39*3_Huff!F$139*1_Friction!F39,0)</f>
        <v>0</v>
      </c>
      <c r="H39" s="43" t="n">
        <f aca="false">IF(Matrice_OD!G39&lt;=Param!$B$2,3_Huff!G39*3_Huff!G$139*1_Friction!G39,0)</f>
        <v>0</v>
      </c>
      <c r="I39" s="43" t="n">
        <f aca="false">IF(Matrice_OD!H39&lt;=Param!$B$2,3_Huff!H39*3_Huff!H$139*1_Friction!H39,0)</f>
        <v>0</v>
      </c>
      <c r="J39" s="43" t="n">
        <f aca="false">IF(Matrice_OD!I39&lt;=Param!$B$2,3_Huff!I39*3_Huff!I$139*1_Friction!I39,0)</f>
        <v>0</v>
      </c>
      <c r="K39" s="43" t="n">
        <f aca="false">IF(Matrice_OD!J39&lt;=Param!$B$2,3_Huff!J39*3_Huff!J$139*1_Friction!J39,0)</f>
        <v>0</v>
      </c>
      <c r="L39" s="43" t="n">
        <f aca="false">IF(Matrice_OD!K39&lt;=Param!$B$2,3_Huff!K39*3_Huff!K$139*1_Friction!K39,0)</f>
        <v>0</v>
      </c>
      <c r="M39" s="43" t="n">
        <f aca="false">IF(Matrice_OD!L39&lt;=Param!$B$2,3_Huff!L39*3_Huff!L$139*1_Friction!L39,0)</f>
        <v>0</v>
      </c>
      <c r="N39" s="43" t="n">
        <f aca="false">IF(Matrice_OD!M39&lt;=Param!$B$2,3_Huff!M39*3_Huff!M$139*1_Friction!M39,0)</f>
        <v>0</v>
      </c>
      <c r="O39" s="43" t="n">
        <f aca="false">IF(Matrice_OD!N39&lt;=Param!$B$2,3_Huff!N39*3_Huff!N$139*1_Friction!N39,0)</f>
        <v>0</v>
      </c>
      <c r="P39" s="43" t="n">
        <f aca="false">IF(Matrice_OD!O39&lt;=Param!$B$2,3_Huff!O39*3_Huff!O$139*1_Friction!O39,0)</f>
        <v>0</v>
      </c>
      <c r="Q39" s="43" t="n">
        <f aca="false">IF(Matrice_OD!P39&lt;=Param!$B$2,3_Huff!P39*3_Huff!P$139*1_Friction!P39,0)</f>
        <v>0</v>
      </c>
      <c r="R39" s="43" t="n">
        <f aca="false">IF(Matrice_OD!Q39&lt;=Param!$B$2,3_Huff!Q39*3_Huff!Q$139*1_Friction!Q39,0)</f>
        <v>0</v>
      </c>
      <c r="S39" s="43" t="n">
        <f aca="false">IF(Matrice_OD!R39&lt;=Param!$B$2,3_Huff!R39*3_Huff!R$139*1_Friction!R39,0)</f>
        <v>0</v>
      </c>
      <c r="T39" s="43" t="n">
        <f aca="false">IF(Matrice_OD!S39&lt;=Param!$B$2,3_Huff!S39*3_Huff!S$139*1_Friction!S39,0)</f>
        <v>0</v>
      </c>
      <c r="U39" s="43" t="n">
        <f aca="false">IF(Matrice_OD!T39&lt;=Param!$B$2,3_Huff!T39*3_Huff!T$139*1_Friction!T39,0)</f>
        <v>0</v>
      </c>
      <c r="V39" s="43" t="n">
        <f aca="false">IF(Matrice_OD!U39&lt;=Param!$B$2,3_Huff!U39*3_Huff!U$139*1_Friction!U39,0)</f>
        <v>0</v>
      </c>
      <c r="W39" s="43" t="n">
        <f aca="false">IF(Matrice_OD!V39&lt;=Param!$B$2,3_Huff!V39*3_Huff!V$139*1_Friction!V39,0)</f>
        <v>0</v>
      </c>
      <c r="X39" s="43" t="n">
        <f aca="false">IF(Matrice_OD!W39&lt;=Param!$B$2,3_Huff!W39*3_Huff!W$139*1_Friction!W39,0)</f>
        <v>0</v>
      </c>
      <c r="Y39" s="43" t="n">
        <f aca="false">IF(Matrice_OD!X39&lt;=Param!$B$2,3_Huff!X39*3_Huff!X$139*1_Friction!X39,0)</f>
        <v>0</v>
      </c>
      <c r="Z39" s="43" t="n">
        <f aca="false">IF(Matrice_OD!Y39&lt;=Param!$B$2,3_Huff!Y39*3_Huff!Y$139*1_Friction!Y39,0)</f>
        <v>0</v>
      </c>
      <c r="AA39" s="43" t="n">
        <f aca="false">IF(Matrice_OD!Z39&lt;=Param!$B$2,3_Huff!Z39*3_Huff!Z$139*1_Friction!Z39,0)</f>
        <v>0</v>
      </c>
      <c r="AB39" s="43" t="n">
        <f aca="false">IF(Matrice_OD!AA39&lt;=Param!$B$2,3_Huff!AA39*3_Huff!AA$139*1_Friction!AA39,0)</f>
        <v>0</v>
      </c>
      <c r="AC39" s="43" t="n">
        <f aca="false">IF(Matrice_OD!AB39&lt;=Param!$B$2,3_Huff!AB39*3_Huff!AB$139*1_Friction!AB39,0)</f>
        <v>0</v>
      </c>
      <c r="AD39" s="43" t="n">
        <f aca="false">IF(Matrice_OD!AC39&lt;=Param!$B$2,3_Huff!AC39*3_Huff!AC$139*1_Friction!AC39,0)</f>
        <v>0</v>
      </c>
      <c r="AE39" s="43" t="n">
        <f aca="false">IF(Matrice_OD!AD39&lt;=Param!$B$2,3_Huff!AD39*3_Huff!AD$139*1_Friction!AD39,0)</f>
        <v>0</v>
      </c>
      <c r="AF39" s="43" t="n">
        <f aca="false">IF(Matrice_OD!AE39&lt;=Param!$B$2,3_Huff!AE39*3_Huff!AE$139*1_Friction!AE39,0)</f>
        <v>0</v>
      </c>
      <c r="AG39" s="43" t="n">
        <f aca="false">IF(Matrice_OD!AF39&lt;=Param!$B$2,3_Huff!AF39*3_Huff!AF$139*1_Friction!AF39,0)</f>
        <v>0</v>
      </c>
      <c r="AH39" s="43" t="n">
        <f aca="false">IF(Matrice_OD!AG39&lt;=Param!$B$2,3_Huff!AG39*3_Huff!AG$139*1_Friction!AG39,0)</f>
        <v>1.40275925753739E-006</v>
      </c>
      <c r="AI39" s="43" t="n">
        <f aca="false">IF(Matrice_OD!AH39&lt;=Param!$B$2,3_Huff!AH39*3_Huff!AH$139*1_Friction!AH39,0)</f>
        <v>0</v>
      </c>
      <c r="AJ39" s="43" t="n">
        <f aca="false">IF(Matrice_OD!AI39&lt;=Param!$B$2,3_Huff!AI39*3_Huff!AI$139*1_Friction!AI39,0)</f>
        <v>0</v>
      </c>
      <c r="AK39" s="43" t="n">
        <f aca="false">IF(Matrice_OD!AJ39&lt;=Param!$B$2,3_Huff!AJ39*3_Huff!AJ$139*1_Friction!AJ39,0)</f>
        <v>0</v>
      </c>
      <c r="AL39" s="43" t="n">
        <f aca="false">IF(Matrice_OD!AK39&lt;=Param!$B$2,3_Huff!AK39*3_Huff!AK$139*1_Friction!AK39,0)</f>
        <v>0</v>
      </c>
      <c r="AM39" s="0" t="n">
        <f aca="false">IF(Matrice_OD!AL39&lt;=Param!$B$2,3_Huff!AL39*3_Huff!AL$139*1_Friction!AL39,0)</f>
        <v>0</v>
      </c>
      <c r="AN39" s="0" t="n">
        <f aca="false">IF(Matrice_OD!AM39&lt;=Param!$B$2,3_Huff!AM39*3_Huff!AM$139*1_Friction!AM39,0)</f>
        <v>2.15663469742976E-007</v>
      </c>
      <c r="AO39" s="0" t="n">
        <f aca="false">IF(Matrice_OD!AN39&lt;=Param!$B$2,3_Huff!AN39*3_Huff!AN$139*1_Friction!AN39,0)</f>
        <v>3.4351242185291E-005</v>
      </c>
      <c r="AP39" s="49" t="n">
        <f aca="false">SUM(D39:AO39)</f>
        <v>3.60825275149382E-005</v>
      </c>
      <c r="AQ39" s="43" t="n">
        <f aca="false">AP39*1000</f>
        <v>0.0360825275149382</v>
      </c>
      <c r="AR39" s="43" t="n">
        <f aca="false">RANK(AP39,AP$2:AP$136,0)</f>
        <v>101</v>
      </c>
      <c r="AS39" s="43" t="n">
        <f aca="false">COUNTIF(Matrice_OD!$C39:$AN39,"&lt;="&amp;Param!$B$2)</f>
        <v>4</v>
      </c>
    </row>
    <row r="40" customFormat="false" ht="15" hidden="false" customHeight="true" outlineLevel="0" collapsed="false">
      <c r="A40" s="0" t="s">
        <v>178</v>
      </c>
      <c r="B40" s="0" t="s">
        <v>179</v>
      </c>
      <c r="C40" s="0" t="n">
        <f aca="false">Demande!C40</f>
        <v>9373</v>
      </c>
      <c r="D40" s="43" t="n">
        <f aca="false">IF(Matrice_OD!C40&lt;=Param!$B$2,3_Huff!C40*3_Huff!C$139*1_Friction!C40,0)</f>
        <v>4.42434117805267E-006</v>
      </c>
      <c r="E40" s="43" t="n">
        <f aca="false">IF(Matrice_OD!D40&lt;=Param!$B$2,3_Huff!D40*3_Huff!D$139*1_Friction!D40,0)</f>
        <v>0</v>
      </c>
      <c r="F40" s="43" t="n">
        <f aca="false">IF(Matrice_OD!E40&lt;=Param!$B$2,3_Huff!E40*3_Huff!E$139*1_Friction!E40,0)</f>
        <v>0</v>
      </c>
      <c r="G40" s="43" t="n">
        <f aca="false">IF(Matrice_OD!F40&lt;=Param!$B$2,3_Huff!F40*3_Huff!F$139*1_Friction!F40,0)</f>
        <v>0</v>
      </c>
      <c r="H40" s="43" t="n">
        <f aca="false">IF(Matrice_OD!G40&lt;=Param!$B$2,3_Huff!G40*3_Huff!G$139*1_Friction!G40,0)</f>
        <v>0</v>
      </c>
      <c r="I40" s="43" t="n">
        <f aca="false">IF(Matrice_OD!H40&lt;=Param!$B$2,3_Huff!H40*3_Huff!H$139*1_Friction!H40,0)</f>
        <v>0</v>
      </c>
      <c r="J40" s="43" t="n">
        <f aca="false">IF(Matrice_OD!I40&lt;=Param!$B$2,3_Huff!I40*3_Huff!I$139*1_Friction!I40,0)</f>
        <v>0</v>
      </c>
      <c r="K40" s="43" t="n">
        <f aca="false">IF(Matrice_OD!J40&lt;=Param!$B$2,3_Huff!J40*3_Huff!J$139*1_Friction!J40,0)</f>
        <v>0</v>
      </c>
      <c r="L40" s="43" t="n">
        <f aca="false">IF(Matrice_OD!K40&lt;=Param!$B$2,3_Huff!K40*3_Huff!K$139*1_Friction!K40,0)</f>
        <v>0</v>
      </c>
      <c r="M40" s="43" t="n">
        <f aca="false">IF(Matrice_OD!L40&lt;=Param!$B$2,3_Huff!L40*3_Huff!L$139*1_Friction!L40,0)</f>
        <v>0</v>
      </c>
      <c r="N40" s="43" t="n">
        <f aca="false">IF(Matrice_OD!M40&lt;=Param!$B$2,3_Huff!M40*3_Huff!M$139*1_Friction!M40,0)</f>
        <v>0</v>
      </c>
      <c r="O40" s="43" t="n">
        <f aca="false">IF(Matrice_OD!N40&lt;=Param!$B$2,3_Huff!N40*3_Huff!N$139*1_Friction!N40,0)</f>
        <v>0</v>
      </c>
      <c r="P40" s="43" t="n">
        <f aca="false">IF(Matrice_OD!O40&lt;=Param!$B$2,3_Huff!O40*3_Huff!O$139*1_Friction!O40,0)</f>
        <v>0</v>
      </c>
      <c r="Q40" s="43" t="n">
        <f aca="false">IF(Matrice_OD!P40&lt;=Param!$B$2,3_Huff!P40*3_Huff!P$139*1_Friction!P40,0)</f>
        <v>0</v>
      </c>
      <c r="R40" s="43" t="n">
        <f aca="false">IF(Matrice_OD!Q40&lt;=Param!$B$2,3_Huff!Q40*3_Huff!Q$139*1_Friction!Q40,0)</f>
        <v>0</v>
      </c>
      <c r="S40" s="43" t="n">
        <f aca="false">IF(Matrice_OD!R40&lt;=Param!$B$2,3_Huff!R40*3_Huff!R$139*1_Friction!R40,0)</f>
        <v>0</v>
      </c>
      <c r="T40" s="43" t="n">
        <f aca="false">IF(Matrice_OD!S40&lt;=Param!$B$2,3_Huff!S40*3_Huff!S$139*1_Friction!S40,0)</f>
        <v>0</v>
      </c>
      <c r="U40" s="43" t="n">
        <f aca="false">IF(Matrice_OD!T40&lt;=Param!$B$2,3_Huff!T40*3_Huff!T$139*1_Friction!T40,0)</f>
        <v>0</v>
      </c>
      <c r="V40" s="43" t="n">
        <f aca="false">IF(Matrice_OD!U40&lt;=Param!$B$2,3_Huff!U40*3_Huff!U$139*1_Friction!U40,0)</f>
        <v>0</v>
      </c>
      <c r="W40" s="43" t="n">
        <f aca="false">IF(Matrice_OD!V40&lt;=Param!$B$2,3_Huff!V40*3_Huff!V$139*1_Friction!V40,0)</f>
        <v>0</v>
      </c>
      <c r="X40" s="43" t="n">
        <f aca="false">IF(Matrice_OD!W40&lt;=Param!$B$2,3_Huff!W40*3_Huff!W$139*1_Friction!W40,0)</f>
        <v>0</v>
      </c>
      <c r="Y40" s="43" t="n">
        <f aca="false">IF(Matrice_OD!X40&lt;=Param!$B$2,3_Huff!X40*3_Huff!X$139*1_Friction!X40,0)</f>
        <v>0</v>
      </c>
      <c r="Z40" s="43" t="n">
        <f aca="false">IF(Matrice_OD!Y40&lt;=Param!$B$2,3_Huff!Y40*3_Huff!Y$139*1_Friction!Y40,0)</f>
        <v>0</v>
      </c>
      <c r="AA40" s="43" t="n">
        <f aca="false">IF(Matrice_OD!Z40&lt;=Param!$B$2,3_Huff!Z40*3_Huff!Z$139*1_Friction!Z40,0)</f>
        <v>0</v>
      </c>
      <c r="AB40" s="43" t="n">
        <f aca="false">IF(Matrice_OD!AA40&lt;=Param!$B$2,3_Huff!AA40*3_Huff!AA$139*1_Friction!AA40,0)</f>
        <v>0</v>
      </c>
      <c r="AC40" s="43" t="n">
        <f aca="false">IF(Matrice_OD!AB40&lt;=Param!$B$2,3_Huff!AB40*3_Huff!AB$139*1_Friction!AB40,0)</f>
        <v>0</v>
      </c>
      <c r="AD40" s="43" t="n">
        <f aca="false">IF(Matrice_OD!AC40&lt;=Param!$B$2,3_Huff!AC40*3_Huff!AC$139*1_Friction!AC40,0)</f>
        <v>0</v>
      </c>
      <c r="AE40" s="43" t="n">
        <f aca="false">IF(Matrice_OD!AD40&lt;=Param!$B$2,3_Huff!AD40*3_Huff!AD$139*1_Friction!AD40,0)</f>
        <v>0</v>
      </c>
      <c r="AF40" s="43" t="n">
        <f aca="false">IF(Matrice_OD!AE40&lt;=Param!$B$2,3_Huff!AE40*3_Huff!AE$139*1_Friction!AE40,0)</f>
        <v>0</v>
      </c>
      <c r="AG40" s="43" t="n">
        <f aca="false">IF(Matrice_OD!AF40&lt;=Param!$B$2,3_Huff!AF40*3_Huff!AF$139*1_Friction!AF40,0)</f>
        <v>0</v>
      </c>
      <c r="AH40" s="43" t="n">
        <f aca="false">IF(Matrice_OD!AG40&lt;=Param!$B$2,3_Huff!AG40*3_Huff!AG$139*1_Friction!AG40,0)</f>
        <v>4.68646094272056E-007</v>
      </c>
      <c r="AI40" s="43" t="n">
        <f aca="false">IF(Matrice_OD!AH40&lt;=Param!$B$2,3_Huff!AH40*3_Huff!AH$139*1_Friction!AH40,0)</f>
        <v>0</v>
      </c>
      <c r="AJ40" s="43" t="n">
        <f aca="false">IF(Matrice_OD!AI40&lt;=Param!$B$2,3_Huff!AI40*3_Huff!AI$139*1_Friction!AI40,0)</f>
        <v>0</v>
      </c>
      <c r="AK40" s="43" t="n">
        <f aca="false">IF(Matrice_OD!AJ40&lt;=Param!$B$2,3_Huff!AJ40*3_Huff!AJ$139*1_Friction!AJ40,0)</f>
        <v>0</v>
      </c>
      <c r="AL40" s="43" t="n">
        <f aca="false">IF(Matrice_OD!AK40&lt;=Param!$B$2,3_Huff!AK40*3_Huff!AK$139*1_Friction!AK40,0)</f>
        <v>0</v>
      </c>
      <c r="AM40" s="0" t="n">
        <f aca="false">IF(Matrice_OD!AL40&lt;=Param!$B$2,3_Huff!AL40*3_Huff!AL$139*1_Friction!AL40,0)</f>
        <v>0</v>
      </c>
      <c r="AN40" s="0" t="n">
        <f aca="false">IF(Matrice_OD!AM40&lt;=Param!$B$2,3_Huff!AM40*3_Huff!AM$139*1_Friction!AM40,0)</f>
        <v>9.22235119397116E-006</v>
      </c>
      <c r="AO40" s="0" t="n">
        <f aca="false">IF(Matrice_OD!AN40&lt;=Param!$B$2,3_Huff!AN40*3_Huff!AN$139*1_Friction!AN40,0)</f>
        <v>1.72620140294625E-005</v>
      </c>
      <c r="AP40" s="48" t="n">
        <f aca="false">SUM(D40:AO40)</f>
        <v>3.13773524957584E-005</v>
      </c>
      <c r="AQ40" s="43" t="n">
        <f aca="false">AP40*1000</f>
        <v>0.0313773524957584</v>
      </c>
      <c r="AR40" s="43" t="n">
        <f aca="false">RANK(AP40,AP$2:AP$136,0)</f>
        <v>106</v>
      </c>
      <c r="AS40" s="43" t="n">
        <f aca="false">COUNTIF(Matrice_OD!$C40:$AN40,"&lt;="&amp;Param!$B$2)</f>
        <v>4</v>
      </c>
    </row>
    <row r="41" customFormat="false" ht="15" hidden="false" customHeight="true" outlineLevel="0" collapsed="false">
      <c r="A41" s="0" t="s">
        <v>180</v>
      </c>
      <c r="B41" s="0" t="s">
        <v>181</v>
      </c>
      <c r="C41" s="0" t="n">
        <f aca="false">Demande!C41</f>
        <v>7354</v>
      </c>
      <c r="D41" s="43" t="n">
        <f aca="false">IF(Matrice_OD!C41&lt;=Param!$B$2,3_Huff!C41*3_Huff!C$139*1_Friction!C41,0)</f>
        <v>3.73005369065911E-006</v>
      </c>
      <c r="E41" s="43" t="n">
        <f aca="false">IF(Matrice_OD!D41&lt;=Param!$B$2,3_Huff!D41*3_Huff!D$139*1_Friction!D41,0)</f>
        <v>0</v>
      </c>
      <c r="F41" s="43" t="n">
        <f aca="false">IF(Matrice_OD!E41&lt;=Param!$B$2,3_Huff!E41*3_Huff!E$139*1_Friction!E41,0)</f>
        <v>0</v>
      </c>
      <c r="G41" s="43" t="n">
        <f aca="false">IF(Matrice_OD!F41&lt;=Param!$B$2,3_Huff!F41*3_Huff!F$139*1_Friction!F41,0)</f>
        <v>0</v>
      </c>
      <c r="H41" s="43" t="n">
        <f aca="false">IF(Matrice_OD!G41&lt;=Param!$B$2,3_Huff!G41*3_Huff!G$139*1_Friction!G41,0)</f>
        <v>0</v>
      </c>
      <c r="I41" s="43" t="n">
        <f aca="false">IF(Matrice_OD!H41&lt;=Param!$B$2,3_Huff!H41*3_Huff!H$139*1_Friction!H41,0)</f>
        <v>0</v>
      </c>
      <c r="J41" s="43" t="n">
        <f aca="false">IF(Matrice_OD!I41&lt;=Param!$B$2,3_Huff!I41*3_Huff!I$139*1_Friction!I41,0)</f>
        <v>0</v>
      </c>
      <c r="K41" s="43" t="n">
        <f aca="false">IF(Matrice_OD!J41&lt;=Param!$B$2,3_Huff!J41*3_Huff!J$139*1_Friction!J41,0)</f>
        <v>0</v>
      </c>
      <c r="L41" s="43" t="n">
        <f aca="false">IF(Matrice_OD!K41&lt;=Param!$B$2,3_Huff!K41*3_Huff!K$139*1_Friction!K41,0)</f>
        <v>0</v>
      </c>
      <c r="M41" s="43" t="n">
        <f aca="false">IF(Matrice_OD!L41&lt;=Param!$B$2,3_Huff!L41*3_Huff!L$139*1_Friction!L41,0)</f>
        <v>0</v>
      </c>
      <c r="N41" s="43" t="n">
        <f aca="false">IF(Matrice_OD!M41&lt;=Param!$B$2,3_Huff!M41*3_Huff!M$139*1_Friction!M41,0)</f>
        <v>0</v>
      </c>
      <c r="O41" s="43" t="n">
        <f aca="false">IF(Matrice_OD!N41&lt;=Param!$B$2,3_Huff!N41*3_Huff!N$139*1_Friction!N41,0)</f>
        <v>0</v>
      </c>
      <c r="P41" s="43" t="n">
        <f aca="false">IF(Matrice_OD!O41&lt;=Param!$B$2,3_Huff!O41*3_Huff!O$139*1_Friction!O41,0)</f>
        <v>0</v>
      </c>
      <c r="Q41" s="43" t="n">
        <f aca="false">IF(Matrice_OD!P41&lt;=Param!$B$2,3_Huff!P41*3_Huff!P$139*1_Friction!P41,0)</f>
        <v>0</v>
      </c>
      <c r="R41" s="43" t="n">
        <f aca="false">IF(Matrice_OD!Q41&lt;=Param!$B$2,3_Huff!Q41*3_Huff!Q$139*1_Friction!Q41,0)</f>
        <v>0</v>
      </c>
      <c r="S41" s="43" t="n">
        <f aca="false">IF(Matrice_OD!R41&lt;=Param!$B$2,3_Huff!R41*3_Huff!R$139*1_Friction!R41,0)</f>
        <v>0</v>
      </c>
      <c r="T41" s="43" t="n">
        <f aca="false">IF(Matrice_OD!S41&lt;=Param!$B$2,3_Huff!S41*3_Huff!S$139*1_Friction!S41,0)</f>
        <v>0</v>
      </c>
      <c r="U41" s="43" t="n">
        <f aca="false">IF(Matrice_OD!T41&lt;=Param!$B$2,3_Huff!T41*3_Huff!T$139*1_Friction!T41,0)</f>
        <v>0</v>
      </c>
      <c r="V41" s="43" t="n">
        <f aca="false">IF(Matrice_OD!U41&lt;=Param!$B$2,3_Huff!U41*3_Huff!U$139*1_Friction!U41,0)</f>
        <v>0</v>
      </c>
      <c r="W41" s="43" t="n">
        <f aca="false">IF(Matrice_OD!V41&lt;=Param!$B$2,3_Huff!V41*3_Huff!V$139*1_Friction!V41,0)</f>
        <v>0</v>
      </c>
      <c r="X41" s="43" t="n">
        <f aca="false">IF(Matrice_OD!W41&lt;=Param!$B$2,3_Huff!W41*3_Huff!W$139*1_Friction!W41,0)</f>
        <v>0</v>
      </c>
      <c r="Y41" s="43" t="n">
        <f aca="false">IF(Matrice_OD!X41&lt;=Param!$B$2,3_Huff!X41*3_Huff!X$139*1_Friction!X41,0)</f>
        <v>0</v>
      </c>
      <c r="Z41" s="43" t="n">
        <f aca="false">IF(Matrice_OD!Y41&lt;=Param!$B$2,3_Huff!Y41*3_Huff!Y$139*1_Friction!Y41,0)</f>
        <v>0</v>
      </c>
      <c r="AA41" s="43" t="n">
        <f aca="false">IF(Matrice_OD!Z41&lt;=Param!$B$2,3_Huff!Z41*3_Huff!Z$139*1_Friction!Z41,0)</f>
        <v>0</v>
      </c>
      <c r="AB41" s="43" t="n">
        <f aca="false">IF(Matrice_OD!AA41&lt;=Param!$B$2,3_Huff!AA41*3_Huff!AA$139*1_Friction!AA41,0)</f>
        <v>0</v>
      </c>
      <c r="AC41" s="43" t="n">
        <f aca="false">IF(Matrice_OD!AB41&lt;=Param!$B$2,3_Huff!AB41*3_Huff!AB$139*1_Friction!AB41,0)</f>
        <v>0</v>
      </c>
      <c r="AD41" s="43" t="n">
        <f aca="false">IF(Matrice_OD!AC41&lt;=Param!$B$2,3_Huff!AC41*3_Huff!AC$139*1_Friction!AC41,0)</f>
        <v>0</v>
      </c>
      <c r="AE41" s="43" t="n">
        <f aca="false">IF(Matrice_OD!AD41&lt;=Param!$B$2,3_Huff!AD41*3_Huff!AD$139*1_Friction!AD41,0)</f>
        <v>0</v>
      </c>
      <c r="AF41" s="43" t="n">
        <f aca="false">IF(Matrice_OD!AE41&lt;=Param!$B$2,3_Huff!AE41*3_Huff!AE$139*1_Friction!AE41,0)</f>
        <v>0</v>
      </c>
      <c r="AG41" s="43" t="n">
        <f aca="false">IF(Matrice_OD!AF41&lt;=Param!$B$2,3_Huff!AF41*3_Huff!AF$139*1_Friction!AF41,0)</f>
        <v>0</v>
      </c>
      <c r="AH41" s="43" t="n">
        <f aca="false">IF(Matrice_OD!AG41&lt;=Param!$B$2,3_Huff!AG41*3_Huff!AG$139*1_Friction!AG41,0)</f>
        <v>6.24915792495165E-007</v>
      </c>
      <c r="AI41" s="43" t="n">
        <f aca="false">IF(Matrice_OD!AH41&lt;=Param!$B$2,3_Huff!AH41*3_Huff!AH$139*1_Friction!AH41,0)</f>
        <v>0</v>
      </c>
      <c r="AJ41" s="43" t="n">
        <f aca="false">IF(Matrice_OD!AI41&lt;=Param!$B$2,3_Huff!AI41*3_Huff!AI$139*1_Friction!AI41,0)</f>
        <v>0</v>
      </c>
      <c r="AK41" s="43" t="n">
        <f aca="false">IF(Matrice_OD!AJ41&lt;=Param!$B$2,3_Huff!AJ41*3_Huff!AJ$139*1_Friction!AJ41,0)</f>
        <v>0</v>
      </c>
      <c r="AL41" s="43" t="n">
        <f aca="false">IF(Matrice_OD!AK41&lt;=Param!$B$2,3_Huff!AK41*3_Huff!AK$139*1_Friction!AK41,0)</f>
        <v>0</v>
      </c>
      <c r="AM41" s="0" t="n">
        <f aca="false">IF(Matrice_OD!AL41&lt;=Param!$B$2,3_Huff!AL41*3_Huff!AL$139*1_Friction!AL41,0)</f>
        <v>0</v>
      </c>
      <c r="AN41" s="0" t="n">
        <f aca="false">IF(Matrice_OD!AM41&lt;=Param!$B$2,3_Huff!AM41*3_Huff!AM$139*1_Friction!AM41,0)</f>
        <v>7.55570845023747E-006</v>
      </c>
      <c r="AO41" s="0" t="n">
        <f aca="false">IF(Matrice_OD!AN41&lt;=Param!$B$2,3_Huff!AN41*3_Huff!AN$139*1_Friction!AN41,0)</f>
        <v>8.59290113720689E-007</v>
      </c>
      <c r="AP41" s="49" t="n">
        <f aca="false">SUM(D41:AO41)</f>
        <v>1.27699680471124E-005</v>
      </c>
      <c r="AQ41" s="43" t="n">
        <f aca="false">AP41*1000</f>
        <v>0.0127699680471124</v>
      </c>
      <c r="AR41" s="43" t="n">
        <f aca="false">RANK(AP41,AP$2:AP$136,0)</f>
        <v>117</v>
      </c>
      <c r="AS41" s="43" t="n">
        <f aca="false">COUNTIF(Matrice_OD!$C41:$AN41,"&lt;="&amp;Param!$B$2)</f>
        <v>4</v>
      </c>
    </row>
    <row r="42" customFormat="false" ht="15" hidden="false" customHeight="true" outlineLevel="0" collapsed="false">
      <c r="A42" s="0" t="s">
        <v>182</v>
      </c>
      <c r="B42" s="0" t="s">
        <v>183</v>
      </c>
      <c r="C42" s="0" t="n">
        <f aca="false">Demande!C42</f>
        <v>12390</v>
      </c>
      <c r="D42" s="43" t="n">
        <f aca="false">IF(Matrice_OD!C42&lt;=Param!$B$2,3_Huff!C42*3_Huff!C$139*1_Friction!C42,0)</f>
        <v>2.40081955802042E-006</v>
      </c>
      <c r="E42" s="43" t="n">
        <f aca="false">IF(Matrice_OD!D42&lt;=Param!$B$2,3_Huff!D42*3_Huff!D$139*1_Friction!D42,0)</f>
        <v>0</v>
      </c>
      <c r="F42" s="43" t="n">
        <f aca="false">IF(Matrice_OD!E42&lt;=Param!$B$2,3_Huff!E42*3_Huff!E$139*1_Friction!E42,0)</f>
        <v>0</v>
      </c>
      <c r="G42" s="43" t="n">
        <f aca="false">IF(Matrice_OD!F42&lt;=Param!$B$2,3_Huff!F42*3_Huff!F$139*1_Friction!F42,0)</f>
        <v>0</v>
      </c>
      <c r="H42" s="43" t="n">
        <f aca="false">IF(Matrice_OD!G42&lt;=Param!$B$2,3_Huff!G42*3_Huff!G$139*1_Friction!G42,0)</f>
        <v>0</v>
      </c>
      <c r="I42" s="43" t="n">
        <f aca="false">IF(Matrice_OD!H42&lt;=Param!$B$2,3_Huff!H42*3_Huff!H$139*1_Friction!H42,0)</f>
        <v>0</v>
      </c>
      <c r="J42" s="43" t="n">
        <f aca="false">IF(Matrice_OD!I42&lt;=Param!$B$2,3_Huff!I42*3_Huff!I$139*1_Friction!I42,0)</f>
        <v>0</v>
      </c>
      <c r="K42" s="43" t="n">
        <f aca="false">IF(Matrice_OD!J42&lt;=Param!$B$2,3_Huff!J42*3_Huff!J$139*1_Friction!J42,0)</f>
        <v>0</v>
      </c>
      <c r="L42" s="43" t="n">
        <f aca="false">IF(Matrice_OD!K42&lt;=Param!$B$2,3_Huff!K42*3_Huff!K$139*1_Friction!K42,0)</f>
        <v>0</v>
      </c>
      <c r="M42" s="43" t="n">
        <f aca="false">IF(Matrice_OD!L42&lt;=Param!$B$2,3_Huff!L42*3_Huff!L$139*1_Friction!L42,0)</f>
        <v>0</v>
      </c>
      <c r="N42" s="43" t="n">
        <f aca="false">IF(Matrice_OD!M42&lt;=Param!$B$2,3_Huff!M42*3_Huff!M$139*1_Friction!M42,0)</f>
        <v>0</v>
      </c>
      <c r="O42" s="43" t="n">
        <f aca="false">IF(Matrice_OD!N42&lt;=Param!$B$2,3_Huff!N42*3_Huff!N$139*1_Friction!N42,0)</f>
        <v>0</v>
      </c>
      <c r="P42" s="43" t="n">
        <f aca="false">IF(Matrice_OD!O42&lt;=Param!$B$2,3_Huff!O42*3_Huff!O$139*1_Friction!O42,0)</f>
        <v>0</v>
      </c>
      <c r="Q42" s="43" t="n">
        <f aca="false">IF(Matrice_OD!P42&lt;=Param!$B$2,3_Huff!P42*3_Huff!P$139*1_Friction!P42,0)</f>
        <v>0</v>
      </c>
      <c r="R42" s="43" t="n">
        <f aca="false">IF(Matrice_OD!Q42&lt;=Param!$B$2,3_Huff!Q42*3_Huff!Q$139*1_Friction!Q42,0)</f>
        <v>0</v>
      </c>
      <c r="S42" s="43" t="n">
        <f aca="false">IF(Matrice_OD!R42&lt;=Param!$B$2,3_Huff!R42*3_Huff!R$139*1_Friction!R42,0)</f>
        <v>0</v>
      </c>
      <c r="T42" s="43" t="n">
        <f aca="false">IF(Matrice_OD!S42&lt;=Param!$B$2,3_Huff!S42*3_Huff!S$139*1_Friction!S42,0)</f>
        <v>0</v>
      </c>
      <c r="U42" s="43" t="n">
        <f aca="false">IF(Matrice_OD!T42&lt;=Param!$B$2,3_Huff!T42*3_Huff!T$139*1_Friction!T42,0)</f>
        <v>0</v>
      </c>
      <c r="V42" s="43" t="n">
        <f aca="false">IF(Matrice_OD!U42&lt;=Param!$B$2,3_Huff!U42*3_Huff!U$139*1_Friction!U42,0)</f>
        <v>0</v>
      </c>
      <c r="W42" s="43" t="n">
        <f aca="false">IF(Matrice_OD!V42&lt;=Param!$B$2,3_Huff!V42*3_Huff!V$139*1_Friction!V42,0)</f>
        <v>0</v>
      </c>
      <c r="X42" s="43" t="n">
        <f aca="false">IF(Matrice_OD!W42&lt;=Param!$B$2,3_Huff!W42*3_Huff!W$139*1_Friction!W42,0)</f>
        <v>0</v>
      </c>
      <c r="Y42" s="43" t="n">
        <f aca="false">IF(Matrice_OD!X42&lt;=Param!$B$2,3_Huff!X42*3_Huff!X$139*1_Friction!X42,0)</f>
        <v>0</v>
      </c>
      <c r="Z42" s="43" t="n">
        <f aca="false">IF(Matrice_OD!Y42&lt;=Param!$B$2,3_Huff!Y42*3_Huff!Y$139*1_Friction!Y42,0)</f>
        <v>0</v>
      </c>
      <c r="AA42" s="43" t="n">
        <f aca="false">IF(Matrice_OD!Z42&lt;=Param!$B$2,3_Huff!Z42*3_Huff!Z$139*1_Friction!Z42,0)</f>
        <v>0</v>
      </c>
      <c r="AB42" s="43" t="n">
        <f aca="false">IF(Matrice_OD!AA42&lt;=Param!$B$2,3_Huff!AA42*3_Huff!AA$139*1_Friction!AA42,0)</f>
        <v>0</v>
      </c>
      <c r="AC42" s="43" t="n">
        <f aca="false">IF(Matrice_OD!AB42&lt;=Param!$B$2,3_Huff!AB42*3_Huff!AB$139*1_Friction!AB42,0)</f>
        <v>0</v>
      </c>
      <c r="AD42" s="43" t="n">
        <f aca="false">IF(Matrice_OD!AC42&lt;=Param!$B$2,3_Huff!AC42*3_Huff!AC$139*1_Friction!AC42,0)</f>
        <v>0</v>
      </c>
      <c r="AE42" s="43" t="n">
        <f aca="false">IF(Matrice_OD!AD42&lt;=Param!$B$2,3_Huff!AD42*3_Huff!AD$139*1_Friction!AD42,0)</f>
        <v>0</v>
      </c>
      <c r="AF42" s="43" t="n">
        <f aca="false">IF(Matrice_OD!AE42&lt;=Param!$B$2,3_Huff!AE42*3_Huff!AE$139*1_Friction!AE42,0)</f>
        <v>0</v>
      </c>
      <c r="AG42" s="43" t="n">
        <f aca="false">IF(Matrice_OD!AF42&lt;=Param!$B$2,3_Huff!AF42*3_Huff!AF$139*1_Friction!AF42,0)</f>
        <v>0</v>
      </c>
      <c r="AH42" s="43" t="n">
        <f aca="false">IF(Matrice_OD!AG42&lt;=Param!$B$2,3_Huff!AG42*3_Huff!AG$139*1_Friction!AG42,0)</f>
        <v>1.06465367375001E-007</v>
      </c>
      <c r="AI42" s="43" t="n">
        <f aca="false">IF(Matrice_OD!AH42&lt;=Param!$B$2,3_Huff!AH42*3_Huff!AH$139*1_Friction!AH42,0)</f>
        <v>0</v>
      </c>
      <c r="AJ42" s="43" t="n">
        <f aca="false">IF(Matrice_OD!AI42&lt;=Param!$B$2,3_Huff!AI42*3_Huff!AI$139*1_Friction!AI42,0)</f>
        <v>0</v>
      </c>
      <c r="AK42" s="43" t="n">
        <f aca="false">IF(Matrice_OD!AJ42&lt;=Param!$B$2,3_Huff!AJ42*3_Huff!AJ$139*1_Friction!AJ42,0)</f>
        <v>0</v>
      </c>
      <c r="AL42" s="43" t="n">
        <f aca="false">IF(Matrice_OD!AK42&lt;=Param!$B$2,3_Huff!AK42*3_Huff!AK$139*1_Friction!AK42,0)</f>
        <v>0</v>
      </c>
      <c r="AM42" s="0" t="n">
        <f aca="false">IF(Matrice_OD!AL42&lt;=Param!$B$2,3_Huff!AL42*3_Huff!AL$139*1_Friction!AL42,0)</f>
        <v>0</v>
      </c>
      <c r="AN42" s="0" t="n">
        <f aca="false">IF(Matrice_OD!AM42&lt;=Param!$B$2,3_Huff!AM42*3_Huff!AM$139*1_Friction!AM42,0)</f>
        <v>4.82264624802409E-006</v>
      </c>
      <c r="AO42" s="0" t="n">
        <f aca="false">IF(Matrice_OD!AN42&lt;=Param!$B$2,3_Huff!AN42*3_Huff!AN$139*1_Friction!AN42,0)</f>
        <v>5.88869642412108E-006</v>
      </c>
      <c r="AP42" s="48" t="n">
        <f aca="false">SUM(D42:AO42)</f>
        <v>1.32186275975406E-005</v>
      </c>
      <c r="AQ42" s="43" t="n">
        <f aca="false">AP42*1000</f>
        <v>0.0132186275975406</v>
      </c>
      <c r="AR42" s="43" t="n">
        <f aca="false">RANK(AP42,AP$2:AP$136,0)</f>
        <v>116</v>
      </c>
      <c r="AS42" s="43" t="n">
        <f aca="false">COUNTIF(Matrice_OD!$C42:$AN42,"&lt;="&amp;Param!$B$2)</f>
        <v>4</v>
      </c>
    </row>
    <row r="43" customFormat="false" ht="15" hidden="false" customHeight="true" outlineLevel="0" collapsed="false">
      <c r="A43" s="0" t="s">
        <v>184</v>
      </c>
      <c r="B43" s="0" t="s">
        <v>185</v>
      </c>
      <c r="C43" s="0" t="n">
        <f aca="false">Demande!C43</f>
        <v>26410</v>
      </c>
      <c r="D43" s="43" t="n">
        <f aca="false">IF(Matrice_OD!C43&lt;=Param!$B$2,3_Huff!C43*3_Huff!C$139*1_Friction!C43,0)</f>
        <v>0</v>
      </c>
      <c r="E43" s="43" t="n">
        <f aca="false">IF(Matrice_OD!D43&lt;=Param!$B$2,3_Huff!D43*3_Huff!D$139*1_Friction!D43,0)</f>
        <v>0</v>
      </c>
      <c r="F43" s="43" t="n">
        <f aca="false">IF(Matrice_OD!E43&lt;=Param!$B$2,3_Huff!E43*3_Huff!E$139*1_Friction!E43,0)</f>
        <v>0</v>
      </c>
      <c r="G43" s="43" t="n">
        <f aca="false">IF(Matrice_OD!F43&lt;=Param!$B$2,3_Huff!F43*3_Huff!F$139*1_Friction!F43,0)</f>
        <v>0</v>
      </c>
      <c r="H43" s="43" t="n">
        <f aca="false">IF(Matrice_OD!G43&lt;=Param!$B$2,3_Huff!G43*3_Huff!G$139*1_Friction!G43,0)</f>
        <v>0</v>
      </c>
      <c r="I43" s="43" t="n">
        <f aca="false">IF(Matrice_OD!H43&lt;=Param!$B$2,3_Huff!H43*3_Huff!H$139*1_Friction!H43,0)</f>
        <v>0</v>
      </c>
      <c r="J43" s="43" t="n">
        <f aca="false">IF(Matrice_OD!I43&lt;=Param!$B$2,3_Huff!I43*3_Huff!I$139*1_Friction!I43,0)</f>
        <v>0</v>
      </c>
      <c r="K43" s="43" t="n">
        <f aca="false">IF(Matrice_OD!J43&lt;=Param!$B$2,3_Huff!J43*3_Huff!J$139*1_Friction!J43,0)</f>
        <v>0</v>
      </c>
      <c r="L43" s="43" t="n">
        <f aca="false">IF(Matrice_OD!K43&lt;=Param!$B$2,3_Huff!K43*3_Huff!K$139*1_Friction!K43,0)</f>
        <v>0</v>
      </c>
      <c r="M43" s="43" t="n">
        <f aca="false">IF(Matrice_OD!L43&lt;=Param!$B$2,3_Huff!L43*3_Huff!L$139*1_Friction!L43,0)</f>
        <v>0</v>
      </c>
      <c r="N43" s="43" t="n">
        <f aca="false">IF(Matrice_OD!M43&lt;=Param!$B$2,3_Huff!M43*3_Huff!M$139*1_Friction!M43,0)</f>
        <v>0</v>
      </c>
      <c r="O43" s="43" t="n">
        <f aca="false">IF(Matrice_OD!N43&lt;=Param!$B$2,3_Huff!N43*3_Huff!N$139*1_Friction!N43,0)</f>
        <v>0</v>
      </c>
      <c r="P43" s="43" t="n">
        <f aca="false">IF(Matrice_OD!O43&lt;=Param!$B$2,3_Huff!O43*3_Huff!O$139*1_Friction!O43,0)</f>
        <v>0</v>
      </c>
      <c r="Q43" s="43" t="n">
        <f aca="false">IF(Matrice_OD!P43&lt;=Param!$B$2,3_Huff!P43*3_Huff!P$139*1_Friction!P43,0)</f>
        <v>0</v>
      </c>
      <c r="R43" s="43" t="n">
        <f aca="false">IF(Matrice_OD!Q43&lt;=Param!$B$2,3_Huff!Q43*3_Huff!Q$139*1_Friction!Q43,0)</f>
        <v>0</v>
      </c>
      <c r="S43" s="43" t="n">
        <f aca="false">IF(Matrice_OD!R43&lt;=Param!$B$2,3_Huff!R43*3_Huff!R$139*1_Friction!R43,0)</f>
        <v>0</v>
      </c>
      <c r="T43" s="43" t="n">
        <f aca="false">IF(Matrice_OD!S43&lt;=Param!$B$2,3_Huff!S43*3_Huff!S$139*1_Friction!S43,0)</f>
        <v>0</v>
      </c>
      <c r="U43" s="43" t="n">
        <f aca="false">IF(Matrice_OD!T43&lt;=Param!$B$2,3_Huff!T43*3_Huff!T$139*1_Friction!T43,0)</f>
        <v>0</v>
      </c>
      <c r="V43" s="43" t="n">
        <f aca="false">IF(Matrice_OD!U43&lt;=Param!$B$2,3_Huff!U43*3_Huff!U$139*1_Friction!U43,0)</f>
        <v>0</v>
      </c>
      <c r="W43" s="43" t="n">
        <f aca="false">IF(Matrice_OD!V43&lt;=Param!$B$2,3_Huff!V43*3_Huff!V$139*1_Friction!V43,0)</f>
        <v>0</v>
      </c>
      <c r="X43" s="43" t="n">
        <f aca="false">IF(Matrice_OD!W43&lt;=Param!$B$2,3_Huff!W43*3_Huff!W$139*1_Friction!W43,0)</f>
        <v>0</v>
      </c>
      <c r="Y43" s="43" t="n">
        <f aca="false">IF(Matrice_OD!X43&lt;=Param!$B$2,3_Huff!X43*3_Huff!X$139*1_Friction!X43,0)</f>
        <v>0</v>
      </c>
      <c r="Z43" s="43" t="n">
        <f aca="false">IF(Matrice_OD!Y43&lt;=Param!$B$2,3_Huff!Y43*3_Huff!Y$139*1_Friction!Y43,0)</f>
        <v>0</v>
      </c>
      <c r="AA43" s="43" t="n">
        <f aca="false">IF(Matrice_OD!Z43&lt;=Param!$B$2,3_Huff!Z43*3_Huff!Z$139*1_Friction!Z43,0)</f>
        <v>0</v>
      </c>
      <c r="AB43" s="43" t="n">
        <f aca="false">IF(Matrice_OD!AA43&lt;=Param!$B$2,3_Huff!AA43*3_Huff!AA$139*1_Friction!AA43,0)</f>
        <v>0</v>
      </c>
      <c r="AC43" s="43" t="n">
        <f aca="false">IF(Matrice_OD!AB43&lt;=Param!$B$2,3_Huff!AB43*3_Huff!AB$139*1_Friction!AB43,0)</f>
        <v>0</v>
      </c>
      <c r="AD43" s="43" t="n">
        <f aca="false">IF(Matrice_OD!AC43&lt;=Param!$B$2,3_Huff!AC43*3_Huff!AC$139*1_Friction!AC43,0)</f>
        <v>0</v>
      </c>
      <c r="AE43" s="43" t="n">
        <f aca="false">IF(Matrice_OD!AD43&lt;=Param!$B$2,3_Huff!AD43*3_Huff!AD$139*1_Friction!AD43,0)</f>
        <v>0</v>
      </c>
      <c r="AF43" s="43" t="n">
        <f aca="false">IF(Matrice_OD!AE43&lt;=Param!$B$2,3_Huff!AE43*3_Huff!AE$139*1_Friction!AE43,0)</f>
        <v>0</v>
      </c>
      <c r="AG43" s="43" t="n">
        <f aca="false">IF(Matrice_OD!AF43&lt;=Param!$B$2,3_Huff!AF43*3_Huff!AF$139*1_Friction!AF43,0)</f>
        <v>0</v>
      </c>
      <c r="AH43" s="43" t="n">
        <f aca="false">IF(Matrice_OD!AG43&lt;=Param!$B$2,3_Huff!AG43*3_Huff!AG$139*1_Friction!AG43,0)</f>
        <v>7.12060668510495E-006</v>
      </c>
      <c r="AI43" s="43" t="n">
        <f aca="false">IF(Matrice_OD!AH43&lt;=Param!$B$2,3_Huff!AH43*3_Huff!AH$139*1_Friction!AH43,0)</f>
        <v>0</v>
      </c>
      <c r="AJ43" s="43" t="n">
        <f aca="false">IF(Matrice_OD!AI43&lt;=Param!$B$2,3_Huff!AI43*3_Huff!AI$139*1_Friction!AI43,0)</f>
        <v>0</v>
      </c>
      <c r="AK43" s="43" t="n">
        <f aca="false">IF(Matrice_OD!AJ43&lt;=Param!$B$2,3_Huff!AJ43*3_Huff!AJ$139*1_Friction!AJ43,0)</f>
        <v>0</v>
      </c>
      <c r="AL43" s="43" t="n">
        <f aca="false">IF(Matrice_OD!AK43&lt;=Param!$B$2,3_Huff!AK43*3_Huff!AK$139*1_Friction!AK43,0)</f>
        <v>0</v>
      </c>
      <c r="AM43" s="0" t="n">
        <f aca="false">IF(Matrice_OD!AL43&lt;=Param!$B$2,3_Huff!AL43*3_Huff!AL$139*1_Friction!AL43,0)</f>
        <v>0</v>
      </c>
      <c r="AN43" s="0" t="n">
        <f aca="false">IF(Matrice_OD!AM43&lt;=Param!$B$2,3_Huff!AM43*3_Huff!AM$139*1_Friction!AM43,0)</f>
        <v>0</v>
      </c>
      <c r="AO43" s="0" t="n">
        <f aca="false">IF(Matrice_OD!AN43&lt;=Param!$B$2,3_Huff!AN43*3_Huff!AN$139*1_Friction!AN43,0)</f>
        <v>7.83658090243256E-006</v>
      </c>
      <c r="AP43" s="49" t="n">
        <f aca="false">SUM(D43:AO43)</f>
        <v>1.49571875875375E-005</v>
      </c>
      <c r="AQ43" s="43" t="n">
        <f aca="false">AP43*1000</f>
        <v>0.0149571875875375</v>
      </c>
      <c r="AR43" s="43" t="n">
        <f aca="false">RANK(AP43,AP$2:AP$136,0)</f>
        <v>114</v>
      </c>
      <c r="AS43" s="43" t="n">
        <f aca="false">COUNTIF(Matrice_OD!$C43:$AN43,"&lt;="&amp;Param!$B$2)</f>
        <v>2</v>
      </c>
    </row>
    <row r="44" customFormat="false" ht="15" hidden="false" customHeight="true" outlineLevel="0" collapsed="false">
      <c r="A44" s="0" t="s">
        <v>186</v>
      </c>
      <c r="B44" s="0" t="s">
        <v>187</v>
      </c>
      <c r="C44" s="0" t="n">
        <f aca="false">Demande!C44</f>
        <v>18538</v>
      </c>
      <c r="D44" s="43" t="n">
        <f aca="false">IF(Matrice_OD!C44&lt;=Param!$B$2,3_Huff!C44*3_Huff!C$139*1_Friction!C44,0)</f>
        <v>0</v>
      </c>
      <c r="E44" s="43" t="n">
        <f aca="false">IF(Matrice_OD!D44&lt;=Param!$B$2,3_Huff!D44*3_Huff!D$139*1_Friction!D44,0)</f>
        <v>0</v>
      </c>
      <c r="F44" s="43" t="n">
        <f aca="false">IF(Matrice_OD!E44&lt;=Param!$B$2,3_Huff!E44*3_Huff!E$139*1_Friction!E44,0)</f>
        <v>0</v>
      </c>
      <c r="G44" s="43" t="n">
        <f aca="false">IF(Matrice_OD!F44&lt;=Param!$B$2,3_Huff!F44*3_Huff!F$139*1_Friction!F44,0)</f>
        <v>0</v>
      </c>
      <c r="H44" s="43" t="n">
        <f aca="false">IF(Matrice_OD!G44&lt;=Param!$B$2,3_Huff!G44*3_Huff!G$139*1_Friction!G44,0)</f>
        <v>0</v>
      </c>
      <c r="I44" s="43" t="n">
        <f aca="false">IF(Matrice_OD!H44&lt;=Param!$B$2,3_Huff!H44*3_Huff!H$139*1_Friction!H44,0)</f>
        <v>0</v>
      </c>
      <c r="J44" s="43" t="n">
        <f aca="false">IF(Matrice_OD!I44&lt;=Param!$B$2,3_Huff!I44*3_Huff!I$139*1_Friction!I44,0)</f>
        <v>0</v>
      </c>
      <c r="K44" s="43" t="n">
        <f aca="false">IF(Matrice_OD!J44&lt;=Param!$B$2,3_Huff!J44*3_Huff!J$139*1_Friction!J44,0)</f>
        <v>0</v>
      </c>
      <c r="L44" s="43" t="n">
        <f aca="false">IF(Matrice_OD!K44&lt;=Param!$B$2,3_Huff!K44*3_Huff!K$139*1_Friction!K44,0)</f>
        <v>0</v>
      </c>
      <c r="M44" s="43" t="n">
        <f aca="false">IF(Matrice_OD!L44&lt;=Param!$B$2,3_Huff!L44*3_Huff!L$139*1_Friction!L44,0)</f>
        <v>0</v>
      </c>
      <c r="N44" s="43" t="n">
        <f aca="false">IF(Matrice_OD!M44&lt;=Param!$B$2,3_Huff!M44*3_Huff!M$139*1_Friction!M44,0)</f>
        <v>0</v>
      </c>
      <c r="O44" s="43" t="n">
        <f aca="false">IF(Matrice_OD!N44&lt;=Param!$B$2,3_Huff!N44*3_Huff!N$139*1_Friction!N44,0)</f>
        <v>0</v>
      </c>
      <c r="P44" s="43" t="n">
        <f aca="false">IF(Matrice_OD!O44&lt;=Param!$B$2,3_Huff!O44*3_Huff!O$139*1_Friction!O44,0)</f>
        <v>0</v>
      </c>
      <c r="Q44" s="43" t="n">
        <f aca="false">IF(Matrice_OD!P44&lt;=Param!$B$2,3_Huff!P44*3_Huff!P$139*1_Friction!P44,0)</f>
        <v>0</v>
      </c>
      <c r="R44" s="43" t="n">
        <f aca="false">IF(Matrice_OD!Q44&lt;=Param!$B$2,3_Huff!Q44*3_Huff!Q$139*1_Friction!Q44,0)</f>
        <v>0</v>
      </c>
      <c r="S44" s="43" t="n">
        <f aca="false">IF(Matrice_OD!R44&lt;=Param!$B$2,3_Huff!R44*3_Huff!R$139*1_Friction!R44,0)</f>
        <v>0</v>
      </c>
      <c r="T44" s="43" t="n">
        <f aca="false">IF(Matrice_OD!S44&lt;=Param!$B$2,3_Huff!S44*3_Huff!S$139*1_Friction!S44,0)</f>
        <v>0</v>
      </c>
      <c r="U44" s="43" t="n">
        <f aca="false">IF(Matrice_OD!T44&lt;=Param!$B$2,3_Huff!T44*3_Huff!T$139*1_Friction!T44,0)</f>
        <v>0</v>
      </c>
      <c r="V44" s="43" t="n">
        <f aca="false">IF(Matrice_OD!U44&lt;=Param!$B$2,3_Huff!U44*3_Huff!U$139*1_Friction!U44,0)</f>
        <v>0</v>
      </c>
      <c r="W44" s="43" t="n">
        <f aca="false">IF(Matrice_OD!V44&lt;=Param!$B$2,3_Huff!V44*3_Huff!V$139*1_Friction!V44,0)</f>
        <v>0</v>
      </c>
      <c r="X44" s="43" t="n">
        <f aca="false">IF(Matrice_OD!W44&lt;=Param!$B$2,3_Huff!W44*3_Huff!W$139*1_Friction!W44,0)</f>
        <v>0</v>
      </c>
      <c r="Y44" s="43" t="n">
        <f aca="false">IF(Matrice_OD!X44&lt;=Param!$B$2,3_Huff!X44*3_Huff!X$139*1_Friction!X44,0)</f>
        <v>0</v>
      </c>
      <c r="Z44" s="43" t="n">
        <f aca="false">IF(Matrice_OD!Y44&lt;=Param!$B$2,3_Huff!Y44*3_Huff!Y$139*1_Friction!Y44,0)</f>
        <v>0</v>
      </c>
      <c r="AA44" s="43" t="n">
        <f aca="false">IF(Matrice_OD!Z44&lt;=Param!$B$2,3_Huff!Z44*3_Huff!Z$139*1_Friction!Z44,0)</f>
        <v>0</v>
      </c>
      <c r="AB44" s="43" t="n">
        <f aca="false">IF(Matrice_OD!AA44&lt;=Param!$B$2,3_Huff!AA44*3_Huff!AA$139*1_Friction!AA44,0)</f>
        <v>0</v>
      </c>
      <c r="AC44" s="43" t="n">
        <f aca="false">IF(Matrice_OD!AB44&lt;=Param!$B$2,3_Huff!AB44*3_Huff!AB$139*1_Friction!AB44,0)</f>
        <v>0</v>
      </c>
      <c r="AD44" s="43" t="n">
        <f aca="false">IF(Matrice_OD!AC44&lt;=Param!$B$2,3_Huff!AC44*3_Huff!AC$139*1_Friction!AC44,0)</f>
        <v>0</v>
      </c>
      <c r="AE44" s="43" t="n">
        <f aca="false">IF(Matrice_OD!AD44&lt;=Param!$B$2,3_Huff!AD44*3_Huff!AD$139*1_Friction!AD44,0)</f>
        <v>0</v>
      </c>
      <c r="AF44" s="43" t="n">
        <f aca="false">IF(Matrice_OD!AE44&lt;=Param!$B$2,3_Huff!AE44*3_Huff!AE$139*1_Friction!AE44,0)</f>
        <v>0</v>
      </c>
      <c r="AG44" s="43" t="n">
        <f aca="false">IF(Matrice_OD!AF44&lt;=Param!$B$2,3_Huff!AF44*3_Huff!AF$139*1_Friction!AF44,0)</f>
        <v>0</v>
      </c>
      <c r="AH44" s="43" t="n">
        <f aca="false">IF(Matrice_OD!AG44&lt;=Param!$B$2,3_Huff!AG44*3_Huff!AG$139*1_Friction!AG44,0)</f>
        <v>9.08995872276025E-007</v>
      </c>
      <c r="AI44" s="43" t="n">
        <f aca="false">IF(Matrice_OD!AH44&lt;=Param!$B$2,3_Huff!AH44*3_Huff!AH$139*1_Friction!AH44,0)</f>
        <v>0</v>
      </c>
      <c r="AJ44" s="43" t="n">
        <f aca="false">IF(Matrice_OD!AI44&lt;=Param!$B$2,3_Huff!AI44*3_Huff!AI$139*1_Friction!AI44,0)</f>
        <v>0</v>
      </c>
      <c r="AK44" s="43" t="n">
        <f aca="false">IF(Matrice_OD!AJ44&lt;=Param!$B$2,3_Huff!AJ44*3_Huff!AJ$139*1_Friction!AJ44,0)</f>
        <v>0</v>
      </c>
      <c r="AL44" s="43" t="n">
        <f aca="false">IF(Matrice_OD!AK44&lt;=Param!$B$2,3_Huff!AK44*3_Huff!AK$139*1_Friction!AK44,0)</f>
        <v>0</v>
      </c>
      <c r="AM44" s="0" t="n">
        <f aca="false">IF(Matrice_OD!AL44&lt;=Param!$B$2,3_Huff!AL44*3_Huff!AL$139*1_Friction!AL44,0)</f>
        <v>0</v>
      </c>
      <c r="AN44" s="0" t="n">
        <f aca="false">IF(Matrice_OD!AM44&lt;=Param!$B$2,3_Huff!AM44*3_Huff!AM$139*1_Friction!AM44,0)</f>
        <v>0</v>
      </c>
      <c r="AO44" s="0" t="n">
        <f aca="false">IF(Matrice_OD!AN44&lt;=Param!$B$2,3_Huff!AN44*3_Huff!AN$139*1_Friction!AN44,0)</f>
        <v>5.82690920493416E-005</v>
      </c>
      <c r="AP44" s="48" t="n">
        <f aca="false">SUM(D44:AO44)</f>
        <v>5.91780879216177E-005</v>
      </c>
      <c r="AQ44" s="43" t="n">
        <f aca="false">AP44*1000</f>
        <v>0.0591780879216177</v>
      </c>
      <c r="AR44" s="43" t="n">
        <f aca="false">RANK(AP44,AP$2:AP$136,0)</f>
        <v>88</v>
      </c>
      <c r="AS44" s="43" t="n">
        <f aca="false">COUNTIF(Matrice_OD!$C44:$AN44,"&lt;="&amp;Param!$B$2)</f>
        <v>2</v>
      </c>
    </row>
    <row r="45" customFormat="false" ht="15" hidden="false" customHeight="true" outlineLevel="0" collapsed="false">
      <c r="A45" s="0" t="s">
        <v>188</v>
      </c>
      <c r="B45" s="0" t="s">
        <v>189</v>
      </c>
      <c r="C45" s="0" t="n">
        <f aca="false">Demande!C45</f>
        <v>10906</v>
      </c>
      <c r="D45" s="43" t="n">
        <f aca="false">IF(Matrice_OD!C45&lt;=Param!$B$2,3_Huff!C45*3_Huff!C$139*1_Friction!C45,0)</f>
        <v>0</v>
      </c>
      <c r="E45" s="43" t="n">
        <f aca="false">IF(Matrice_OD!D45&lt;=Param!$B$2,3_Huff!D45*3_Huff!D$139*1_Friction!D45,0)</f>
        <v>0</v>
      </c>
      <c r="F45" s="43" t="n">
        <f aca="false">IF(Matrice_OD!E45&lt;=Param!$B$2,3_Huff!E45*3_Huff!E$139*1_Friction!E45,0)</f>
        <v>0</v>
      </c>
      <c r="G45" s="43" t="n">
        <f aca="false">IF(Matrice_OD!F45&lt;=Param!$B$2,3_Huff!F45*3_Huff!F$139*1_Friction!F45,0)</f>
        <v>0</v>
      </c>
      <c r="H45" s="43" t="n">
        <f aca="false">IF(Matrice_OD!G45&lt;=Param!$B$2,3_Huff!G45*3_Huff!G$139*1_Friction!G45,0)</f>
        <v>0</v>
      </c>
      <c r="I45" s="43" t="n">
        <f aca="false">IF(Matrice_OD!H45&lt;=Param!$B$2,3_Huff!H45*3_Huff!H$139*1_Friction!H45,0)</f>
        <v>0</v>
      </c>
      <c r="J45" s="43" t="n">
        <f aca="false">IF(Matrice_OD!I45&lt;=Param!$B$2,3_Huff!I45*3_Huff!I$139*1_Friction!I45,0)</f>
        <v>0</v>
      </c>
      <c r="K45" s="43" t="n">
        <f aca="false">IF(Matrice_OD!J45&lt;=Param!$B$2,3_Huff!J45*3_Huff!J$139*1_Friction!J45,0)</f>
        <v>0</v>
      </c>
      <c r="L45" s="43" t="n">
        <f aca="false">IF(Matrice_OD!K45&lt;=Param!$B$2,3_Huff!K45*3_Huff!K$139*1_Friction!K45,0)</f>
        <v>0</v>
      </c>
      <c r="M45" s="43" t="n">
        <f aca="false">IF(Matrice_OD!L45&lt;=Param!$B$2,3_Huff!L45*3_Huff!L$139*1_Friction!L45,0)</f>
        <v>0</v>
      </c>
      <c r="N45" s="43" t="n">
        <f aca="false">IF(Matrice_OD!M45&lt;=Param!$B$2,3_Huff!M45*3_Huff!M$139*1_Friction!M45,0)</f>
        <v>0</v>
      </c>
      <c r="O45" s="43" t="n">
        <f aca="false">IF(Matrice_OD!N45&lt;=Param!$B$2,3_Huff!N45*3_Huff!N$139*1_Friction!N45,0)</f>
        <v>0</v>
      </c>
      <c r="P45" s="43" t="n">
        <f aca="false">IF(Matrice_OD!O45&lt;=Param!$B$2,3_Huff!O45*3_Huff!O$139*1_Friction!O45,0)</f>
        <v>0</v>
      </c>
      <c r="Q45" s="43" t="n">
        <f aca="false">IF(Matrice_OD!P45&lt;=Param!$B$2,3_Huff!P45*3_Huff!P$139*1_Friction!P45,0)</f>
        <v>0</v>
      </c>
      <c r="R45" s="43" t="n">
        <f aca="false">IF(Matrice_OD!Q45&lt;=Param!$B$2,3_Huff!Q45*3_Huff!Q$139*1_Friction!Q45,0)</f>
        <v>0</v>
      </c>
      <c r="S45" s="43" t="n">
        <f aca="false">IF(Matrice_OD!R45&lt;=Param!$B$2,3_Huff!R45*3_Huff!R$139*1_Friction!R45,0)</f>
        <v>0</v>
      </c>
      <c r="T45" s="43" t="n">
        <f aca="false">IF(Matrice_OD!S45&lt;=Param!$B$2,3_Huff!S45*3_Huff!S$139*1_Friction!S45,0)</f>
        <v>0</v>
      </c>
      <c r="U45" s="43" t="n">
        <f aca="false">IF(Matrice_OD!T45&lt;=Param!$B$2,3_Huff!T45*3_Huff!T$139*1_Friction!T45,0)</f>
        <v>0</v>
      </c>
      <c r="V45" s="43" t="n">
        <f aca="false">IF(Matrice_OD!U45&lt;=Param!$B$2,3_Huff!U45*3_Huff!U$139*1_Friction!U45,0)</f>
        <v>0</v>
      </c>
      <c r="W45" s="43" t="n">
        <f aca="false">IF(Matrice_OD!V45&lt;=Param!$B$2,3_Huff!V45*3_Huff!V$139*1_Friction!V45,0)</f>
        <v>0</v>
      </c>
      <c r="X45" s="43" t="n">
        <f aca="false">IF(Matrice_OD!W45&lt;=Param!$B$2,3_Huff!W45*3_Huff!W$139*1_Friction!W45,0)</f>
        <v>0</v>
      </c>
      <c r="Y45" s="43" t="n">
        <f aca="false">IF(Matrice_OD!X45&lt;=Param!$B$2,3_Huff!X45*3_Huff!X$139*1_Friction!X45,0)</f>
        <v>0</v>
      </c>
      <c r="Z45" s="43" t="n">
        <f aca="false">IF(Matrice_OD!Y45&lt;=Param!$B$2,3_Huff!Y45*3_Huff!Y$139*1_Friction!Y45,0)</f>
        <v>0</v>
      </c>
      <c r="AA45" s="43" t="n">
        <f aca="false">IF(Matrice_OD!Z45&lt;=Param!$B$2,3_Huff!Z45*3_Huff!Z$139*1_Friction!Z45,0)</f>
        <v>0</v>
      </c>
      <c r="AB45" s="43" t="n">
        <f aca="false">IF(Matrice_OD!AA45&lt;=Param!$B$2,3_Huff!AA45*3_Huff!AA$139*1_Friction!AA45,0)</f>
        <v>0</v>
      </c>
      <c r="AC45" s="43" t="n">
        <f aca="false">IF(Matrice_OD!AB45&lt;=Param!$B$2,3_Huff!AB45*3_Huff!AB$139*1_Friction!AB45,0)</f>
        <v>0</v>
      </c>
      <c r="AD45" s="43" t="n">
        <f aca="false">IF(Matrice_OD!AC45&lt;=Param!$B$2,3_Huff!AC45*3_Huff!AC$139*1_Friction!AC45,0)</f>
        <v>0</v>
      </c>
      <c r="AE45" s="43" t="n">
        <f aca="false">IF(Matrice_OD!AD45&lt;=Param!$B$2,3_Huff!AD45*3_Huff!AD$139*1_Friction!AD45,0)</f>
        <v>0</v>
      </c>
      <c r="AF45" s="43" t="n">
        <f aca="false">IF(Matrice_OD!AE45&lt;=Param!$B$2,3_Huff!AE45*3_Huff!AE$139*1_Friction!AE45,0)</f>
        <v>0</v>
      </c>
      <c r="AG45" s="43" t="n">
        <f aca="false">IF(Matrice_OD!AF45&lt;=Param!$B$2,3_Huff!AF45*3_Huff!AF$139*1_Friction!AF45,0)</f>
        <v>0</v>
      </c>
      <c r="AH45" s="43" t="n">
        <f aca="false">IF(Matrice_OD!AG45&lt;=Param!$B$2,3_Huff!AG45*3_Huff!AG$139*1_Friction!AG45,0)</f>
        <v>0</v>
      </c>
      <c r="AI45" s="43" t="n">
        <f aca="false">IF(Matrice_OD!AH45&lt;=Param!$B$2,3_Huff!AH45*3_Huff!AH$139*1_Friction!AH45,0)</f>
        <v>0</v>
      </c>
      <c r="AJ45" s="43" t="n">
        <f aca="false">IF(Matrice_OD!AI45&lt;=Param!$B$2,3_Huff!AI45*3_Huff!AI$139*1_Friction!AI45,0)</f>
        <v>0</v>
      </c>
      <c r="AK45" s="43" t="n">
        <f aca="false">IF(Matrice_OD!AJ45&lt;=Param!$B$2,3_Huff!AJ45*3_Huff!AJ$139*1_Friction!AJ45,0)</f>
        <v>0</v>
      </c>
      <c r="AL45" s="43" t="n">
        <f aca="false">IF(Matrice_OD!AK45&lt;=Param!$B$2,3_Huff!AK45*3_Huff!AK$139*1_Friction!AK45,0)</f>
        <v>0</v>
      </c>
      <c r="AM45" s="0" t="n">
        <f aca="false">IF(Matrice_OD!AL45&lt;=Param!$B$2,3_Huff!AL45*3_Huff!AL$139*1_Friction!AL45,0)</f>
        <v>0</v>
      </c>
      <c r="AN45" s="0" t="n">
        <f aca="false">IF(Matrice_OD!AM45&lt;=Param!$B$2,3_Huff!AM45*3_Huff!AM$139*1_Friction!AM45,0)</f>
        <v>0</v>
      </c>
      <c r="AO45" s="0" t="n">
        <f aca="false">IF(Matrice_OD!AN45&lt;=Param!$B$2,3_Huff!AN45*3_Huff!AN$139*1_Friction!AN45,0)</f>
        <v>0.000118401434486562</v>
      </c>
      <c r="AP45" s="49" t="n">
        <f aca="false">SUM(D45:AO45)</f>
        <v>0.000118401434486562</v>
      </c>
      <c r="AQ45" s="43" t="n">
        <f aca="false">AP45*1000</f>
        <v>0.118401434486562</v>
      </c>
      <c r="AR45" s="43" t="n">
        <f aca="false">RANK(AP45,AP$2:AP$136,0)</f>
        <v>65</v>
      </c>
      <c r="AS45" s="43" t="n">
        <f aca="false">COUNTIF(Matrice_OD!$C45:$AN45,"&lt;="&amp;Param!$B$2)</f>
        <v>1</v>
      </c>
    </row>
    <row r="46" customFormat="false" ht="15" hidden="false" customHeight="true" outlineLevel="0" collapsed="false">
      <c r="A46" s="0" t="s">
        <v>190</v>
      </c>
      <c r="B46" s="0" t="s">
        <v>191</v>
      </c>
      <c r="C46" s="0" t="n">
        <f aca="false">Demande!C46</f>
        <v>11175</v>
      </c>
      <c r="D46" s="43" t="n">
        <f aca="false">IF(Matrice_OD!C46&lt;=Param!$B$2,3_Huff!C46*3_Huff!C$139*1_Friction!C46,0)</f>
        <v>0</v>
      </c>
      <c r="E46" s="43" t="n">
        <f aca="false">IF(Matrice_OD!D46&lt;=Param!$B$2,3_Huff!D46*3_Huff!D$139*1_Friction!D46,0)</f>
        <v>0</v>
      </c>
      <c r="F46" s="43" t="n">
        <f aca="false">IF(Matrice_OD!E46&lt;=Param!$B$2,3_Huff!E46*3_Huff!E$139*1_Friction!E46,0)</f>
        <v>0</v>
      </c>
      <c r="G46" s="43" t="n">
        <f aca="false">IF(Matrice_OD!F46&lt;=Param!$B$2,3_Huff!F46*3_Huff!F$139*1_Friction!F46,0)</f>
        <v>0</v>
      </c>
      <c r="H46" s="43" t="n">
        <f aca="false">IF(Matrice_OD!G46&lt;=Param!$B$2,3_Huff!G46*3_Huff!G$139*1_Friction!G46,0)</f>
        <v>0</v>
      </c>
      <c r="I46" s="43" t="n">
        <f aca="false">IF(Matrice_OD!H46&lt;=Param!$B$2,3_Huff!H46*3_Huff!H$139*1_Friction!H46,0)</f>
        <v>0</v>
      </c>
      <c r="J46" s="43" t="n">
        <f aca="false">IF(Matrice_OD!I46&lt;=Param!$B$2,3_Huff!I46*3_Huff!I$139*1_Friction!I46,0)</f>
        <v>0</v>
      </c>
      <c r="K46" s="43" t="n">
        <f aca="false">IF(Matrice_OD!J46&lt;=Param!$B$2,3_Huff!J46*3_Huff!J$139*1_Friction!J46,0)</f>
        <v>0</v>
      </c>
      <c r="L46" s="43" t="n">
        <f aca="false">IF(Matrice_OD!K46&lt;=Param!$B$2,3_Huff!K46*3_Huff!K$139*1_Friction!K46,0)</f>
        <v>0</v>
      </c>
      <c r="M46" s="43" t="n">
        <f aca="false">IF(Matrice_OD!L46&lt;=Param!$B$2,3_Huff!L46*3_Huff!L$139*1_Friction!L46,0)</f>
        <v>0</v>
      </c>
      <c r="N46" s="43" t="n">
        <f aca="false">IF(Matrice_OD!M46&lt;=Param!$B$2,3_Huff!M46*3_Huff!M$139*1_Friction!M46,0)</f>
        <v>0</v>
      </c>
      <c r="O46" s="43" t="n">
        <f aca="false">IF(Matrice_OD!N46&lt;=Param!$B$2,3_Huff!N46*3_Huff!N$139*1_Friction!N46,0)</f>
        <v>0</v>
      </c>
      <c r="P46" s="43" t="n">
        <f aca="false">IF(Matrice_OD!O46&lt;=Param!$B$2,3_Huff!O46*3_Huff!O$139*1_Friction!O46,0)</f>
        <v>0</v>
      </c>
      <c r="Q46" s="43" t="n">
        <f aca="false">IF(Matrice_OD!P46&lt;=Param!$B$2,3_Huff!P46*3_Huff!P$139*1_Friction!P46,0)</f>
        <v>0</v>
      </c>
      <c r="R46" s="43" t="n">
        <f aca="false">IF(Matrice_OD!Q46&lt;=Param!$B$2,3_Huff!Q46*3_Huff!Q$139*1_Friction!Q46,0)</f>
        <v>0</v>
      </c>
      <c r="S46" s="43" t="n">
        <f aca="false">IF(Matrice_OD!R46&lt;=Param!$B$2,3_Huff!R46*3_Huff!R$139*1_Friction!R46,0)</f>
        <v>0</v>
      </c>
      <c r="T46" s="43" t="n">
        <f aca="false">IF(Matrice_OD!S46&lt;=Param!$B$2,3_Huff!S46*3_Huff!S$139*1_Friction!S46,0)</f>
        <v>0</v>
      </c>
      <c r="U46" s="43" t="n">
        <f aca="false">IF(Matrice_OD!T46&lt;=Param!$B$2,3_Huff!T46*3_Huff!T$139*1_Friction!T46,0)</f>
        <v>0</v>
      </c>
      <c r="V46" s="43" t="n">
        <f aca="false">IF(Matrice_OD!U46&lt;=Param!$B$2,3_Huff!U46*3_Huff!U$139*1_Friction!U46,0)</f>
        <v>0</v>
      </c>
      <c r="W46" s="43" t="n">
        <f aca="false">IF(Matrice_OD!V46&lt;=Param!$B$2,3_Huff!V46*3_Huff!V$139*1_Friction!V46,0)</f>
        <v>0</v>
      </c>
      <c r="X46" s="43" t="n">
        <f aca="false">IF(Matrice_OD!W46&lt;=Param!$B$2,3_Huff!W46*3_Huff!W$139*1_Friction!W46,0)</f>
        <v>0</v>
      </c>
      <c r="Y46" s="43" t="n">
        <f aca="false">IF(Matrice_OD!X46&lt;=Param!$B$2,3_Huff!X46*3_Huff!X$139*1_Friction!X46,0)</f>
        <v>0</v>
      </c>
      <c r="Z46" s="43" t="n">
        <f aca="false">IF(Matrice_OD!Y46&lt;=Param!$B$2,3_Huff!Y46*3_Huff!Y$139*1_Friction!Y46,0)</f>
        <v>0</v>
      </c>
      <c r="AA46" s="43" t="n">
        <f aca="false">IF(Matrice_OD!Z46&lt;=Param!$B$2,3_Huff!Z46*3_Huff!Z$139*1_Friction!Z46,0)</f>
        <v>0</v>
      </c>
      <c r="AB46" s="43" t="n">
        <f aca="false">IF(Matrice_OD!AA46&lt;=Param!$B$2,3_Huff!AA46*3_Huff!AA$139*1_Friction!AA46,0)</f>
        <v>0</v>
      </c>
      <c r="AC46" s="43" t="n">
        <f aca="false">IF(Matrice_OD!AB46&lt;=Param!$B$2,3_Huff!AB46*3_Huff!AB$139*1_Friction!AB46,0)</f>
        <v>0</v>
      </c>
      <c r="AD46" s="43" t="n">
        <f aca="false">IF(Matrice_OD!AC46&lt;=Param!$B$2,3_Huff!AC46*3_Huff!AC$139*1_Friction!AC46,0)</f>
        <v>0</v>
      </c>
      <c r="AE46" s="43" t="n">
        <f aca="false">IF(Matrice_OD!AD46&lt;=Param!$B$2,3_Huff!AD46*3_Huff!AD$139*1_Friction!AD46,0)</f>
        <v>0</v>
      </c>
      <c r="AF46" s="43" t="n">
        <f aca="false">IF(Matrice_OD!AE46&lt;=Param!$B$2,3_Huff!AE46*3_Huff!AE$139*1_Friction!AE46,0)</f>
        <v>0</v>
      </c>
      <c r="AG46" s="43" t="n">
        <f aca="false">IF(Matrice_OD!AF46&lt;=Param!$B$2,3_Huff!AF46*3_Huff!AF$139*1_Friction!AF46,0)</f>
        <v>0</v>
      </c>
      <c r="AH46" s="43" t="n">
        <f aca="false">IF(Matrice_OD!AG46&lt;=Param!$B$2,3_Huff!AG46*3_Huff!AG$139*1_Friction!AG46,0)</f>
        <v>1.30110723108911E-007</v>
      </c>
      <c r="AI46" s="43" t="n">
        <f aca="false">IF(Matrice_OD!AH46&lt;=Param!$B$2,3_Huff!AH46*3_Huff!AH$139*1_Friction!AH46,0)</f>
        <v>0</v>
      </c>
      <c r="AJ46" s="43" t="n">
        <f aca="false">IF(Matrice_OD!AI46&lt;=Param!$B$2,3_Huff!AI46*3_Huff!AI$139*1_Friction!AI46,0)</f>
        <v>0</v>
      </c>
      <c r="AK46" s="43" t="n">
        <f aca="false">IF(Matrice_OD!AJ46&lt;=Param!$B$2,3_Huff!AJ46*3_Huff!AJ$139*1_Friction!AJ46,0)</f>
        <v>0</v>
      </c>
      <c r="AL46" s="43" t="n">
        <f aca="false">IF(Matrice_OD!AK46&lt;=Param!$B$2,3_Huff!AK46*3_Huff!AK$139*1_Friction!AK46,0)</f>
        <v>0</v>
      </c>
      <c r="AM46" s="0" t="n">
        <f aca="false">IF(Matrice_OD!AL46&lt;=Param!$B$2,3_Huff!AL46*3_Huff!AL$139*1_Friction!AL46,0)</f>
        <v>0</v>
      </c>
      <c r="AN46" s="0" t="n">
        <f aca="false">IF(Matrice_OD!AM46&lt;=Param!$B$2,3_Huff!AM46*3_Huff!AM$139*1_Friction!AM46,0)</f>
        <v>0</v>
      </c>
      <c r="AO46" s="0" t="n">
        <f aca="false">IF(Matrice_OD!AN46&lt;=Param!$B$2,3_Huff!AN46*3_Huff!AN$139*1_Friction!AN46,0)</f>
        <v>0.000156211884754008</v>
      </c>
      <c r="AP46" s="48" t="n">
        <f aca="false">SUM(D46:AO46)</f>
        <v>0.000156341995477117</v>
      </c>
      <c r="AQ46" s="43" t="n">
        <f aca="false">AP46*1000</f>
        <v>0.156341995477117</v>
      </c>
      <c r="AR46" s="43" t="n">
        <f aca="false">RANK(AP46,AP$2:AP$136,0)</f>
        <v>57</v>
      </c>
      <c r="AS46" s="43" t="n">
        <f aca="false">COUNTIF(Matrice_OD!$C46:$AN46,"&lt;="&amp;Param!$B$2)</f>
        <v>2</v>
      </c>
    </row>
    <row r="47" customFormat="false" ht="15" hidden="false" customHeight="true" outlineLevel="0" collapsed="false">
      <c r="A47" s="0" t="s">
        <v>192</v>
      </c>
      <c r="B47" s="0" t="s">
        <v>193</v>
      </c>
      <c r="C47" s="0" t="n">
        <f aca="false">Demande!C47</f>
        <v>16229</v>
      </c>
      <c r="D47" s="43" t="n">
        <f aca="false">IF(Matrice_OD!C47&lt;=Param!$B$2,3_Huff!C47*3_Huff!C$139*1_Friction!C47,0)</f>
        <v>0</v>
      </c>
      <c r="E47" s="43" t="n">
        <f aca="false">IF(Matrice_OD!D47&lt;=Param!$B$2,3_Huff!D47*3_Huff!D$139*1_Friction!D47,0)</f>
        <v>0</v>
      </c>
      <c r="F47" s="43" t="n">
        <f aca="false">IF(Matrice_OD!E47&lt;=Param!$B$2,3_Huff!E47*3_Huff!E$139*1_Friction!E47,0)</f>
        <v>0</v>
      </c>
      <c r="G47" s="43" t="n">
        <f aca="false">IF(Matrice_OD!F47&lt;=Param!$B$2,3_Huff!F47*3_Huff!F$139*1_Friction!F47,0)</f>
        <v>0</v>
      </c>
      <c r="H47" s="43" t="n">
        <f aca="false">IF(Matrice_OD!G47&lt;=Param!$B$2,3_Huff!G47*3_Huff!G$139*1_Friction!G47,0)</f>
        <v>0</v>
      </c>
      <c r="I47" s="43" t="n">
        <f aca="false">IF(Matrice_OD!H47&lt;=Param!$B$2,3_Huff!H47*3_Huff!H$139*1_Friction!H47,0)</f>
        <v>0</v>
      </c>
      <c r="J47" s="43" t="n">
        <f aca="false">IF(Matrice_OD!I47&lt;=Param!$B$2,3_Huff!I47*3_Huff!I$139*1_Friction!I47,0)</f>
        <v>0</v>
      </c>
      <c r="K47" s="43" t="n">
        <f aca="false">IF(Matrice_OD!J47&lt;=Param!$B$2,3_Huff!J47*3_Huff!J$139*1_Friction!J47,0)</f>
        <v>0</v>
      </c>
      <c r="L47" s="43" t="n">
        <f aca="false">IF(Matrice_OD!K47&lt;=Param!$B$2,3_Huff!K47*3_Huff!K$139*1_Friction!K47,0)</f>
        <v>0</v>
      </c>
      <c r="M47" s="43" t="n">
        <f aca="false">IF(Matrice_OD!L47&lt;=Param!$B$2,3_Huff!L47*3_Huff!L$139*1_Friction!L47,0)</f>
        <v>0</v>
      </c>
      <c r="N47" s="43" t="n">
        <f aca="false">IF(Matrice_OD!M47&lt;=Param!$B$2,3_Huff!M47*3_Huff!M$139*1_Friction!M47,0)</f>
        <v>0</v>
      </c>
      <c r="O47" s="43" t="n">
        <f aca="false">IF(Matrice_OD!N47&lt;=Param!$B$2,3_Huff!N47*3_Huff!N$139*1_Friction!N47,0)</f>
        <v>0</v>
      </c>
      <c r="P47" s="43" t="n">
        <f aca="false">IF(Matrice_OD!O47&lt;=Param!$B$2,3_Huff!O47*3_Huff!O$139*1_Friction!O47,0)</f>
        <v>0</v>
      </c>
      <c r="Q47" s="43" t="n">
        <f aca="false">IF(Matrice_OD!P47&lt;=Param!$B$2,3_Huff!P47*3_Huff!P$139*1_Friction!P47,0)</f>
        <v>0</v>
      </c>
      <c r="R47" s="43" t="n">
        <f aca="false">IF(Matrice_OD!Q47&lt;=Param!$B$2,3_Huff!Q47*3_Huff!Q$139*1_Friction!Q47,0)</f>
        <v>0</v>
      </c>
      <c r="S47" s="43" t="n">
        <f aca="false">IF(Matrice_OD!R47&lt;=Param!$B$2,3_Huff!R47*3_Huff!R$139*1_Friction!R47,0)</f>
        <v>0</v>
      </c>
      <c r="T47" s="43" t="n">
        <f aca="false">IF(Matrice_OD!S47&lt;=Param!$B$2,3_Huff!S47*3_Huff!S$139*1_Friction!S47,0)</f>
        <v>0</v>
      </c>
      <c r="U47" s="43" t="n">
        <f aca="false">IF(Matrice_OD!T47&lt;=Param!$B$2,3_Huff!T47*3_Huff!T$139*1_Friction!T47,0)</f>
        <v>0</v>
      </c>
      <c r="V47" s="43" t="n">
        <f aca="false">IF(Matrice_OD!U47&lt;=Param!$B$2,3_Huff!U47*3_Huff!U$139*1_Friction!U47,0)</f>
        <v>0</v>
      </c>
      <c r="W47" s="43" t="n">
        <f aca="false">IF(Matrice_OD!V47&lt;=Param!$B$2,3_Huff!V47*3_Huff!V$139*1_Friction!V47,0)</f>
        <v>0</v>
      </c>
      <c r="X47" s="43" t="n">
        <f aca="false">IF(Matrice_OD!W47&lt;=Param!$B$2,3_Huff!W47*3_Huff!W$139*1_Friction!W47,0)</f>
        <v>0</v>
      </c>
      <c r="Y47" s="43" t="n">
        <f aca="false">IF(Matrice_OD!X47&lt;=Param!$B$2,3_Huff!X47*3_Huff!X$139*1_Friction!X47,0)</f>
        <v>0</v>
      </c>
      <c r="Z47" s="43" t="n">
        <f aca="false">IF(Matrice_OD!Y47&lt;=Param!$B$2,3_Huff!Y47*3_Huff!Y$139*1_Friction!Y47,0)</f>
        <v>0</v>
      </c>
      <c r="AA47" s="43" t="n">
        <f aca="false">IF(Matrice_OD!Z47&lt;=Param!$B$2,3_Huff!Z47*3_Huff!Z$139*1_Friction!Z47,0)</f>
        <v>0</v>
      </c>
      <c r="AB47" s="43" t="n">
        <f aca="false">IF(Matrice_OD!AA47&lt;=Param!$B$2,3_Huff!AA47*3_Huff!AA$139*1_Friction!AA47,0)</f>
        <v>0</v>
      </c>
      <c r="AC47" s="43" t="n">
        <f aca="false">IF(Matrice_OD!AB47&lt;=Param!$B$2,3_Huff!AB47*3_Huff!AB$139*1_Friction!AB47,0)</f>
        <v>0</v>
      </c>
      <c r="AD47" s="43" t="n">
        <f aca="false">IF(Matrice_OD!AC47&lt;=Param!$B$2,3_Huff!AC47*3_Huff!AC$139*1_Friction!AC47,0)</f>
        <v>0</v>
      </c>
      <c r="AE47" s="43" t="n">
        <f aca="false">IF(Matrice_OD!AD47&lt;=Param!$B$2,3_Huff!AD47*3_Huff!AD$139*1_Friction!AD47,0)</f>
        <v>0</v>
      </c>
      <c r="AF47" s="43" t="n">
        <f aca="false">IF(Matrice_OD!AE47&lt;=Param!$B$2,3_Huff!AE47*3_Huff!AE$139*1_Friction!AE47,0)</f>
        <v>0</v>
      </c>
      <c r="AG47" s="43" t="n">
        <f aca="false">IF(Matrice_OD!AF47&lt;=Param!$B$2,3_Huff!AF47*3_Huff!AF$139*1_Friction!AF47,0)</f>
        <v>0</v>
      </c>
      <c r="AH47" s="43" t="n">
        <f aca="false">IF(Matrice_OD!AG47&lt;=Param!$B$2,3_Huff!AG47*3_Huff!AG$139*1_Friction!AG47,0)</f>
        <v>0</v>
      </c>
      <c r="AI47" s="43" t="n">
        <f aca="false">IF(Matrice_OD!AH47&lt;=Param!$B$2,3_Huff!AH47*3_Huff!AH$139*1_Friction!AH47,0)</f>
        <v>0</v>
      </c>
      <c r="AJ47" s="43" t="n">
        <f aca="false">IF(Matrice_OD!AI47&lt;=Param!$B$2,3_Huff!AI47*3_Huff!AI$139*1_Friction!AI47,0)</f>
        <v>0</v>
      </c>
      <c r="AK47" s="43" t="n">
        <f aca="false">IF(Matrice_OD!AJ47&lt;=Param!$B$2,3_Huff!AJ47*3_Huff!AJ$139*1_Friction!AJ47,0)</f>
        <v>0</v>
      </c>
      <c r="AL47" s="43" t="n">
        <f aca="false">IF(Matrice_OD!AK47&lt;=Param!$B$2,3_Huff!AK47*3_Huff!AK$139*1_Friction!AK47,0)</f>
        <v>0</v>
      </c>
      <c r="AM47" s="0" t="n">
        <f aca="false">IF(Matrice_OD!AL47&lt;=Param!$B$2,3_Huff!AL47*3_Huff!AL$139*1_Friction!AL47,0)</f>
        <v>0</v>
      </c>
      <c r="AN47" s="0" t="n">
        <f aca="false">IF(Matrice_OD!AM47&lt;=Param!$B$2,3_Huff!AM47*3_Huff!AM$139*1_Friction!AM47,0)</f>
        <v>0</v>
      </c>
      <c r="AO47" s="0" t="n">
        <f aca="false">IF(Matrice_OD!AN47&lt;=Param!$B$2,3_Huff!AN47*3_Huff!AN$139*1_Friction!AN47,0)</f>
        <v>7.86305895674958E-005</v>
      </c>
      <c r="AP47" s="49" t="n">
        <f aca="false">SUM(D47:AO47)</f>
        <v>7.86305895674958E-005</v>
      </c>
      <c r="AQ47" s="43" t="n">
        <f aca="false">AP47*1000</f>
        <v>0.0786305895674958</v>
      </c>
      <c r="AR47" s="43" t="n">
        <f aca="false">RANK(AP47,AP$2:AP$136,0)</f>
        <v>81</v>
      </c>
      <c r="AS47" s="43" t="n">
        <f aca="false">COUNTIF(Matrice_OD!$C47:$AN47,"&lt;="&amp;Param!$B$2)</f>
        <v>1</v>
      </c>
    </row>
    <row r="48" customFormat="false" ht="15" hidden="false" customHeight="true" outlineLevel="0" collapsed="false">
      <c r="A48" s="0" t="s">
        <v>194</v>
      </c>
      <c r="B48" s="0" t="s">
        <v>195</v>
      </c>
      <c r="C48" s="0" t="n">
        <f aca="false">Demande!C48</f>
        <v>7840</v>
      </c>
      <c r="D48" s="43" t="n">
        <f aca="false">IF(Matrice_OD!C48&lt;=Param!$B$2,3_Huff!C48*3_Huff!C$139*1_Friction!C48,0)</f>
        <v>0</v>
      </c>
      <c r="E48" s="43" t="n">
        <f aca="false">IF(Matrice_OD!D48&lt;=Param!$B$2,3_Huff!D48*3_Huff!D$139*1_Friction!D48,0)</f>
        <v>0</v>
      </c>
      <c r="F48" s="43" t="n">
        <f aca="false">IF(Matrice_OD!E48&lt;=Param!$B$2,3_Huff!E48*3_Huff!E$139*1_Friction!E48,0)</f>
        <v>0</v>
      </c>
      <c r="G48" s="43" t="n">
        <f aca="false">IF(Matrice_OD!F48&lt;=Param!$B$2,3_Huff!F48*3_Huff!F$139*1_Friction!F48,0)</f>
        <v>0</v>
      </c>
      <c r="H48" s="43" t="n">
        <f aca="false">IF(Matrice_OD!G48&lt;=Param!$B$2,3_Huff!G48*3_Huff!G$139*1_Friction!G48,0)</f>
        <v>0</v>
      </c>
      <c r="I48" s="43" t="n">
        <f aca="false">IF(Matrice_OD!H48&lt;=Param!$B$2,3_Huff!H48*3_Huff!H$139*1_Friction!H48,0)</f>
        <v>0</v>
      </c>
      <c r="J48" s="43" t="n">
        <f aca="false">IF(Matrice_OD!I48&lt;=Param!$B$2,3_Huff!I48*3_Huff!I$139*1_Friction!I48,0)</f>
        <v>0</v>
      </c>
      <c r="K48" s="43" t="n">
        <f aca="false">IF(Matrice_OD!J48&lt;=Param!$B$2,3_Huff!J48*3_Huff!J$139*1_Friction!J48,0)</f>
        <v>0</v>
      </c>
      <c r="L48" s="43" t="n">
        <f aca="false">IF(Matrice_OD!K48&lt;=Param!$B$2,3_Huff!K48*3_Huff!K$139*1_Friction!K48,0)</f>
        <v>0</v>
      </c>
      <c r="M48" s="43" t="n">
        <f aca="false">IF(Matrice_OD!L48&lt;=Param!$B$2,3_Huff!L48*3_Huff!L$139*1_Friction!L48,0)</f>
        <v>0</v>
      </c>
      <c r="N48" s="43" t="n">
        <f aca="false">IF(Matrice_OD!M48&lt;=Param!$B$2,3_Huff!M48*3_Huff!M$139*1_Friction!M48,0)</f>
        <v>0</v>
      </c>
      <c r="O48" s="43" t="n">
        <f aca="false">IF(Matrice_OD!N48&lt;=Param!$B$2,3_Huff!N48*3_Huff!N$139*1_Friction!N48,0)</f>
        <v>0</v>
      </c>
      <c r="P48" s="43" t="n">
        <f aca="false">IF(Matrice_OD!O48&lt;=Param!$B$2,3_Huff!O48*3_Huff!O$139*1_Friction!O48,0)</f>
        <v>0</v>
      </c>
      <c r="Q48" s="43" t="n">
        <f aca="false">IF(Matrice_OD!P48&lt;=Param!$B$2,3_Huff!P48*3_Huff!P$139*1_Friction!P48,0)</f>
        <v>0</v>
      </c>
      <c r="R48" s="43" t="n">
        <f aca="false">IF(Matrice_OD!Q48&lt;=Param!$B$2,3_Huff!Q48*3_Huff!Q$139*1_Friction!Q48,0)</f>
        <v>0</v>
      </c>
      <c r="S48" s="43" t="n">
        <f aca="false">IF(Matrice_OD!R48&lt;=Param!$B$2,3_Huff!R48*3_Huff!R$139*1_Friction!R48,0)</f>
        <v>0</v>
      </c>
      <c r="T48" s="43" t="n">
        <f aca="false">IF(Matrice_OD!S48&lt;=Param!$B$2,3_Huff!S48*3_Huff!S$139*1_Friction!S48,0)</f>
        <v>0</v>
      </c>
      <c r="U48" s="43" t="n">
        <f aca="false">IF(Matrice_OD!T48&lt;=Param!$B$2,3_Huff!T48*3_Huff!T$139*1_Friction!T48,0)</f>
        <v>0</v>
      </c>
      <c r="V48" s="43" t="n">
        <f aca="false">IF(Matrice_OD!U48&lt;=Param!$B$2,3_Huff!U48*3_Huff!U$139*1_Friction!U48,0)</f>
        <v>0</v>
      </c>
      <c r="W48" s="43" t="n">
        <f aca="false">IF(Matrice_OD!V48&lt;=Param!$B$2,3_Huff!V48*3_Huff!V$139*1_Friction!V48,0)</f>
        <v>0</v>
      </c>
      <c r="X48" s="43" t="n">
        <f aca="false">IF(Matrice_OD!W48&lt;=Param!$B$2,3_Huff!W48*3_Huff!W$139*1_Friction!W48,0)</f>
        <v>0</v>
      </c>
      <c r="Y48" s="43" t="n">
        <f aca="false">IF(Matrice_OD!X48&lt;=Param!$B$2,3_Huff!X48*3_Huff!X$139*1_Friction!X48,0)</f>
        <v>0</v>
      </c>
      <c r="Z48" s="43" t="n">
        <f aca="false">IF(Matrice_OD!Y48&lt;=Param!$B$2,3_Huff!Y48*3_Huff!Y$139*1_Friction!Y48,0)</f>
        <v>0</v>
      </c>
      <c r="AA48" s="43" t="n">
        <f aca="false">IF(Matrice_OD!Z48&lt;=Param!$B$2,3_Huff!Z48*3_Huff!Z$139*1_Friction!Z48,0)</f>
        <v>0</v>
      </c>
      <c r="AB48" s="43" t="n">
        <f aca="false">IF(Matrice_OD!AA48&lt;=Param!$B$2,3_Huff!AA48*3_Huff!AA$139*1_Friction!AA48,0)</f>
        <v>0</v>
      </c>
      <c r="AC48" s="43" t="n">
        <f aca="false">IF(Matrice_OD!AB48&lt;=Param!$B$2,3_Huff!AB48*3_Huff!AB$139*1_Friction!AB48,0)</f>
        <v>0</v>
      </c>
      <c r="AD48" s="43" t="n">
        <f aca="false">IF(Matrice_OD!AC48&lt;=Param!$B$2,3_Huff!AC48*3_Huff!AC$139*1_Friction!AC48,0)</f>
        <v>0</v>
      </c>
      <c r="AE48" s="43" t="n">
        <f aca="false">IF(Matrice_OD!AD48&lt;=Param!$B$2,3_Huff!AD48*3_Huff!AD$139*1_Friction!AD48,0)</f>
        <v>0</v>
      </c>
      <c r="AF48" s="43" t="n">
        <f aca="false">IF(Matrice_OD!AE48&lt;=Param!$B$2,3_Huff!AE48*3_Huff!AE$139*1_Friction!AE48,0)</f>
        <v>0</v>
      </c>
      <c r="AG48" s="43" t="n">
        <f aca="false">IF(Matrice_OD!AF48&lt;=Param!$B$2,3_Huff!AF48*3_Huff!AF$139*1_Friction!AF48,0)</f>
        <v>0</v>
      </c>
      <c r="AH48" s="43" t="n">
        <f aca="false">IF(Matrice_OD!AG48&lt;=Param!$B$2,3_Huff!AG48*3_Huff!AG$139*1_Friction!AG48,0)</f>
        <v>0</v>
      </c>
      <c r="AI48" s="43" t="n">
        <f aca="false">IF(Matrice_OD!AH48&lt;=Param!$B$2,3_Huff!AH48*3_Huff!AH$139*1_Friction!AH48,0)</f>
        <v>0</v>
      </c>
      <c r="AJ48" s="43" t="n">
        <f aca="false">IF(Matrice_OD!AI48&lt;=Param!$B$2,3_Huff!AI48*3_Huff!AI$139*1_Friction!AI48,0)</f>
        <v>0</v>
      </c>
      <c r="AK48" s="43" t="n">
        <f aca="false">IF(Matrice_OD!AJ48&lt;=Param!$B$2,3_Huff!AJ48*3_Huff!AJ$139*1_Friction!AJ48,0)</f>
        <v>0</v>
      </c>
      <c r="AL48" s="43" t="n">
        <f aca="false">IF(Matrice_OD!AK48&lt;=Param!$B$2,3_Huff!AK48*3_Huff!AK$139*1_Friction!AK48,0)</f>
        <v>0</v>
      </c>
      <c r="AM48" s="0" t="n">
        <f aca="false">IF(Matrice_OD!AL48&lt;=Param!$B$2,3_Huff!AL48*3_Huff!AL$139*1_Friction!AL48,0)</f>
        <v>0</v>
      </c>
      <c r="AN48" s="0" t="n">
        <f aca="false">IF(Matrice_OD!AM48&lt;=Param!$B$2,3_Huff!AM48*3_Huff!AM$139*1_Friction!AM48,0)</f>
        <v>0</v>
      </c>
      <c r="AO48" s="0" t="n">
        <f aca="false">IF(Matrice_OD!AN48&lt;=Param!$B$2,3_Huff!AN48*3_Huff!AN$139*1_Friction!AN48,0)</f>
        <v>2.41435656012098E-005</v>
      </c>
      <c r="AP48" s="48" t="n">
        <f aca="false">SUM(D48:AO48)</f>
        <v>2.41435656012098E-005</v>
      </c>
      <c r="AQ48" s="43" t="n">
        <f aca="false">AP48*1000</f>
        <v>0.0241435656012098</v>
      </c>
      <c r="AR48" s="43" t="n">
        <f aca="false">RANK(AP48,AP$2:AP$136,0)</f>
        <v>110</v>
      </c>
      <c r="AS48" s="43" t="n">
        <f aca="false">COUNTIF(Matrice_OD!$C48:$AN48,"&lt;="&amp;Param!$B$2)</f>
        <v>1</v>
      </c>
    </row>
    <row r="49" customFormat="false" ht="15" hidden="false" customHeight="true" outlineLevel="0" collapsed="false">
      <c r="A49" s="0" t="s">
        <v>196</v>
      </c>
      <c r="B49" s="0" t="s">
        <v>197</v>
      </c>
      <c r="C49" s="0" t="n">
        <f aca="false">Demande!C49</f>
        <v>13908</v>
      </c>
      <c r="D49" s="43" t="n">
        <f aca="false">IF(Matrice_OD!C49&lt;=Param!$B$2,3_Huff!C49*3_Huff!C$139*1_Friction!C49,0)</f>
        <v>0</v>
      </c>
      <c r="E49" s="43" t="n">
        <f aca="false">IF(Matrice_OD!D49&lt;=Param!$B$2,3_Huff!D49*3_Huff!D$139*1_Friction!D49,0)</f>
        <v>0</v>
      </c>
      <c r="F49" s="43" t="n">
        <f aca="false">IF(Matrice_OD!E49&lt;=Param!$B$2,3_Huff!E49*3_Huff!E$139*1_Friction!E49,0)</f>
        <v>0</v>
      </c>
      <c r="G49" s="43" t="n">
        <f aca="false">IF(Matrice_OD!F49&lt;=Param!$B$2,3_Huff!F49*3_Huff!F$139*1_Friction!F49,0)</f>
        <v>0</v>
      </c>
      <c r="H49" s="43" t="n">
        <f aca="false">IF(Matrice_OD!G49&lt;=Param!$B$2,3_Huff!G49*3_Huff!G$139*1_Friction!G49,0)</f>
        <v>0</v>
      </c>
      <c r="I49" s="43" t="n">
        <f aca="false">IF(Matrice_OD!H49&lt;=Param!$B$2,3_Huff!H49*3_Huff!H$139*1_Friction!H49,0)</f>
        <v>0</v>
      </c>
      <c r="J49" s="43" t="n">
        <f aca="false">IF(Matrice_OD!I49&lt;=Param!$B$2,3_Huff!I49*3_Huff!I$139*1_Friction!I49,0)</f>
        <v>0</v>
      </c>
      <c r="K49" s="43" t="n">
        <f aca="false">IF(Matrice_OD!J49&lt;=Param!$B$2,3_Huff!J49*3_Huff!J$139*1_Friction!J49,0)</f>
        <v>0</v>
      </c>
      <c r="L49" s="43" t="n">
        <f aca="false">IF(Matrice_OD!K49&lt;=Param!$B$2,3_Huff!K49*3_Huff!K$139*1_Friction!K49,0)</f>
        <v>0</v>
      </c>
      <c r="M49" s="43" t="n">
        <f aca="false">IF(Matrice_OD!L49&lt;=Param!$B$2,3_Huff!L49*3_Huff!L$139*1_Friction!L49,0)</f>
        <v>0</v>
      </c>
      <c r="N49" s="43" t="n">
        <f aca="false">IF(Matrice_OD!M49&lt;=Param!$B$2,3_Huff!M49*3_Huff!M$139*1_Friction!M49,0)</f>
        <v>0</v>
      </c>
      <c r="O49" s="43" t="n">
        <f aca="false">IF(Matrice_OD!N49&lt;=Param!$B$2,3_Huff!N49*3_Huff!N$139*1_Friction!N49,0)</f>
        <v>0</v>
      </c>
      <c r="P49" s="43" t="n">
        <f aca="false">IF(Matrice_OD!O49&lt;=Param!$B$2,3_Huff!O49*3_Huff!O$139*1_Friction!O49,0)</f>
        <v>0</v>
      </c>
      <c r="Q49" s="43" t="n">
        <f aca="false">IF(Matrice_OD!P49&lt;=Param!$B$2,3_Huff!P49*3_Huff!P$139*1_Friction!P49,0)</f>
        <v>0</v>
      </c>
      <c r="R49" s="43" t="n">
        <f aca="false">IF(Matrice_OD!Q49&lt;=Param!$B$2,3_Huff!Q49*3_Huff!Q$139*1_Friction!Q49,0)</f>
        <v>0</v>
      </c>
      <c r="S49" s="43" t="n">
        <f aca="false">IF(Matrice_OD!R49&lt;=Param!$B$2,3_Huff!R49*3_Huff!R$139*1_Friction!R49,0)</f>
        <v>0</v>
      </c>
      <c r="T49" s="43" t="n">
        <f aca="false">IF(Matrice_OD!S49&lt;=Param!$B$2,3_Huff!S49*3_Huff!S$139*1_Friction!S49,0)</f>
        <v>0</v>
      </c>
      <c r="U49" s="43" t="n">
        <f aca="false">IF(Matrice_OD!T49&lt;=Param!$B$2,3_Huff!T49*3_Huff!T$139*1_Friction!T49,0)</f>
        <v>0</v>
      </c>
      <c r="V49" s="43" t="n">
        <f aca="false">IF(Matrice_OD!U49&lt;=Param!$B$2,3_Huff!U49*3_Huff!U$139*1_Friction!U49,0)</f>
        <v>0</v>
      </c>
      <c r="W49" s="43" t="n">
        <f aca="false">IF(Matrice_OD!V49&lt;=Param!$B$2,3_Huff!V49*3_Huff!V$139*1_Friction!V49,0)</f>
        <v>0</v>
      </c>
      <c r="X49" s="43" t="n">
        <f aca="false">IF(Matrice_OD!W49&lt;=Param!$B$2,3_Huff!W49*3_Huff!W$139*1_Friction!W49,0)</f>
        <v>0</v>
      </c>
      <c r="Y49" s="43" t="n">
        <f aca="false">IF(Matrice_OD!X49&lt;=Param!$B$2,3_Huff!X49*3_Huff!X$139*1_Friction!X49,0)</f>
        <v>0</v>
      </c>
      <c r="Z49" s="43" t="n">
        <f aca="false">IF(Matrice_OD!Y49&lt;=Param!$B$2,3_Huff!Y49*3_Huff!Y$139*1_Friction!Y49,0)</f>
        <v>0</v>
      </c>
      <c r="AA49" s="43" t="n">
        <f aca="false">IF(Matrice_OD!Z49&lt;=Param!$B$2,3_Huff!Z49*3_Huff!Z$139*1_Friction!Z49,0)</f>
        <v>0</v>
      </c>
      <c r="AB49" s="43" t="n">
        <f aca="false">IF(Matrice_OD!AA49&lt;=Param!$B$2,3_Huff!AA49*3_Huff!AA$139*1_Friction!AA49,0)</f>
        <v>0</v>
      </c>
      <c r="AC49" s="43" t="n">
        <f aca="false">IF(Matrice_OD!AB49&lt;=Param!$B$2,3_Huff!AB49*3_Huff!AB$139*1_Friction!AB49,0)</f>
        <v>0</v>
      </c>
      <c r="AD49" s="43" t="n">
        <f aca="false">IF(Matrice_OD!AC49&lt;=Param!$B$2,3_Huff!AC49*3_Huff!AC$139*1_Friction!AC49,0)</f>
        <v>0</v>
      </c>
      <c r="AE49" s="43" t="n">
        <f aca="false">IF(Matrice_OD!AD49&lt;=Param!$B$2,3_Huff!AD49*3_Huff!AD$139*1_Friction!AD49,0)</f>
        <v>0</v>
      </c>
      <c r="AF49" s="43" t="n">
        <f aca="false">IF(Matrice_OD!AE49&lt;=Param!$B$2,3_Huff!AE49*3_Huff!AE$139*1_Friction!AE49,0)</f>
        <v>0</v>
      </c>
      <c r="AG49" s="43" t="n">
        <f aca="false">IF(Matrice_OD!AF49&lt;=Param!$B$2,3_Huff!AF49*3_Huff!AF$139*1_Friction!AF49,0)</f>
        <v>0</v>
      </c>
      <c r="AH49" s="43" t="n">
        <f aca="false">IF(Matrice_OD!AG49&lt;=Param!$B$2,3_Huff!AG49*3_Huff!AG$139*1_Friction!AG49,0)</f>
        <v>0</v>
      </c>
      <c r="AI49" s="43" t="n">
        <f aca="false">IF(Matrice_OD!AH49&lt;=Param!$B$2,3_Huff!AH49*3_Huff!AH$139*1_Friction!AH49,0)</f>
        <v>0</v>
      </c>
      <c r="AJ49" s="43" t="n">
        <f aca="false">IF(Matrice_OD!AI49&lt;=Param!$B$2,3_Huff!AI49*3_Huff!AI$139*1_Friction!AI49,0)</f>
        <v>0</v>
      </c>
      <c r="AK49" s="43" t="n">
        <f aca="false">IF(Matrice_OD!AJ49&lt;=Param!$B$2,3_Huff!AJ49*3_Huff!AJ$139*1_Friction!AJ49,0)</f>
        <v>0</v>
      </c>
      <c r="AL49" s="43" t="n">
        <f aca="false">IF(Matrice_OD!AK49&lt;=Param!$B$2,3_Huff!AK49*3_Huff!AK$139*1_Friction!AK49,0)</f>
        <v>0</v>
      </c>
      <c r="AM49" s="0" t="n">
        <f aca="false">IF(Matrice_OD!AL49&lt;=Param!$B$2,3_Huff!AL49*3_Huff!AL$139*1_Friction!AL49,0)</f>
        <v>0</v>
      </c>
      <c r="AN49" s="0" t="n">
        <f aca="false">IF(Matrice_OD!AM49&lt;=Param!$B$2,3_Huff!AM49*3_Huff!AM$139*1_Friction!AM49,0)</f>
        <v>0</v>
      </c>
      <c r="AO49" s="0" t="n">
        <f aca="false">IF(Matrice_OD!AN49&lt;=Param!$B$2,3_Huff!AN49*3_Huff!AN$139*1_Friction!AN49,0)</f>
        <v>8.27436628080868E-006</v>
      </c>
      <c r="AP49" s="49" t="n">
        <f aca="false">SUM(D49:AO49)</f>
        <v>8.27436628080868E-006</v>
      </c>
      <c r="AQ49" s="43" t="n">
        <f aca="false">AP49*1000</f>
        <v>0.00827436628080868</v>
      </c>
      <c r="AR49" s="43" t="n">
        <f aca="false">RANK(AP49,AP$2:AP$136,0)</f>
        <v>118</v>
      </c>
      <c r="AS49" s="43" t="n">
        <f aca="false">COUNTIF(Matrice_OD!$C49:$AN49,"&lt;="&amp;Param!$B$2)</f>
        <v>1</v>
      </c>
    </row>
    <row r="50" customFormat="false" ht="15" hidden="false" customHeight="true" outlineLevel="0" collapsed="false">
      <c r="A50" s="0" t="s">
        <v>198</v>
      </c>
      <c r="B50" s="0" t="s">
        <v>199</v>
      </c>
      <c r="C50" s="0" t="n">
        <f aca="false">Demande!C50</f>
        <v>18091</v>
      </c>
      <c r="D50" s="43" t="n">
        <f aca="false">IF(Matrice_OD!C50&lt;=Param!$B$2,3_Huff!C50*3_Huff!C$139*1_Friction!C50,0)</f>
        <v>0</v>
      </c>
      <c r="E50" s="43" t="n">
        <f aca="false">IF(Matrice_OD!D50&lt;=Param!$B$2,3_Huff!D50*3_Huff!D$139*1_Friction!D50,0)</f>
        <v>0</v>
      </c>
      <c r="F50" s="43" t="n">
        <f aca="false">IF(Matrice_OD!E50&lt;=Param!$B$2,3_Huff!E50*3_Huff!E$139*1_Friction!E50,0)</f>
        <v>0</v>
      </c>
      <c r="G50" s="43" t="n">
        <f aca="false">IF(Matrice_OD!F50&lt;=Param!$B$2,3_Huff!F50*3_Huff!F$139*1_Friction!F50,0)</f>
        <v>0</v>
      </c>
      <c r="H50" s="43" t="n">
        <f aca="false">IF(Matrice_OD!G50&lt;=Param!$B$2,3_Huff!G50*3_Huff!G$139*1_Friction!G50,0)</f>
        <v>0</v>
      </c>
      <c r="I50" s="43" t="n">
        <f aca="false">IF(Matrice_OD!H50&lt;=Param!$B$2,3_Huff!H50*3_Huff!H$139*1_Friction!H50,0)</f>
        <v>0</v>
      </c>
      <c r="J50" s="43" t="n">
        <f aca="false">IF(Matrice_OD!I50&lt;=Param!$B$2,3_Huff!I50*3_Huff!I$139*1_Friction!I50,0)</f>
        <v>0</v>
      </c>
      <c r="K50" s="43" t="n">
        <f aca="false">IF(Matrice_OD!J50&lt;=Param!$B$2,3_Huff!J50*3_Huff!J$139*1_Friction!J50,0)</f>
        <v>0</v>
      </c>
      <c r="L50" s="43" t="n">
        <f aca="false">IF(Matrice_OD!K50&lt;=Param!$B$2,3_Huff!K50*3_Huff!K$139*1_Friction!K50,0)</f>
        <v>0</v>
      </c>
      <c r="M50" s="43" t="n">
        <f aca="false">IF(Matrice_OD!L50&lt;=Param!$B$2,3_Huff!L50*3_Huff!L$139*1_Friction!L50,0)</f>
        <v>0</v>
      </c>
      <c r="N50" s="43" t="n">
        <f aca="false">IF(Matrice_OD!M50&lt;=Param!$B$2,3_Huff!M50*3_Huff!M$139*1_Friction!M50,0)</f>
        <v>0</v>
      </c>
      <c r="O50" s="43" t="n">
        <f aca="false">IF(Matrice_OD!N50&lt;=Param!$B$2,3_Huff!N50*3_Huff!N$139*1_Friction!N50,0)</f>
        <v>0</v>
      </c>
      <c r="P50" s="43" t="n">
        <f aca="false">IF(Matrice_OD!O50&lt;=Param!$B$2,3_Huff!O50*3_Huff!O$139*1_Friction!O50,0)</f>
        <v>0</v>
      </c>
      <c r="Q50" s="43" t="n">
        <f aca="false">IF(Matrice_OD!P50&lt;=Param!$B$2,3_Huff!P50*3_Huff!P$139*1_Friction!P50,0)</f>
        <v>0</v>
      </c>
      <c r="R50" s="43" t="n">
        <f aca="false">IF(Matrice_OD!Q50&lt;=Param!$B$2,3_Huff!Q50*3_Huff!Q$139*1_Friction!Q50,0)</f>
        <v>0</v>
      </c>
      <c r="S50" s="43" t="n">
        <f aca="false">IF(Matrice_OD!R50&lt;=Param!$B$2,3_Huff!R50*3_Huff!R$139*1_Friction!R50,0)</f>
        <v>0</v>
      </c>
      <c r="T50" s="43" t="n">
        <f aca="false">IF(Matrice_OD!S50&lt;=Param!$B$2,3_Huff!S50*3_Huff!S$139*1_Friction!S50,0)</f>
        <v>0</v>
      </c>
      <c r="U50" s="43" t="n">
        <f aca="false">IF(Matrice_OD!T50&lt;=Param!$B$2,3_Huff!T50*3_Huff!T$139*1_Friction!T50,0)</f>
        <v>0</v>
      </c>
      <c r="V50" s="43" t="n">
        <f aca="false">IF(Matrice_OD!U50&lt;=Param!$B$2,3_Huff!U50*3_Huff!U$139*1_Friction!U50,0)</f>
        <v>0</v>
      </c>
      <c r="W50" s="43" t="n">
        <f aca="false">IF(Matrice_OD!V50&lt;=Param!$B$2,3_Huff!V50*3_Huff!V$139*1_Friction!V50,0)</f>
        <v>0</v>
      </c>
      <c r="X50" s="43" t="n">
        <f aca="false">IF(Matrice_OD!W50&lt;=Param!$B$2,3_Huff!W50*3_Huff!W$139*1_Friction!W50,0)</f>
        <v>0</v>
      </c>
      <c r="Y50" s="43" t="n">
        <f aca="false">IF(Matrice_OD!X50&lt;=Param!$B$2,3_Huff!X50*3_Huff!X$139*1_Friction!X50,0)</f>
        <v>0</v>
      </c>
      <c r="Z50" s="43" t="n">
        <f aca="false">IF(Matrice_OD!Y50&lt;=Param!$B$2,3_Huff!Y50*3_Huff!Y$139*1_Friction!Y50,0)</f>
        <v>0</v>
      </c>
      <c r="AA50" s="43" t="n">
        <f aca="false">IF(Matrice_OD!Z50&lt;=Param!$B$2,3_Huff!Z50*3_Huff!Z$139*1_Friction!Z50,0)</f>
        <v>0</v>
      </c>
      <c r="AB50" s="43" t="n">
        <f aca="false">IF(Matrice_OD!AA50&lt;=Param!$B$2,3_Huff!AA50*3_Huff!AA$139*1_Friction!AA50,0)</f>
        <v>0</v>
      </c>
      <c r="AC50" s="43" t="n">
        <f aca="false">IF(Matrice_OD!AB50&lt;=Param!$B$2,3_Huff!AB50*3_Huff!AB$139*1_Friction!AB50,0)</f>
        <v>0</v>
      </c>
      <c r="AD50" s="43" t="n">
        <f aca="false">IF(Matrice_OD!AC50&lt;=Param!$B$2,3_Huff!AC50*3_Huff!AC$139*1_Friction!AC50,0)</f>
        <v>0</v>
      </c>
      <c r="AE50" s="43" t="n">
        <f aca="false">IF(Matrice_OD!AD50&lt;=Param!$B$2,3_Huff!AD50*3_Huff!AD$139*1_Friction!AD50,0)</f>
        <v>0</v>
      </c>
      <c r="AF50" s="43" t="n">
        <f aca="false">IF(Matrice_OD!AE50&lt;=Param!$B$2,3_Huff!AE50*3_Huff!AE$139*1_Friction!AE50,0)</f>
        <v>0</v>
      </c>
      <c r="AG50" s="43" t="n">
        <f aca="false">IF(Matrice_OD!AF50&lt;=Param!$B$2,3_Huff!AF50*3_Huff!AF$139*1_Friction!AF50,0)</f>
        <v>0</v>
      </c>
      <c r="AH50" s="43" t="n">
        <f aca="false">IF(Matrice_OD!AG50&lt;=Param!$B$2,3_Huff!AG50*3_Huff!AG$139*1_Friction!AG50,0)</f>
        <v>0</v>
      </c>
      <c r="AI50" s="43" t="n">
        <f aca="false">IF(Matrice_OD!AH50&lt;=Param!$B$2,3_Huff!AH50*3_Huff!AH$139*1_Friction!AH50,0)</f>
        <v>0</v>
      </c>
      <c r="AJ50" s="43" t="n">
        <f aca="false">IF(Matrice_OD!AI50&lt;=Param!$B$2,3_Huff!AI50*3_Huff!AI$139*1_Friction!AI50,0)</f>
        <v>0</v>
      </c>
      <c r="AK50" s="43" t="n">
        <f aca="false">IF(Matrice_OD!AJ50&lt;=Param!$B$2,3_Huff!AJ50*3_Huff!AJ$139*1_Friction!AJ50,0)</f>
        <v>0</v>
      </c>
      <c r="AL50" s="43" t="n">
        <f aca="false">IF(Matrice_OD!AK50&lt;=Param!$B$2,3_Huff!AK50*3_Huff!AK$139*1_Friction!AK50,0)</f>
        <v>0</v>
      </c>
      <c r="AM50" s="0" t="n">
        <f aca="false">IF(Matrice_OD!AL50&lt;=Param!$B$2,3_Huff!AL50*3_Huff!AL$139*1_Friction!AL50,0)</f>
        <v>0</v>
      </c>
      <c r="AN50" s="0" t="n">
        <f aca="false">IF(Matrice_OD!AM50&lt;=Param!$B$2,3_Huff!AM50*3_Huff!AM$139*1_Friction!AM50,0)</f>
        <v>0</v>
      </c>
      <c r="AO50" s="0" t="n">
        <f aca="false">IF(Matrice_OD!AN50&lt;=Param!$B$2,3_Huff!AN50*3_Huff!AN$139*1_Friction!AN50,0)</f>
        <v>0</v>
      </c>
      <c r="AP50" s="48" t="n">
        <f aca="false">SUM(D50:AO50)</f>
        <v>0</v>
      </c>
      <c r="AQ50" s="43" t="n">
        <f aca="false">AP50*1000</f>
        <v>0</v>
      </c>
      <c r="AR50" s="43" t="n">
        <f aca="false">RANK(AP50,AP$2:AP$136,0)</f>
        <v>123</v>
      </c>
      <c r="AS50" s="43" t="n">
        <f aca="false">COUNTIF(Matrice_OD!$C50:$AN50,"&lt;="&amp;Param!$B$2)</f>
        <v>0</v>
      </c>
    </row>
    <row r="51" customFormat="false" ht="15" hidden="false" customHeight="true" outlineLevel="0" collapsed="false">
      <c r="A51" s="0" t="s">
        <v>200</v>
      </c>
      <c r="B51" s="0" t="s">
        <v>201</v>
      </c>
      <c r="C51" s="0" t="n">
        <f aca="false">Demande!C51</f>
        <v>16554</v>
      </c>
      <c r="D51" s="43" t="n">
        <f aca="false">IF(Matrice_OD!C51&lt;=Param!$B$2,3_Huff!C51*3_Huff!C$139*1_Friction!C51,0)</f>
        <v>0</v>
      </c>
      <c r="E51" s="43" t="n">
        <f aca="false">IF(Matrice_OD!D51&lt;=Param!$B$2,3_Huff!D51*3_Huff!D$139*1_Friction!D51,0)</f>
        <v>0</v>
      </c>
      <c r="F51" s="43" t="n">
        <f aca="false">IF(Matrice_OD!E51&lt;=Param!$B$2,3_Huff!E51*3_Huff!E$139*1_Friction!E51,0)</f>
        <v>0</v>
      </c>
      <c r="G51" s="43" t="n">
        <f aca="false">IF(Matrice_OD!F51&lt;=Param!$B$2,3_Huff!F51*3_Huff!F$139*1_Friction!F51,0)</f>
        <v>0</v>
      </c>
      <c r="H51" s="43" t="n">
        <f aca="false">IF(Matrice_OD!G51&lt;=Param!$B$2,3_Huff!G51*3_Huff!G$139*1_Friction!G51,0)</f>
        <v>0</v>
      </c>
      <c r="I51" s="43" t="n">
        <f aca="false">IF(Matrice_OD!H51&lt;=Param!$B$2,3_Huff!H51*3_Huff!H$139*1_Friction!H51,0)</f>
        <v>0</v>
      </c>
      <c r="J51" s="43" t="n">
        <f aca="false">IF(Matrice_OD!I51&lt;=Param!$B$2,3_Huff!I51*3_Huff!I$139*1_Friction!I51,0)</f>
        <v>0</v>
      </c>
      <c r="K51" s="43" t="n">
        <f aca="false">IF(Matrice_OD!J51&lt;=Param!$B$2,3_Huff!J51*3_Huff!J$139*1_Friction!J51,0)</f>
        <v>0</v>
      </c>
      <c r="L51" s="43" t="n">
        <f aca="false">IF(Matrice_OD!K51&lt;=Param!$B$2,3_Huff!K51*3_Huff!K$139*1_Friction!K51,0)</f>
        <v>0</v>
      </c>
      <c r="M51" s="43" t="n">
        <f aca="false">IF(Matrice_OD!L51&lt;=Param!$B$2,3_Huff!L51*3_Huff!L$139*1_Friction!L51,0)</f>
        <v>0</v>
      </c>
      <c r="N51" s="43" t="n">
        <f aca="false">IF(Matrice_OD!M51&lt;=Param!$B$2,3_Huff!M51*3_Huff!M$139*1_Friction!M51,0)</f>
        <v>0</v>
      </c>
      <c r="O51" s="43" t="n">
        <f aca="false">IF(Matrice_OD!N51&lt;=Param!$B$2,3_Huff!N51*3_Huff!N$139*1_Friction!N51,0)</f>
        <v>0</v>
      </c>
      <c r="P51" s="43" t="n">
        <f aca="false">IF(Matrice_OD!O51&lt;=Param!$B$2,3_Huff!O51*3_Huff!O$139*1_Friction!O51,0)</f>
        <v>0</v>
      </c>
      <c r="Q51" s="43" t="n">
        <f aca="false">IF(Matrice_OD!P51&lt;=Param!$B$2,3_Huff!P51*3_Huff!P$139*1_Friction!P51,0)</f>
        <v>0</v>
      </c>
      <c r="R51" s="43" t="n">
        <f aca="false">IF(Matrice_OD!Q51&lt;=Param!$B$2,3_Huff!Q51*3_Huff!Q$139*1_Friction!Q51,0)</f>
        <v>0</v>
      </c>
      <c r="S51" s="43" t="n">
        <f aca="false">IF(Matrice_OD!R51&lt;=Param!$B$2,3_Huff!R51*3_Huff!R$139*1_Friction!R51,0)</f>
        <v>0</v>
      </c>
      <c r="T51" s="43" t="n">
        <f aca="false">IF(Matrice_OD!S51&lt;=Param!$B$2,3_Huff!S51*3_Huff!S$139*1_Friction!S51,0)</f>
        <v>0</v>
      </c>
      <c r="U51" s="43" t="n">
        <f aca="false">IF(Matrice_OD!T51&lt;=Param!$B$2,3_Huff!T51*3_Huff!T$139*1_Friction!T51,0)</f>
        <v>0</v>
      </c>
      <c r="V51" s="43" t="n">
        <f aca="false">IF(Matrice_OD!U51&lt;=Param!$B$2,3_Huff!U51*3_Huff!U$139*1_Friction!U51,0)</f>
        <v>0</v>
      </c>
      <c r="W51" s="43" t="n">
        <f aca="false">IF(Matrice_OD!V51&lt;=Param!$B$2,3_Huff!V51*3_Huff!V$139*1_Friction!V51,0)</f>
        <v>0</v>
      </c>
      <c r="X51" s="43" t="n">
        <f aca="false">IF(Matrice_OD!W51&lt;=Param!$B$2,3_Huff!W51*3_Huff!W$139*1_Friction!W51,0)</f>
        <v>0</v>
      </c>
      <c r="Y51" s="43" t="n">
        <f aca="false">IF(Matrice_OD!X51&lt;=Param!$B$2,3_Huff!X51*3_Huff!X$139*1_Friction!X51,0)</f>
        <v>0</v>
      </c>
      <c r="Z51" s="43" t="n">
        <f aca="false">IF(Matrice_OD!Y51&lt;=Param!$B$2,3_Huff!Y51*3_Huff!Y$139*1_Friction!Y51,0)</f>
        <v>0</v>
      </c>
      <c r="AA51" s="43" t="n">
        <f aca="false">IF(Matrice_OD!Z51&lt;=Param!$B$2,3_Huff!Z51*3_Huff!Z$139*1_Friction!Z51,0)</f>
        <v>0</v>
      </c>
      <c r="AB51" s="43" t="n">
        <f aca="false">IF(Matrice_OD!AA51&lt;=Param!$B$2,3_Huff!AA51*3_Huff!AA$139*1_Friction!AA51,0)</f>
        <v>0</v>
      </c>
      <c r="AC51" s="43" t="n">
        <f aca="false">IF(Matrice_OD!AB51&lt;=Param!$B$2,3_Huff!AB51*3_Huff!AB$139*1_Friction!AB51,0)</f>
        <v>0</v>
      </c>
      <c r="AD51" s="43" t="n">
        <f aca="false">IF(Matrice_OD!AC51&lt;=Param!$B$2,3_Huff!AC51*3_Huff!AC$139*1_Friction!AC51,0)</f>
        <v>0</v>
      </c>
      <c r="AE51" s="43" t="n">
        <f aca="false">IF(Matrice_OD!AD51&lt;=Param!$B$2,3_Huff!AD51*3_Huff!AD$139*1_Friction!AD51,0)</f>
        <v>0</v>
      </c>
      <c r="AF51" s="43" t="n">
        <f aca="false">IF(Matrice_OD!AE51&lt;=Param!$B$2,3_Huff!AE51*3_Huff!AE$139*1_Friction!AE51,0)</f>
        <v>0</v>
      </c>
      <c r="AG51" s="43" t="n">
        <f aca="false">IF(Matrice_OD!AF51&lt;=Param!$B$2,3_Huff!AF51*3_Huff!AF$139*1_Friction!AF51,0)</f>
        <v>0</v>
      </c>
      <c r="AH51" s="43" t="n">
        <f aca="false">IF(Matrice_OD!AG51&lt;=Param!$B$2,3_Huff!AG51*3_Huff!AG$139*1_Friction!AG51,0)</f>
        <v>0</v>
      </c>
      <c r="AI51" s="43" t="n">
        <f aca="false">IF(Matrice_OD!AH51&lt;=Param!$B$2,3_Huff!AH51*3_Huff!AH$139*1_Friction!AH51,0)</f>
        <v>0</v>
      </c>
      <c r="AJ51" s="43" t="n">
        <f aca="false">IF(Matrice_OD!AI51&lt;=Param!$B$2,3_Huff!AI51*3_Huff!AI$139*1_Friction!AI51,0)</f>
        <v>0</v>
      </c>
      <c r="AK51" s="43" t="n">
        <f aca="false">IF(Matrice_OD!AJ51&lt;=Param!$B$2,3_Huff!AJ51*3_Huff!AJ$139*1_Friction!AJ51,0)</f>
        <v>0</v>
      </c>
      <c r="AL51" s="43" t="n">
        <f aca="false">IF(Matrice_OD!AK51&lt;=Param!$B$2,3_Huff!AK51*3_Huff!AK$139*1_Friction!AK51,0)</f>
        <v>0</v>
      </c>
      <c r="AM51" s="0" t="n">
        <f aca="false">IF(Matrice_OD!AL51&lt;=Param!$B$2,3_Huff!AL51*3_Huff!AL$139*1_Friction!AL51,0)</f>
        <v>0</v>
      </c>
      <c r="AN51" s="0" t="n">
        <f aca="false">IF(Matrice_OD!AM51&lt;=Param!$B$2,3_Huff!AM51*3_Huff!AM$139*1_Friction!AM51,0)</f>
        <v>0</v>
      </c>
      <c r="AO51" s="0" t="n">
        <f aca="false">IF(Matrice_OD!AN51&lt;=Param!$B$2,3_Huff!AN51*3_Huff!AN$139*1_Friction!AN51,0)</f>
        <v>3.60270389462868E-005</v>
      </c>
      <c r="AP51" s="49" t="n">
        <f aca="false">SUM(D51:AO51)</f>
        <v>3.60270389462868E-005</v>
      </c>
      <c r="AQ51" s="43" t="n">
        <f aca="false">AP51*1000</f>
        <v>0.0360270389462868</v>
      </c>
      <c r="AR51" s="43" t="n">
        <f aca="false">RANK(AP51,AP$2:AP$136,0)</f>
        <v>102</v>
      </c>
      <c r="AS51" s="43" t="n">
        <f aca="false">COUNTIF(Matrice_OD!$C51:$AN51,"&lt;="&amp;Param!$B$2)</f>
        <v>1</v>
      </c>
    </row>
    <row r="52" customFormat="false" ht="15" hidden="false" customHeight="true" outlineLevel="0" collapsed="false">
      <c r="A52" s="0" t="s">
        <v>202</v>
      </c>
      <c r="B52" s="0" t="s">
        <v>203</v>
      </c>
      <c r="C52" s="0" t="n">
        <f aca="false">Demande!C52</f>
        <v>13661</v>
      </c>
      <c r="D52" s="43" t="n">
        <f aca="false">IF(Matrice_OD!C52&lt;=Param!$B$2,3_Huff!C52*3_Huff!C$139*1_Friction!C52,0)</f>
        <v>0</v>
      </c>
      <c r="E52" s="43" t="n">
        <f aca="false">IF(Matrice_OD!D52&lt;=Param!$B$2,3_Huff!D52*3_Huff!D$139*1_Friction!D52,0)</f>
        <v>0</v>
      </c>
      <c r="F52" s="43" t="n">
        <f aca="false">IF(Matrice_OD!E52&lt;=Param!$B$2,3_Huff!E52*3_Huff!E$139*1_Friction!E52,0)</f>
        <v>0</v>
      </c>
      <c r="G52" s="43" t="n">
        <f aca="false">IF(Matrice_OD!F52&lt;=Param!$B$2,3_Huff!F52*3_Huff!F$139*1_Friction!F52,0)</f>
        <v>0</v>
      </c>
      <c r="H52" s="43" t="n">
        <f aca="false">IF(Matrice_OD!G52&lt;=Param!$B$2,3_Huff!G52*3_Huff!G$139*1_Friction!G52,0)</f>
        <v>0</v>
      </c>
      <c r="I52" s="43" t="n">
        <f aca="false">IF(Matrice_OD!H52&lt;=Param!$B$2,3_Huff!H52*3_Huff!H$139*1_Friction!H52,0)</f>
        <v>0</v>
      </c>
      <c r="J52" s="43" t="n">
        <f aca="false">IF(Matrice_OD!I52&lt;=Param!$B$2,3_Huff!I52*3_Huff!I$139*1_Friction!I52,0)</f>
        <v>0</v>
      </c>
      <c r="K52" s="43" t="n">
        <f aca="false">IF(Matrice_OD!J52&lt;=Param!$B$2,3_Huff!J52*3_Huff!J$139*1_Friction!J52,0)</f>
        <v>0</v>
      </c>
      <c r="L52" s="43" t="n">
        <f aca="false">IF(Matrice_OD!K52&lt;=Param!$B$2,3_Huff!K52*3_Huff!K$139*1_Friction!K52,0)</f>
        <v>0</v>
      </c>
      <c r="M52" s="43" t="n">
        <f aca="false">IF(Matrice_OD!L52&lt;=Param!$B$2,3_Huff!L52*3_Huff!L$139*1_Friction!L52,0)</f>
        <v>0</v>
      </c>
      <c r="N52" s="43" t="n">
        <f aca="false">IF(Matrice_OD!M52&lt;=Param!$B$2,3_Huff!M52*3_Huff!M$139*1_Friction!M52,0)</f>
        <v>0</v>
      </c>
      <c r="O52" s="43" t="n">
        <f aca="false">IF(Matrice_OD!N52&lt;=Param!$B$2,3_Huff!N52*3_Huff!N$139*1_Friction!N52,0)</f>
        <v>0</v>
      </c>
      <c r="P52" s="43" t="n">
        <f aca="false">IF(Matrice_OD!O52&lt;=Param!$B$2,3_Huff!O52*3_Huff!O$139*1_Friction!O52,0)</f>
        <v>0</v>
      </c>
      <c r="Q52" s="43" t="n">
        <f aca="false">IF(Matrice_OD!P52&lt;=Param!$B$2,3_Huff!P52*3_Huff!P$139*1_Friction!P52,0)</f>
        <v>0</v>
      </c>
      <c r="R52" s="43" t="n">
        <f aca="false">IF(Matrice_OD!Q52&lt;=Param!$B$2,3_Huff!Q52*3_Huff!Q$139*1_Friction!Q52,0)</f>
        <v>0</v>
      </c>
      <c r="S52" s="43" t="n">
        <f aca="false">IF(Matrice_OD!R52&lt;=Param!$B$2,3_Huff!R52*3_Huff!R$139*1_Friction!R52,0)</f>
        <v>0</v>
      </c>
      <c r="T52" s="43" t="n">
        <f aca="false">IF(Matrice_OD!S52&lt;=Param!$B$2,3_Huff!S52*3_Huff!S$139*1_Friction!S52,0)</f>
        <v>0</v>
      </c>
      <c r="U52" s="43" t="n">
        <f aca="false">IF(Matrice_OD!T52&lt;=Param!$B$2,3_Huff!T52*3_Huff!T$139*1_Friction!T52,0)</f>
        <v>0</v>
      </c>
      <c r="V52" s="43" t="n">
        <f aca="false">IF(Matrice_OD!U52&lt;=Param!$B$2,3_Huff!U52*3_Huff!U$139*1_Friction!U52,0)</f>
        <v>0</v>
      </c>
      <c r="W52" s="43" t="n">
        <f aca="false">IF(Matrice_OD!V52&lt;=Param!$B$2,3_Huff!V52*3_Huff!V$139*1_Friction!V52,0)</f>
        <v>0</v>
      </c>
      <c r="X52" s="43" t="n">
        <f aca="false">IF(Matrice_OD!W52&lt;=Param!$B$2,3_Huff!W52*3_Huff!W$139*1_Friction!W52,0)</f>
        <v>0</v>
      </c>
      <c r="Y52" s="43" t="n">
        <f aca="false">IF(Matrice_OD!X52&lt;=Param!$B$2,3_Huff!X52*3_Huff!X$139*1_Friction!X52,0)</f>
        <v>0</v>
      </c>
      <c r="Z52" s="43" t="n">
        <f aca="false">IF(Matrice_OD!Y52&lt;=Param!$B$2,3_Huff!Y52*3_Huff!Y$139*1_Friction!Y52,0)</f>
        <v>0</v>
      </c>
      <c r="AA52" s="43" t="n">
        <f aca="false">IF(Matrice_OD!Z52&lt;=Param!$B$2,3_Huff!Z52*3_Huff!Z$139*1_Friction!Z52,0)</f>
        <v>0</v>
      </c>
      <c r="AB52" s="43" t="n">
        <f aca="false">IF(Matrice_OD!AA52&lt;=Param!$B$2,3_Huff!AA52*3_Huff!AA$139*1_Friction!AA52,0)</f>
        <v>0</v>
      </c>
      <c r="AC52" s="43" t="n">
        <f aca="false">IF(Matrice_OD!AB52&lt;=Param!$B$2,3_Huff!AB52*3_Huff!AB$139*1_Friction!AB52,0)</f>
        <v>0</v>
      </c>
      <c r="AD52" s="43" t="n">
        <f aca="false">IF(Matrice_OD!AC52&lt;=Param!$B$2,3_Huff!AC52*3_Huff!AC$139*1_Friction!AC52,0)</f>
        <v>0</v>
      </c>
      <c r="AE52" s="43" t="n">
        <f aca="false">IF(Matrice_OD!AD52&lt;=Param!$B$2,3_Huff!AD52*3_Huff!AD$139*1_Friction!AD52,0)</f>
        <v>0</v>
      </c>
      <c r="AF52" s="43" t="n">
        <f aca="false">IF(Matrice_OD!AE52&lt;=Param!$B$2,3_Huff!AE52*3_Huff!AE$139*1_Friction!AE52,0)</f>
        <v>0</v>
      </c>
      <c r="AG52" s="43" t="n">
        <f aca="false">IF(Matrice_OD!AF52&lt;=Param!$B$2,3_Huff!AF52*3_Huff!AF$139*1_Friction!AF52,0)</f>
        <v>0</v>
      </c>
      <c r="AH52" s="43" t="n">
        <f aca="false">IF(Matrice_OD!AG52&lt;=Param!$B$2,3_Huff!AG52*3_Huff!AG$139*1_Friction!AG52,0)</f>
        <v>0</v>
      </c>
      <c r="AI52" s="43" t="n">
        <f aca="false">IF(Matrice_OD!AH52&lt;=Param!$B$2,3_Huff!AH52*3_Huff!AH$139*1_Friction!AH52,0)</f>
        <v>0</v>
      </c>
      <c r="AJ52" s="43" t="n">
        <f aca="false">IF(Matrice_OD!AI52&lt;=Param!$B$2,3_Huff!AI52*3_Huff!AI$139*1_Friction!AI52,0)</f>
        <v>0</v>
      </c>
      <c r="AK52" s="43" t="n">
        <f aca="false">IF(Matrice_OD!AJ52&lt;=Param!$B$2,3_Huff!AJ52*3_Huff!AJ$139*1_Friction!AJ52,0)</f>
        <v>0</v>
      </c>
      <c r="AL52" s="43" t="n">
        <f aca="false">IF(Matrice_OD!AK52&lt;=Param!$B$2,3_Huff!AK52*3_Huff!AK$139*1_Friction!AK52,0)</f>
        <v>0</v>
      </c>
      <c r="AM52" s="0" t="n">
        <f aca="false">IF(Matrice_OD!AL52&lt;=Param!$B$2,3_Huff!AL52*3_Huff!AL$139*1_Friction!AL52,0)</f>
        <v>0</v>
      </c>
      <c r="AN52" s="0" t="n">
        <f aca="false">IF(Matrice_OD!AM52&lt;=Param!$B$2,3_Huff!AM52*3_Huff!AM$139*1_Friction!AM52,0)</f>
        <v>0</v>
      </c>
      <c r="AO52" s="0" t="n">
        <f aca="false">IF(Matrice_OD!AN52&lt;=Param!$B$2,3_Huff!AN52*3_Huff!AN$139*1_Friction!AN52,0)</f>
        <v>0.000111446921177617</v>
      </c>
      <c r="AP52" s="48" t="n">
        <f aca="false">SUM(D52:AO52)</f>
        <v>0.000111446921177617</v>
      </c>
      <c r="AQ52" s="43" t="n">
        <f aca="false">AP52*1000</f>
        <v>0.111446921177617</v>
      </c>
      <c r="AR52" s="43" t="n">
        <f aca="false">RANK(AP52,AP$2:AP$136,0)</f>
        <v>66</v>
      </c>
      <c r="AS52" s="43" t="n">
        <f aca="false">COUNTIF(Matrice_OD!$C52:$AN52,"&lt;="&amp;Param!$B$2)</f>
        <v>1</v>
      </c>
    </row>
    <row r="53" customFormat="false" ht="15" hidden="false" customHeight="true" outlineLevel="0" collapsed="false">
      <c r="A53" s="0" t="s">
        <v>204</v>
      </c>
      <c r="B53" s="0" t="s">
        <v>205</v>
      </c>
      <c r="C53" s="0" t="n">
        <f aca="false">Demande!C53</f>
        <v>18868</v>
      </c>
      <c r="D53" s="43" t="n">
        <f aca="false">IF(Matrice_OD!C53&lt;=Param!$B$2,3_Huff!C53*3_Huff!C$139*1_Friction!C53,0)</f>
        <v>0</v>
      </c>
      <c r="E53" s="43" t="n">
        <f aca="false">IF(Matrice_OD!D53&lt;=Param!$B$2,3_Huff!D53*3_Huff!D$139*1_Friction!D53,0)</f>
        <v>0</v>
      </c>
      <c r="F53" s="43" t="n">
        <f aca="false">IF(Matrice_OD!E53&lt;=Param!$B$2,3_Huff!E53*3_Huff!E$139*1_Friction!E53,0)</f>
        <v>0</v>
      </c>
      <c r="G53" s="43" t="n">
        <f aca="false">IF(Matrice_OD!F53&lt;=Param!$B$2,3_Huff!F53*3_Huff!F$139*1_Friction!F53,0)</f>
        <v>0</v>
      </c>
      <c r="H53" s="43" t="n">
        <f aca="false">IF(Matrice_OD!G53&lt;=Param!$B$2,3_Huff!G53*3_Huff!G$139*1_Friction!G53,0)</f>
        <v>0</v>
      </c>
      <c r="I53" s="43" t="n">
        <f aca="false">IF(Matrice_OD!H53&lt;=Param!$B$2,3_Huff!H53*3_Huff!H$139*1_Friction!H53,0)</f>
        <v>0</v>
      </c>
      <c r="J53" s="43" t="n">
        <f aca="false">IF(Matrice_OD!I53&lt;=Param!$B$2,3_Huff!I53*3_Huff!I$139*1_Friction!I53,0)</f>
        <v>0</v>
      </c>
      <c r="K53" s="43" t="n">
        <f aca="false">IF(Matrice_OD!J53&lt;=Param!$B$2,3_Huff!J53*3_Huff!J$139*1_Friction!J53,0)</f>
        <v>0</v>
      </c>
      <c r="L53" s="43" t="n">
        <f aca="false">IF(Matrice_OD!K53&lt;=Param!$B$2,3_Huff!K53*3_Huff!K$139*1_Friction!K53,0)</f>
        <v>0</v>
      </c>
      <c r="M53" s="43" t="n">
        <f aca="false">IF(Matrice_OD!L53&lt;=Param!$B$2,3_Huff!L53*3_Huff!L$139*1_Friction!L53,0)</f>
        <v>0</v>
      </c>
      <c r="N53" s="43" t="n">
        <f aca="false">IF(Matrice_OD!M53&lt;=Param!$B$2,3_Huff!M53*3_Huff!M$139*1_Friction!M53,0)</f>
        <v>0</v>
      </c>
      <c r="O53" s="43" t="n">
        <f aca="false">IF(Matrice_OD!N53&lt;=Param!$B$2,3_Huff!N53*3_Huff!N$139*1_Friction!N53,0)</f>
        <v>0</v>
      </c>
      <c r="P53" s="43" t="n">
        <f aca="false">IF(Matrice_OD!O53&lt;=Param!$B$2,3_Huff!O53*3_Huff!O$139*1_Friction!O53,0)</f>
        <v>0</v>
      </c>
      <c r="Q53" s="43" t="n">
        <f aca="false">IF(Matrice_OD!P53&lt;=Param!$B$2,3_Huff!P53*3_Huff!P$139*1_Friction!P53,0)</f>
        <v>0</v>
      </c>
      <c r="R53" s="43" t="n">
        <f aca="false">IF(Matrice_OD!Q53&lt;=Param!$B$2,3_Huff!Q53*3_Huff!Q$139*1_Friction!Q53,0)</f>
        <v>0</v>
      </c>
      <c r="S53" s="43" t="n">
        <f aca="false">IF(Matrice_OD!R53&lt;=Param!$B$2,3_Huff!R53*3_Huff!R$139*1_Friction!R53,0)</f>
        <v>0</v>
      </c>
      <c r="T53" s="43" t="n">
        <f aca="false">IF(Matrice_OD!S53&lt;=Param!$B$2,3_Huff!S53*3_Huff!S$139*1_Friction!S53,0)</f>
        <v>0</v>
      </c>
      <c r="U53" s="43" t="n">
        <f aca="false">IF(Matrice_OD!T53&lt;=Param!$B$2,3_Huff!T53*3_Huff!T$139*1_Friction!T53,0)</f>
        <v>0</v>
      </c>
      <c r="V53" s="43" t="n">
        <f aca="false">IF(Matrice_OD!U53&lt;=Param!$B$2,3_Huff!U53*3_Huff!U$139*1_Friction!U53,0)</f>
        <v>0</v>
      </c>
      <c r="W53" s="43" t="n">
        <f aca="false">IF(Matrice_OD!V53&lt;=Param!$B$2,3_Huff!V53*3_Huff!V$139*1_Friction!V53,0)</f>
        <v>0</v>
      </c>
      <c r="X53" s="43" t="n">
        <f aca="false">IF(Matrice_OD!W53&lt;=Param!$B$2,3_Huff!W53*3_Huff!W$139*1_Friction!W53,0)</f>
        <v>0</v>
      </c>
      <c r="Y53" s="43" t="n">
        <f aca="false">IF(Matrice_OD!X53&lt;=Param!$B$2,3_Huff!X53*3_Huff!X$139*1_Friction!X53,0)</f>
        <v>0</v>
      </c>
      <c r="Z53" s="43" t="n">
        <f aca="false">IF(Matrice_OD!Y53&lt;=Param!$B$2,3_Huff!Y53*3_Huff!Y$139*1_Friction!Y53,0)</f>
        <v>0</v>
      </c>
      <c r="AA53" s="43" t="n">
        <f aca="false">IF(Matrice_OD!Z53&lt;=Param!$B$2,3_Huff!Z53*3_Huff!Z$139*1_Friction!Z53,0)</f>
        <v>0</v>
      </c>
      <c r="AB53" s="43" t="n">
        <f aca="false">IF(Matrice_OD!AA53&lt;=Param!$B$2,3_Huff!AA53*3_Huff!AA$139*1_Friction!AA53,0)</f>
        <v>0</v>
      </c>
      <c r="AC53" s="43" t="n">
        <f aca="false">IF(Matrice_OD!AB53&lt;=Param!$B$2,3_Huff!AB53*3_Huff!AB$139*1_Friction!AB53,0)</f>
        <v>0</v>
      </c>
      <c r="AD53" s="43" t="n">
        <f aca="false">IF(Matrice_OD!AC53&lt;=Param!$B$2,3_Huff!AC53*3_Huff!AC$139*1_Friction!AC53,0)</f>
        <v>0</v>
      </c>
      <c r="AE53" s="43" t="n">
        <f aca="false">IF(Matrice_OD!AD53&lt;=Param!$B$2,3_Huff!AD53*3_Huff!AD$139*1_Friction!AD53,0)</f>
        <v>0</v>
      </c>
      <c r="AF53" s="43" t="n">
        <f aca="false">IF(Matrice_OD!AE53&lt;=Param!$B$2,3_Huff!AE53*3_Huff!AE$139*1_Friction!AE53,0)</f>
        <v>0</v>
      </c>
      <c r="AG53" s="43" t="n">
        <f aca="false">IF(Matrice_OD!AF53&lt;=Param!$B$2,3_Huff!AF53*3_Huff!AF$139*1_Friction!AF53,0)</f>
        <v>0</v>
      </c>
      <c r="AH53" s="43" t="n">
        <f aca="false">IF(Matrice_OD!AG53&lt;=Param!$B$2,3_Huff!AG53*3_Huff!AG$139*1_Friction!AG53,0)</f>
        <v>0</v>
      </c>
      <c r="AI53" s="43" t="n">
        <f aca="false">IF(Matrice_OD!AH53&lt;=Param!$B$2,3_Huff!AH53*3_Huff!AH$139*1_Friction!AH53,0)</f>
        <v>0</v>
      </c>
      <c r="AJ53" s="43" t="n">
        <f aca="false">IF(Matrice_OD!AI53&lt;=Param!$B$2,3_Huff!AI53*3_Huff!AI$139*1_Friction!AI53,0)</f>
        <v>0</v>
      </c>
      <c r="AK53" s="43" t="n">
        <f aca="false">IF(Matrice_OD!AJ53&lt;=Param!$B$2,3_Huff!AJ53*3_Huff!AJ$139*1_Friction!AJ53,0)</f>
        <v>0</v>
      </c>
      <c r="AL53" s="43" t="n">
        <f aca="false">IF(Matrice_OD!AK53&lt;=Param!$B$2,3_Huff!AK53*3_Huff!AK$139*1_Friction!AK53,0)</f>
        <v>0</v>
      </c>
      <c r="AM53" s="0" t="n">
        <f aca="false">IF(Matrice_OD!AL53&lt;=Param!$B$2,3_Huff!AL53*3_Huff!AL$139*1_Friction!AL53,0)</f>
        <v>0</v>
      </c>
      <c r="AN53" s="0" t="n">
        <f aca="false">IF(Matrice_OD!AM53&lt;=Param!$B$2,3_Huff!AM53*3_Huff!AM$139*1_Friction!AM53,0)</f>
        <v>0</v>
      </c>
      <c r="AO53" s="0" t="n">
        <f aca="false">IF(Matrice_OD!AN53&lt;=Param!$B$2,3_Huff!AN53*3_Huff!AN$139*1_Friction!AN53,0)</f>
        <v>0.000106066128533931</v>
      </c>
      <c r="AP53" s="49" t="n">
        <f aca="false">SUM(D53:AO53)</f>
        <v>0.000106066128533931</v>
      </c>
      <c r="AQ53" s="43" t="n">
        <f aca="false">AP53*1000</f>
        <v>0.106066128533931</v>
      </c>
      <c r="AR53" s="43" t="n">
        <f aca="false">RANK(AP53,AP$2:AP$136,0)</f>
        <v>67</v>
      </c>
      <c r="AS53" s="43" t="n">
        <f aca="false">COUNTIF(Matrice_OD!$C53:$AN53,"&lt;="&amp;Param!$B$2)</f>
        <v>1</v>
      </c>
    </row>
    <row r="54" customFormat="false" ht="15" hidden="false" customHeight="true" outlineLevel="0" collapsed="false">
      <c r="A54" s="0" t="s">
        <v>206</v>
      </c>
      <c r="B54" s="0" t="s">
        <v>207</v>
      </c>
      <c r="C54" s="0" t="n">
        <f aca="false">Demande!C54</f>
        <v>3976</v>
      </c>
      <c r="D54" s="43" t="n">
        <f aca="false">IF(Matrice_OD!C54&lt;=Param!$B$2,3_Huff!C54*3_Huff!C$139*1_Friction!C54,0)</f>
        <v>0</v>
      </c>
      <c r="E54" s="43" t="n">
        <f aca="false">IF(Matrice_OD!D54&lt;=Param!$B$2,3_Huff!D54*3_Huff!D$139*1_Friction!D54,0)</f>
        <v>0</v>
      </c>
      <c r="F54" s="43" t="n">
        <f aca="false">IF(Matrice_OD!E54&lt;=Param!$B$2,3_Huff!E54*3_Huff!E$139*1_Friction!E54,0)</f>
        <v>0</v>
      </c>
      <c r="G54" s="43" t="n">
        <f aca="false">IF(Matrice_OD!F54&lt;=Param!$B$2,3_Huff!F54*3_Huff!F$139*1_Friction!F54,0)</f>
        <v>0</v>
      </c>
      <c r="H54" s="43" t="n">
        <f aca="false">IF(Matrice_OD!G54&lt;=Param!$B$2,3_Huff!G54*3_Huff!G$139*1_Friction!G54,0)</f>
        <v>0</v>
      </c>
      <c r="I54" s="43" t="n">
        <f aca="false">IF(Matrice_OD!H54&lt;=Param!$B$2,3_Huff!H54*3_Huff!H$139*1_Friction!H54,0)</f>
        <v>0</v>
      </c>
      <c r="J54" s="43" t="n">
        <f aca="false">IF(Matrice_OD!I54&lt;=Param!$B$2,3_Huff!I54*3_Huff!I$139*1_Friction!I54,0)</f>
        <v>0</v>
      </c>
      <c r="K54" s="43" t="n">
        <f aca="false">IF(Matrice_OD!J54&lt;=Param!$B$2,3_Huff!J54*3_Huff!J$139*1_Friction!J54,0)</f>
        <v>0</v>
      </c>
      <c r="L54" s="43" t="n">
        <f aca="false">IF(Matrice_OD!K54&lt;=Param!$B$2,3_Huff!K54*3_Huff!K$139*1_Friction!K54,0)</f>
        <v>0</v>
      </c>
      <c r="M54" s="43" t="n">
        <f aca="false">IF(Matrice_OD!L54&lt;=Param!$B$2,3_Huff!L54*3_Huff!L$139*1_Friction!L54,0)</f>
        <v>0</v>
      </c>
      <c r="N54" s="43" t="n">
        <f aca="false">IF(Matrice_OD!M54&lt;=Param!$B$2,3_Huff!M54*3_Huff!M$139*1_Friction!M54,0)</f>
        <v>0</v>
      </c>
      <c r="O54" s="43" t="n">
        <f aca="false">IF(Matrice_OD!N54&lt;=Param!$B$2,3_Huff!N54*3_Huff!N$139*1_Friction!N54,0)</f>
        <v>0</v>
      </c>
      <c r="P54" s="43" t="n">
        <f aca="false">IF(Matrice_OD!O54&lt;=Param!$B$2,3_Huff!O54*3_Huff!O$139*1_Friction!O54,0)</f>
        <v>0</v>
      </c>
      <c r="Q54" s="43" t="n">
        <f aca="false">IF(Matrice_OD!P54&lt;=Param!$B$2,3_Huff!P54*3_Huff!P$139*1_Friction!P54,0)</f>
        <v>0</v>
      </c>
      <c r="R54" s="43" t="n">
        <f aca="false">IF(Matrice_OD!Q54&lt;=Param!$B$2,3_Huff!Q54*3_Huff!Q$139*1_Friction!Q54,0)</f>
        <v>0</v>
      </c>
      <c r="S54" s="43" t="n">
        <f aca="false">IF(Matrice_OD!R54&lt;=Param!$B$2,3_Huff!R54*3_Huff!R$139*1_Friction!R54,0)</f>
        <v>0</v>
      </c>
      <c r="T54" s="43" t="n">
        <f aca="false">IF(Matrice_OD!S54&lt;=Param!$B$2,3_Huff!S54*3_Huff!S$139*1_Friction!S54,0)</f>
        <v>0</v>
      </c>
      <c r="U54" s="43" t="n">
        <f aca="false">IF(Matrice_OD!T54&lt;=Param!$B$2,3_Huff!T54*3_Huff!T$139*1_Friction!T54,0)</f>
        <v>0</v>
      </c>
      <c r="V54" s="43" t="n">
        <f aca="false">IF(Matrice_OD!U54&lt;=Param!$B$2,3_Huff!U54*3_Huff!U$139*1_Friction!U54,0)</f>
        <v>0</v>
      </c>
      <c r="W54" s="43" t="n">
        <f aca="false">IF(Matrice_OD!V54&lt;=Param!$B$2,3_Huff!V54*3_Huff!V$139*1_Friction!V54,0)</f>
        <v>0</v>
      </c>
      <c r="X54" s="43" t="n">
        <f aca="false">IF(Matrice_OD!W54&lt;=Param!$B$2,3_Huff!W54*3_Huff!W$139*1_Friction!W54,0)</f>
        <v>0</v>
      </c>
      <c r="Y54" s="43" t="n">
        <f aca="false">IF(Matrice_OD!X54&lt;=Param!$B$2,3_Huff!X54*3_Huff!X$139*1_Friction!X54,0)</f>
        <v>0</v>
      </c>
      <c r="Z54" s="43" t="n">
        <f aca="false">IF(Matrice_OD!Y54&lt;=Param!$B$2,3_Huff!Y54*3_Huff!Y$139*1_Friction!Y54,0)</f>
        <v>0</v>
      </c>
      <c r="AA54" s="43" t="n">
        <f aca="false">IF(Matrice_OD!Z54&lt;=Param!$B$2,3_Huff!Z54*3_Huff!Z$139*1_Friction!Z54,0)</f>
        <v>0</v>
      </c>
      <c r="AB54" s="43" t="n">
        <f aca="false">IF(Matrice_OD!AA54&lt;=Param!$B$2,3_Huff!AA54*3_Huff!AA$139*1_Friction!AA54,0)</f>
        <v>0</v>
      </c>
      <c r="AC54" s="43" t="n">
        <f aca="false">IF(Matrice_OD!AB54&lt;=Param!$B$2,3_Huff!AB54*3_Huff!AB$139*1_Friction!AB54,0)</f>
        <v>0</v>
      </c>
      <c r="AD54" s="43" t="n">
        <f aca="false">IF(Matrice_OD!AC54&lt;=Param!$B$2,3_Huff!AC54*3_Huff!AC$139*1_Friction!AC54,0)</f>
        <v>0</v>
      </c>
      <c r="AE54" s="43" t="n">
        <f aca="false">IF(Matrice_OD!AD54&lt;=Param!$B$2,3_Huff!AD54*3_Huff!AD$139*1_Friction!AD54,0)</f>
        <v>0</v>
      </c>
      <c r="AF54" s="43" t="n">
        <f aca="false">IF(Matrice_OD!AE54&lt;=Param!$B$2,3_Huff!AE54*3_Huff!AE$139*1_Friction!AE54,0)</f>
        <v>0</v>
      </c>
      <c r="AG54" s="43" t="n">
        <f aca="false">IF(Matrice_OD!AF54&lt;=Param!$B$2,3_Huff!AF54*3_Huff!AF$139*1_Friction!AF54,0)</f>
        <v>0</v>
      </c>
      <c r="AH54" s="43" t="n">
        <f aca="false">IF(Matrice_OD!AG54&lt;=Param!$B$2,3_Huff!AG54*3_Huff!AG$139*1_Friction!AG54,0)</f>
        <v>0</v>
      </c>
      <c r="AI54" s="43" t="n">
        <f aca="false">IF(Matrice_OD!AH54&lt;=Param!$B$2,3_Huff!AH54*3_Huff!AH$139*1_Friction!AH54,0)</f>
        <v>0</v>
      </c>
      <c r="AJ54" s="43" t="n">
        <f aca="false">IF(Matrice_OD!AI54&lt;=Param!$B$2,3_Huff!AI54*3_Huff!AI$139*1_Friction!AI54,0)</f>
        <v>0</v>
      </c>
      <c r="AK54" s="43" t="n">
        <f aca="false">IF(Matrice_OD!AJ54&lt;=Param!$B$2,3_Huff!AJ54*3_Huff!AJ$139*1_Friction!AJ54,0)</f>
        <v>0</v>
      </c>
      <c r="AL54" s="43" t="n">
        <f aca="false">IF(Matrice_OD!AK54&lt;=Param!$B$2,3_Huff!AK54*3_Huff!AK$139*1_Friction!AK54,0)</f>
        <v>0</v>
      </c>
      <c r="AM54" s="0" t="n">
        <f aca="false">IF(Matrice_OD!AL54&lt;=Param!$B$2,3_Huff!AL54*3_Huff!AL$139*1_Friction!AL54,0)</f>
        <v>0</v>
      </c>
      <c r="AN54" s="0" t="n">
        <f aca="false">IF(Matrice_OD!AM54&lt;=Param!$B$2,3_Huff!AM54*3_Huff!AM$139*1_Friction!AM54,0)</f>
        <v>0</v>
      </c>
      <c r="AO54" s="0" t="n">
        <f aca="false">IF(Matrice_OD!AN54&lt;=Param!$B$2,3_Huff!AN54*3_Huff!AN$139*1_Friction!AN54,0)</f>
        <v>0</v>
      </c>
      <c r="AP54" s="48" t="n">
        <f aca="false">SUM(D54:AO54)</f>
        <v>0</v>
      </c>
      <c r="AQ54" s="43" t="n">
        <f aca="false">AP54*1000</f>
        <v>0</v>
      </c>
      <c r="AR54" s="43" t="n">
        <f aca="false">RANK(AP54,AP$2:AP$136,0)</f>
        <v>123</v>
      </c>
      <c r="AS54" s="43" t="n">
        <f aca="false">COUNTIF(Matrice_OD!$C54:$AN54,"&lt;="&amp;Param!$B$2)</f>
        <v>0</v>
      </c>
    </row>
    <row r="55" customFormat="false" ht="15" hidden="false" customHeight="true" outlineLevel="0" collapsed="false">
      <c r="A55" s="0" t="s">
        <v>208</v>
      </c>
      <c r="B55" s="0" t="s">
        <v>209</v>
      </c>
      <c r="C55" s="0" t="n">
        <f aca="false">Demande!C55</f>
        <v>4605</v>
      </c>
      <c r="D55" s="43" t="n">
        <f aca="false">IF(Matrice_OD!C55&lt;=Param!$B$2,3_Huff!C55*3_Huff!C$139*1_Friction!C55,0)</f>
        <v>1.57118735697456E-006</v>
      </c>
      <c r="E55" s="43" t="n">
        <f aca="false">IF(Matrice_OD!D55&lt;=Param!$B$2,3_Huff!D55*3_Huff!D$139*1_Friction!D55,0)</f>
        <v>1.22393673819988E-006</v>
      </c>
      <c r="F55" s="43" t="n">
        <f aca="false">IF(Matrice_OD!E55&lt;=Param!$B$2,3_Huff!E55*3_Huff!E$139*1_Friction!E55,0)</f>
        <v>1.13840767679303E-005</v>
      </c>
      <c r="G55" s="43" t="n">
        <f aca="false">IF(Matrice_OD!F55&lt;=Param!$B$2,3_Huff!F55*3_Huff!F$139*1_Friction!F55,0)</f>
        <v>2.00500464331257E-006</v>
      </c>
      <c r="H55" s="43" t="n">
        <f aca="false">IF(Matrice_OD!G55&lt;=Param!$B$2,3_Huff!G55*3_Huff!G$139*1_Friction!G55,0)</f>
        <v>5.41405838939523E-006</v>
      </c>
      <c r="I55" s="43" t="n">
        <f aca="false">IF(Matrice_OD!H55&lt;=Param!$B$2,3_Huff!H55*3_Huff!H$139*1_Friction!H55,0)</f>
        <v>1.0888757035193E-006</v>
      </c>
      <c r="J55" s="43" t="n">
        <f aca="false">IF(Matrice_OD!I55&lt;=Param!$B$2,3_Huff!I55*3_Huff!I$139*1_Friction!I55,0)</f>
        <v>2.51195756923749E-006</v>
      </c>
      <c r="K55" s="43" t="n">
        <f aca="false">IF(Matrice_OD!J55&lt;=Param!$B$2,3_Huff!J55*3_Huff!J$139*1_Friction!J55,0)</f>
        <v>1.970884754138E-006</v>
      </c>
      <c r="L55" s="43" t="n">
        <f aca="false">IF(Matrice_OD!K55&lt;=Param!$B$2,3_Huff!K55*3_Huff!K$139*1_Friction!K55,0)</f>
        <v>1.21879087351085E-006</v>
      </c>
      <c r="M55" s="43" t="n">
        <f aca="false">IF(Matrice_OD!L55&lt;=Param!$B$2,3_Huff!L55*3_Huff!L$139*1_Friction!L55,0)</f>
        <v>1.16398923946722E-006</v>
      </c>
      <c r="N55" s="43" t="n">
        <f aca="false">IF(Matrice_OD!M55&lt;=Param!$B$2,3_Huff!M55*3_Huff!M$139*1_Friction!M55,0)</f>
        <v>6.04595224300509E-006</v>
      </c>
      <c r="O55" s="43" t="n">
        <f aca="false">IF(Matrice_OD!N55&lt;=Param!$B$2,3_Huff!N55*3_Huff!N$139*1_Friction!N55,0)</f>
        <v>8.3368806992077E-007</v>
      </c>
      <c r="P55" s="43" t="n">
        <f aca="false">IF(Matrice_OD!O55&lt;=Param!$B$2,3_Huff!O55*3_Huff!O$139*1_Friction!O55,0)</f>
        <v>2.61851494094276E-006</v>
      </c>
      <c r="Q55" s="43" t="n">
        <f aca="false">IF(Matrice_OD!P55&lt;=Param!$B$2,3_Huff!P55*3_Huff!P$139*1_Friction!P55,0)</f>
        <v>1.24736903090287E-006</v>
      </c>
      <c r="R55" s="43" t="n">
        <f aca="false">IF(Matrice_OD!Q55&lt;=Param!$B$2,3_Huff!Q55*3_Huff!Q$139*1_Friction!Q55,0)</f>
        <v>1.0539333468621E-005</v>
      </c>
      <c r="S55" s="43" t="n">
        <f aca="false">IF(Matrice_OD!R55&lt;=Param!$B$2,3_Huff!R55*3_Huff!R$139*1_Friction!R55,0)</f>
        <v>1.39155455988424E-006</v>
      </c>
      <c r="T55" s="43" t="n">
        <f aca="false">IF(Matrice_OD!S55&lt;=Param!$B$2,3_Huff!S55*3_Huff!S$139*1_Friction!S55,0)</f>
        <v>1.01843640641007E-006</v>
      </c>
      <c r="U55" s="43" t="n">
        <f aca="false">IF(Matrice_OD!T55&lt;=Param!$B$2,3_Huff!T55*3_Huff!T$139*1_Friction!T55,0)</f>
        <v>2.32087006321744E-008</v>
      </c>
      <c r="V55" s="43" t="n">
        <f aca="false">IF(Matrice_OD!U55&lt;=Param!$B$2,3_Huff!U55*3_Huff!U$139*1_Friction!U55,0)</f>
        <v>0</v>
      </c>
      <c r="W55" s="43" t="n">
        <f aca="false">IF(Matrice_OD!V55&lt;=Param!$B$2,3_Huff!V55*3_Huff!V$139*1_Friction!V55,0)</f>
        <v>0</v>
      </c>
      <c r="X55" s="43" t="n">
        <f aca="false">IF(Matrice_OD!W55&lt;=Param!$B$2,3_Huff!W55*3_Huff!W$139*1_Friction!W55,0)</f>
        <v>0</v>
      </c>
      <c r="Y55" s="43" t="n">
        <f aca="false">IF(Matrice_OD!X55&lt;=Param!$B$2,3_Huff!X55*3_Huff!X$139*1_Friction!X55,0)</f>
        <v>0</v>
      </c>
      <c r="Z55" s="43" t="n">
        <f aca="false">IF(Matrice_OD!Y55&lt;=Param!$B$2,3_Huff!Y55*3_Huff!Y$139*1_Friction!Y55,0)</f>
        <v>0</v>
      </c>
      <c r="AA55" s="43" t="n">
        <f aca="false">IF(Matrice_OD!Z55&lt;=Param!$B$2,3_Huff!Z55*3_Huff!Z$139*1_Friction!Z55,0)</f>
        <v>0</v>
      </c>
      <c r="AB55" s="43" t="n">
        <f aca="false">IF(Matrice_OD!AA55&lt;=Param!$B$2,3_Huff!AA55*3_Huff!AA$139*1_Friction!AA55,0)</f>
        <v>0</v>
      </c>
      <c r="AC55" s="43" t="n">
        <f aca="false">IF(Matrice_OD!AB55&lt;=Param!$B$2,3_Huff!AB55*3_Huff!AB$139*1_Friction!AB55,0)</f>
        <v>0</v>
      </c>
      <c r="AD55" s="43" t="n">
        <f aca="false">IF(Matrice_OD!AC55&lt;=Param!$B$2,3_Huff!AC55*3_Huff!AC$139*1_Friction!AC55,0)</f>
        <v>0</v>
      </c>
      <c r="AE55" s="43" t="n">
        <f aca="false">IF(Matrice_OD!AD55&lt;=Param!$B$2,3_Huff!AD55*3_Huff!AD$139*1_Friction!AD55,0)</f>
        <v>0</v>
      </c>
      <c r="AF55" s="43" t="n">
        <f aca="false">IF(Matrice_OD!AE55&lt;=Param!$B$2,3_Huff!AE55*3_Huff!AE$139*1_Friction!AE55,0)</f>
        <v>0</v>
      </c>
      <c r="AG55" s="43" t="n">
        <f aca="false">IF(Matrice_OD!AF55&lt;=Param!$B$2,3_Huff!AF55*3_Huff!AF$139*1_Friction!AF55,0)</f>
        <v>0</v>
      </c>
      <c r="AH55" s="43" t="n">
        <f aca="false">IF(Matrice_OD!AG55&lt;=Param!$B$2,3_Huff!AG55*3_Huff!AG$139*1_Friction!AG55,0)</f>
        <v>7.34845304638832E-006</v>
      </c>
      <c r="AI55" s="43" t="n">
        <f aca="false">IF(Matrice_OD!AH55&lt;=Param!$B$2,3_Huff!AH55*3_Huff!AH$139*1_Friction!AH55,0)</f>
        <v>2.96284612800166E-006</v>
      </c>
      <c r="AJ55" s="43" t="n">
        <f aca="false">IF(Matrice_OD!AI55&lt;=Param!$B$2,3_Huff!AI55*3_Huff!AI$139*1_Friction!AI55,0)</f>
        <v>1.37252025900988E-008</v>
      </c>
      <c r="AK55" s="43" t="n">
        <f aca="false">IF(Matrice_OD!AJ55&lt;=Param!$B$2,3_Huff!AJ55*3_Huff!AJ$139*1_Friction!AJ55,0)</f>
        <v>0</v>
      </c>
      <c r="AL55" s="43" t="n">
        <f aca="false">IF(Matrice_OD!AK55&lt;=Param!$B$2,3_Huff!AK55*3_Huff!AK$139*1_Friction!AK55,0)</f>
        <v>0</v>
      </c>
      <c r="AM55" s="0" t="n">
        <f aca="false">IF(Matrice_OD!AL55&lt;=Param!$B$2,3_Huff!AL55*3_Huff!AL$139*1_Friction!AL55,0)</f>
        <v>0</v>
      </c>
      <c r="AN55" s="0" t="n">
        <f aca="false">IF(Matrice_OD!AM55&lt;=Param!$B$2,3_Huff!AM55*3_Huff!AM$139*1_Friction!AM55,0)</f>
        <v>3.35332380253769E-006</v>
      </c>
      <c r="AO55" s="0" t="n">
        <f aca="false">IF(Matrice_OD!AN55&lt;=Param!$B$2,3_Huff!AN55*3_Huff!AN$139*1_Friction!AN55,0)</f>
        <v>0</v>
      </c>
      <c r="AP55" s="49" t="n">
        <f aca="false">SUM(D55:AO55)</f>
        <v>6.69491676355221E-005</v>
      </c>
      <c r="AQ55" s="43" t="n">
        <f aca="false">AP55*1000</f>
        <v>0.0669491676355221</v>
      </c>
      <c r="AR55" s="43" t="n">
        <f aca="false">RANK(AP55,AP$2:AP$136,0)</f>
        <v>84</v>
      </c>
      <c r="AS55" s="43" t="n">
        <f aca="false">COUNTIF(Matrice_OD!$C55:$AN55,"&lt;="&amp;Param!$B$2)</f>
        <v>22</v>
      </c>
    </row>
    <row r="56" customFormat="false" ht="15" hidden="false" customHeight="true" outlineLevel="0" collapsed="false">
      <c r="A56" s="0" t="s">
        <v>210</v>
      </c>
      <c r="B56" s="0" t="s">
        <v>211</v>
      </c>
      <c r="C56" s="0" t="n">
        <f aca="false">Demande!C56</f>
        <v>1464</v>
      </c>
      <c r="D56" s="43" t="n">
        <f aca="false">IF(Matrice_OD!C56&lt;=Param!$B$2,3_Huff!C56*3_Huff!C$139*1_Friction!C56,0)</f>
        <v>1.166486764411E-007</v>
      </c>
      <c r="E56" s="43" t="n">
        <f aca="false">IF(Matrice_OD!D56&lt;=Param!$B$2,3_Huff!D56*3_Huff!D$139*1_Friction!D56,0)</f>
        <v>1.55834354235415E-006</v>
      </c>
      <c r="F56" s="43" t="n">
        <f aca="false">IF(Matrice_OD!E56&lt;=Param!$B$2,3_Huff!E56*3_Huff!E$139*1_Friction!E56,0)</f>
        <v>1.85074503784628E-005</v>
      </c>
      <c r="G56" s="43" t="n">
        <f aca="false">IF(Matrice_OD!F56&lt;=Param!$B$2,3_Huff!F56*3_Huff!F$139*1_Friction!F56,0)</f>
        <v>3.77680322413067E-006</v>
      </c>
      <c r="H56" s="43" t="n">
        <f aca="false">IF(Matrice_OD!G56&lt;=Param!$B$2,3_Huff!G56*3_Huff!G$139*1_Friction!G56,0)</f>
        <v>1.1413673410363E-005</v>
      </c>
      <c r="I56" s="43" t="n">
        <f aca="false">IF(Matrice_OD!H56&lt;=Param!$B$2,3_Huff!H56*3_Huff!H$139*1_Friction!H56,0)</f>
        <v>2.69045359055322E-006</v>
      </c>
      <c r="J56" s="43" t="n">
        <f aca="false">IF(Matrice_OD!I56&lt;=Param!$B$2,3_Huff!I56*3_Huff!I$139*1_Friction!I56,0)</f>
        <v>7.20558875884039E-006</v>
      </c>
      <c r="K56" s="43" t="n">
        <f aca="false">IF(Matrice_OD!J56&lt;=Param!$B$2,3_Huff!J56*3_Huff!J$139*1_Friction!J56,0)</f>
        <v>5.46895349194543E-006</v>
      </c>
      <c r="L56" s="43" t="n">
        <f aca="false">IF(Matrice_OD!K56&lt;=Param!$B$2,3_Huff!K56*3_Huff!K$139*1_Friction!K56,0)</f>
        <v>3.21370947627654E-006</v>
      </c>
      <c r="M56" s="43" t="n">
        <f aca="false">IF(Matrice_OD!L56&lt;=Param!$B$2,3_Huff!L56*3_Huff!L$139*1_Friction!L56,0)</f>
        <v>3.88210496967495E-006</v>
      </c>
      <c r="N56" s="43" t="n">
        <f aca="false">IF(Matrice_OD!M56&lt;=Param!$B$2,3_Huff!M56*3_Huff!M$139*1_Friction!M56,0)</f>
        <v>1.57613223306207E-005</v>
      </c>
      <c r="O56" s="43" t="n">
        <f aca="false">IF(Matrice_OD!N56&lt;=Param!$B$2,3_Huff!N56*3_Huff!N$139*1_Friction!N56,0)</f>
        <v>2.27219241336456E-006</v>
      </c>
      <c r="P56" s="43" t="n">
        <f aca="false">IF(Matrice_OD!O56&lt;=Param!$B$2,3_Huff!O56*3_Huff!O$139*1_Friction!O56,0)</f>
        <v>9.18687243613464E-006</v>
      </c>
      <c r="Q56" s="43" t="n">
        <f aca="false">IF(Matrice_OD!P56&lt;=Param!$B$2,3_Huff!P56*3_Huff!P$139*1_Friction!P56,0)</f>
        <v>4.20120628875027E-006</v>
      </c>
      <c r="R56" s="43" t="n">
        <f aca="false">IF(Matrice_OD!Q56&lt;=Param!$B$2,3_Huff!Q56*3_Huff!Q$139*1_Friction!Q56,0)</f>
        <v>4.10340695818605E-005</v>
      </c>
      <c r="S56" s="43" t="n">
        <f aca="false">IF(Matrice_OD!R56&lt;=Param!$B$2,3_Huff!R56*3_Huff!R$139*1_Friction!R56,0)</f>
        <v>4.8497685926238E-006</v>
      </c>
      <c r="T56" s="43" t="n">
        <f aca="false">IF(Matrice_OD!S56&lt;=Param!$B$2,3_Huff!S56*3_Huff!S$139*1_Friction!S56,0)</f>
        <v>4.23714918675092E-006</v>
      </c>
      <c r="U56" s="43" t="n">
        <f aca="false">IF(Matrice_OD!T56&lt;=Param!$B$2,3_Huff!T56*3_Huff!T$139*1_Friction!T56,0)</f>
        <v>1.02527669556344E-008</v>
      </c>
      <c r="V56" s="43" t="n">
        <f aca="false">IF(Matrice_OD!U56&lt;=Param!$B$2,3_Huff!U56*3_Huff!U$139*1_Friction!U56,0)</f>
        <v>0</v>
      </c>
      <c r="W56" s="43" t="n">
        <f aca="false">IF(Matrice_OD!V56&lt;=Param!$B$2,3_Huff!V56*3_Huff!V$139*1_Friction!V56,0)</f>
        <v>0</v>
      </c>
      <c r="X56" s="43" t="n">
        <f aca="false">IF(Matrice_OD!W56&lt;=Param!$B$2,3_Huff!W56*3_Huff!W$139*1_Friction!W56,0)</f>
        <v>0</v>
      </c>
      <c r="Y56" s="43" t="n">
        <f aca="false">IF(Matrice_OD!X56&lt;=Param!$B$2,3_Huff!X56*3_Huff!X$139*1_Friction!X56,0)</f>
        <v>0</v>
      </c>
      <c r="Z56" s="43" t="n">
        <f aca="false">IF(Matrice_OD!Y56&lt;=Param!$B$2,3_Huff!Y56*3_Huff!Y$139*1_Friction!Y56,0)</f>
        <v>0</v>
      </c>
      <c r="AA56" s="43" t="n">
        <f aca="false">IF(Matrice_OD!Z56&lt;=Param!$B$2,3_Huff!Z56*3_Huff!Z$139*1_Friction!Z56,0)</f>
        <v>0</v>
      </c>
      <c r="AB56" s="43" t="n">
        <f aca="false">IF(Matrice_OD!AA56&lt;=Param!$B$2,3_Huff!AA56*3_Huff!AA$139*1_Friction!AA56,0)</f>
        <v>0</v>
      </c>
      <c r="AC56" s="43" t="n">
        <f aca="false">IF(Matrice_OD!AB56&lt;=Param!$B$2,3_Huff!AB56*3_Huff!AB$139*1_Friction!AB56,0)</f>
        <v>0</v>
      </c>
      <c r="AD56" s="43" t="n">
        <f aca="false">IF(Matrice_OD!AC56&lt;=Param!$B$2,3_Huff!AC56*3_Huff!AC$139*1_Friction!AC56,0)</f>
        <v>0</v>
      </c>
      <c r="AE56" s="43" t="n">
        <f aca="false">IF(Matrice_OD!AD56&lt;=Param!$B$2,3_Huff!AD56*3_Huff!AD$139*1_Friction!AD56,0)</f>
        <v>0</v>
      </c>
      <c r="AF56" s="43" t="n">
        <f aca="false">IF(Matrice_OD!AE56&lt;=Param!$B$2,3_Huff!AE56*3_Huff!AE$139*1_Friction!AE56,0)</f>
        <v>0</v>
      </c>
      <c r="AG56" s="43" t="n">
        <f aca="false">IF(Matrice_OD!AF56&lt;=Param!$B$2,3_Huff!AF56*3_Huff!AF$139*1_Friction!AF56,0)</f>
        <v>0</v>
      </c>
      <c r="AH56" s="43" t="n">
        <f aca="false">IF(Matrice_OD!AG56&lt;=Param!$B$2,3_Huff!AG56*3_Huff!AG$139*1_Friction!AG56,0)</f>
        <v>4.14043372397323E-008</v>
      </c>
      <c r="AI56" s="43" t="n">
        <f aca="false">IF(Matrice_OD!AH56&lt;=Param!$B$2,3_Huff!AH56*3_Huff!AH$139*1_Friction!AH56,0)</f>
        <v>1.4490890027869E-005</v>
      </c>
      <c r="AJ56" s="43" t="n">
        <f aca="false">IF(Matrice_OD!AI56&lt;=Param!$B$2,3_Huff!AI56*3_Huff!AI$139*1_Friction!AI56,0)</f>
        <v>3.97682318604131E-009</v>
      </c>
      <c r="AK56" s="43" t="n">
        <f aca="false">IF(Matrice_OD!AJ56&lt;=Param!$B$2,3_Huff!AJ56*3_Huff!AJ$139*1_Friction!AJ56,0)</f>
        <v>0</v>
      </c>
      <c r="AL56" s="43" t="n">
        <f aca="false">IF(Matrice_OD!AK56&lt;=Param!$B$2,3_Huff!AK56*3_Huff!AK$139*1_Friction!AK56,0)</f>
        <v>0</v>
      </c>
      <c r="AM56" s="0" t="n">
        <f aca="false">IF(Matrice_OD!AL56&lt;=Param!$B$2,3_Huff!AL56*3_Huff!AL$139*1_Friction!AL56,0)</f>
        <v>0</v>
      </c>
      <c r="AN56" s="0" t="n">
        <f aca="false">IF(Matrice_OD!AM56&lt;=Param!$B$2,3_Huff!AM56*3_Huff!AM$139*1_Friction!AM56,0)</f>
        <v>2.39373473970536E-007</v>
      </c>
      <c r="AO56" s="0" t="n">
        <f aca="false">IF(Matrice_OD!AN56&lt;=Param!$B$2,3_Huff!AN56*3_Huff!AN$139*1_Friction!AN56,0)</f>
        <v>0</v>
      </c>
      <c r="AP56" s="48" t="n">
        <f aca="false">SUM(D56:AO56)</f>
        <v>0.000154162207778369</v>
      </c>
      <c r="AQ56" s="43" t="n">
        <f aca="false">AP56*1000</f>
        <v>0.154162207778369</v>
      </c>
      <c r="AR56" s="43" t="n">
        <f aca="false">RANK(AP56,AP$2:AP$136,0)</f>
        <v>59</v>
      </c>
      <c r="AS56" s="43" t="n">
        <f aca="false">COUNTIF(Matrice_OD!$C56:$AN56,"&lt;="&amp;Param!$B$2)</f>
        <v>22</v>
      </c>
    </row>
    <row r="57" customFormat="false" ht="15" hidden="false" customHeight="true" outlineLevel="0" collapsed="false">
      <c r="A57" s="0" t="s">
        <v>212</v>
      </c>
      <c r="B57" s="0" t="s">
        <v>213</v>
      </c>
      <c r="C57" s="0" t="n">
        <f aca="false">Demande!C57</f>
        <v>13402</v>
      </c>
      <c r="D57" s="43" t="n">
        <f aca="false">IF(Matrice_OD!C57&lt;=Param!$B$2,3_Huff!C57*3_Huff!C$139*1_Friction!C57,0)</f>
        <v>1.08147592750408E-006</v>
      </c>
      <c r="E57" s="43" t="n">
        <f aca="false">IF(Matrice_OD!D57&lt;=Param!$B$2,3_Huff!D57*3_Huff!D$139*1_Friction!D57,0)</f>
        <v>3.94967789400282E-006</v>
      </c>
      <c r="F57" s="43" t="n">
        <f aca="false">IF(Matrice_OD!E57&lt;=Param!$B$2,3_Huff!E57*3_Huff!E$139*1_Friction!E57,0)</f>
        <v>3.94086704700007E-005</v>
      </c>
      <c r="G57" s="43" t="n">
        <f aca="false">IF(Matrice_OD!F57&lt;=Param!$B$2,3_Huff!F57*3_Huff!F$139*1_Friction!F57,0)</f>
        <v>6.97524353110748E-006</v>
      </c>
      <c r="H57" s="43" t="n">
        <f aca="false">IF(Matrice_OD!G57&lt;=Param!$B$2,3_Huff!G57*3_Huff!G$139*1_Friction!G57,0)</f>
        <v>1.9289729491918E-005</v>
      </c>
      <c r="I57" s="43" t="n">
        <f aca="false">IF(Matrice_OD!H57&lt;=Param!$B$2,3_Huff!H57*3_Huff!H$139*1_Friction!H57,0)</f>
        <v>3.99471868414026E-006</v>
      </c>
      <c r="J57" s="43" t="n">
        <f aca="false">IF(Matrice_OD!I57&lt;=Param!$B$2,3_Huff!I57*3_Huff!I$139*1_Friction!I57,0)</f>
        <v>9.26960292567582E-006</v>
      </c>
      <c r="K57" s="43" t="n">
        <f aca="false">IF(Matrice_OD!J57&lt;=Param!$B$2,3_Huff!J57*3_Huff!J$139*1_Friction!J57,0)</f>
        <v>7.37512222830664E-006</v>
      </c>
      <c r="L57" s="43" t="n">
        <f aca="false">IF(Matrice_OD!K57&lt;=Param!$B$2,3_Huff!K57*3_Huff!K$139*1_Friction!K57,0)</f>
        <v>4.59992620812931E-006</v>
      </c>
      <c r="M57" s="43" t="n">
        <f aca="false">IF(Matrice_OD!L57&lt;=Param!$B$2,3_Huff!L57*3_Huff!L$139*1_Friction!L57,0)</f>
        <v>4.40894103982914E-006</v>
      </c>
      <c r="N57" s="43" t="n">
        <f aca="false">IF(Matrice_OD!M57&lt;=Param!$B$2,3_Huff!M57*3_Huff!M$139*1_Friction!M57,0)</f>
        <v>2.29317082790986E-005</v>
      </c>
      <c r="O57" s="43" t="n">
        <f aca="false">IF(Matrice_OD!N57&lt;=Param!$B$2,3_Huff!N57*3_Huff!N$139*1_Friction!N57,0)</f>
        <v>3.203638688075E-006</v>
      </c>
      <c r="P57" s="43" t="n">
        <f aca="false">IF(Matrice_OD!O57&lt;=Param!$B$2,3_Huff!O57*3_Huff!O$139*1_Friction!O57,0)</f>
        <v>1.00894557491663E-005</v>
      </c>
      <c r="Q57" s="43" t="n">
        <f aca="false">IF(Matrice_OD!P57&lt;=Param!$B$2,3_Huff!P57*3_Huff!P$139*1_Friction!P57,0)</f>
        <v>4.82794383237677E-006</v>
      </c>
      <c r="R57" s="43" t="n">
        <f aca="false">IF(Matrice_OD!Q57&lt;=Param!$B$2,3_Huff!Q57*3_Huff!Q$139*1_Friction!Q57,0)</f>
        <v>4.14028723480752E-005</v>
      </c>
      <c r="S57" s="43" t="n">
        <f aca="false">IF(Matrice_OD!R57&lt;=Param!$B$2,3_Huff!R57*3_Huff!R$139*1_Friction!R57,0)</f>
        <v>5.49868071340552E-006</v>
      </c>
      <c r="T57" s="43" t="n">
        <f aca="false">IF(Matrice_OD!S57&lt;=Param!$B$2,3_Huff!S57*3_Huff!S$139*1_Friction!S57,0)</f>
        <v>4.07535053466345E-006</v>
      </c>
      <c r="U57" s="43" t="n">
        <f aca="false">IF(Matrice_OD!T57&lt;=Param!$B$2,3_Huff!T57*3_Huff!T$139*1_Friction!T57,0)</f>
        <v>1.0626836630532E-007</v>
      </c>
      <c r="V57" s="43" t="n">
        <f aca="false">IF(Matrice_OD!U57&lt;=Param!$B$2,3_Huff!U57*3_Huff!U$139*1_Friction!U57,0)</f>
        <v>0</v>
      </c>
      <c r="W57" s="43" t="n">
        <f aca="false">IF(Matrice_OD!V57&lt;=Param!$B$2,3_Huff!V57*3_Huff!V$139*1_Friction!V57,0)</f>
        <v>0</v>
      </c>
      <c r="X57" s="43" t="n">
        <f aca="false">IF(Matrice_OD!W57&lt;=Param!$B$2,3_Huff!W57*3_Huff!W$139*1_Friction!W57,0)</f>
        <v>0</v>
      </c>
      <c r="Y57" s="43" t="n">
        <f aca="false">IF(Matrice_OD!X57&lt;=Param!$B$2,3_Huff!X57*3_Huff!X$139*1_Friction!X57,0)</f>
        <v>0</v>
      </c>
      <c r="Z57" s="43" t="n">
        <f aca="false">IF(Matrice_OD!Y57&lt;=Param!$B$2,3_Huff!Y57*3_Huff!Y$139*1_Friction!Y57,0)</f>
        <v>0</v>
      </c>
      <c r="AA57" s="43" t="n">
        <f aca="false">IF(Matrice_OD!Z57&lt;=Param!$B$2,3_Huff!Z57*3_Huff!Z$139*1_Friction!Z57,0)</f>
        <v>0</v>
      </c>
      <c r="AB57" s="43" t="n">
        <f aca="false">IF(Matrice_OD!AA57&lt;=Param!$B$2,3_Huff!AA57*3_Huff!AA$139*1_Friction!AA57,0)</f>
        <v>0</v>
      </c>
      <c r="AC57" s="43" t="n">
        <f aca="false">IF(Matrice_OD!AB57&lt;=Param!$B$2,3_Huff!AB57*3_Huff!AB$139*1_Friction!AB57,0)</f>
        <v>0</v>
      </c>
      <c r="AD57" s="43" t="n">
        <f aca="false">IF(Matrice_OD!AC57&lt;=Param!$B$2,3_Huff!AC57*3_Huff!AC$139*1_Friction!AC57,0)</f>
        <v>0</v>
      </c>
      <c r="AE57" s="43" t="n">
        <f aca="false">IF(Matrice_OD!AD57&lt;=Param!$B$2,3_Huff!AD57*3_Huff!AD$139*1_Friction!AD57,0)</f>
        <v>0</v>
      </c>
      <c r="AF57" s="43" t="n">
        <f aca="false">IF(Matrice_OD!AE57&lt;=Param!$B$2,3_Huff!AE57*3_Huff!AE$139*1_Friction!AE57,0)</f>
        <v>0</v>
      </c>
      <c r="AG57" s="43" t="n">
        <f aca="false">IF(Matrice_OD!AF57&lt;=Param!$B$2,3_Huff!AF57*3_Huff!AF$139*1_Friction!AF57,0)</f>
        <v>0</v>
      </c>
      <c r="AH57" s="43" t="n">
        <f aca="false">IF(Matrice_OD!AG57&lt;=Param!$B$2,3_Huff!AG57*3_Huff!AG$139*1_Friction!AG57,0)</f>
        <v>3.34613700090787E-007</v>
      </c>
      <c r="AI57" s="43" t="n">
        <f aca="false">IF(Matrice_OD!AH57&lt;=Param!$B$2,3_Huff!AH57*3_Huff!AH$139*1_Friction!AH57,0)</f>
        <v>1.22796441357229E-005</v>
      </c>
      <c r="AJ57" s="43" t="n">
        <f aca="false">IF(Matrice_OD!AI57&lt;=Param!$B$2,3_Huff!AI57*3_Huff!AI$139*1_Friction!AI57,0)</f>
        <v>4.25528577055781E-008</v>
      </c>
      <c r="AK57" s="43" t="n">
        <f aca="false">IF(Matrice_OD!AJ57&lt;=Param!$B$2,3_Huff!AJ57*3_Huff!AJ$139*1_Friction!AJ57,0)</f>
        <v>0</v>
      </c>
      <c r="AL57" s="43" t="n">
        <f aca="false">IF(Matrice_OD!AK57&lt;=Param!$B$2,3_Huff!AK57*3_Huff!AK$139*1_Friction!AK57,0)</f>
        <v>0</v>
      </c>
      <c r="AM57" s="0" t="n">
        <f aca="false">IF(Matrice_OD!AL57&lt;=Param!$B$2,3_Huff!AL57*3_Huff!AL$139*1_Friction!AL57,0)</f>
        <v>0</v>
      </c>
      <c r="AN57" s="0" t="n">
        <f aca="false">IF(Matrice_OD!AM57&lt;=Param!$B$2,3_Huff!AM57*3_Huff!AM$139*1_Friction!AM57,0)</f>
        <v>2.35698097237877E-006</v>
      </c>
      <c r="AO57" s="0" t="n">
        <f aca="false">IF(Matrice_OD!AN57&lt;=Param!$B$2,3_Huff!AN57*3_Huff!AN$139*1_Friction!AN57,0)</f>
        <v>0</v>
      </c>
      <c r="AP57" s="49" t="n">
        <f aca="false">SUM(D57:AO57)</f>
        <v>0.000207502818577679</v>
      </c>
      <c r="AQ57" s="43" t="n">
        <f aca="false">AP57*1000</f>
        <v>0.207502818577679</v>
      </c>
      <c r="AR57" s="43" t="n">
        <f aca="false">RANK(AP57,AP$2:AP$136,0)</f>
        <v>43</v>
      </c>
      <c r="AS57" s="43" t="n">
        <f aca="false">COUNTIF(Matrice_OD!$C57:$AN57,"&lt;="&amp;Param!$B$2)</f>
        <v>22</v>
      </c>
    </row>
    <row r="58" customFormat="false" ht="15" hidden="false" customHeight="true" outlineLevel="0" collapsed="false">
      <c r="A58" s="0" t="s">
        <v>214</v>
      </c>
      <c r="B58" s="0" t="s">
        <v>215</v>
      </c>
      <c r="C58" s="0" t="n">
        <f aca="false">Demande!C58</f>
        <v>3784</v>
      </c>
      <c r="D58" s="43" t="n">
        <f aca="false">IF(Matrice_OD!C58&lt;=Param!$B$2,3_Huff!C58*3_Huff!C$139*1_Friction!C58,0)</f>
        <v>0</v>
      </c>
      <c r="E58" s="43" t="n">
        <f aca="false">IF(Matrice_OD!D58&lt;=Param!$B$2,3_Huff!D58*3_Huff!D$139*1_Friction!D58,0)</f>
        <v>0</v>
      </c>
      <c r="F58" s="43" t="n">
        <f aca="false">IF(Matrice_OD!E58&lt;=Param!$B$2,3_Huff!E58*3_Huff!E$139*1_Friction!E58,0)</f>
        <v>0</v>
      </c>
      <c r="G58" s="43" t="n">
        <f aca="false">IF(Matrice_OD!F58&lt;=Param!$B$2,3_Huff!F58*3_Huff!F$139*1_Friction!F58,0)</f>
        <v>0</v>
      </c>
      <c r="H58" s="43" t="n">
        <f aca="false">IF(Matrice_OD!G58&lt;=Param!$B$2,3_Huff!G58*3_Huff!G$139*1_Friction!G58,0)</f>
        <v>0</v>
      </c>
      <c r="I58" s="43" t="n">
        <f aca="false">IF(Matrice_OD!H58&lt;=Param!$B$2,3_Huff!H58*3_Huff!H$139*1_Friction!H58,0)</f>
        <v>0</v>
      </c>
      <c r="J58" s="43" t="n">
        <f aca="false">IF(Matrice_OD!I58&lt;=Param!$B$2,3_Huff!I58*3_Huff!I$139*1_Friction!I58,0)</f>
        <v>0</v>
      </c>
      <c r="K58" s="43" t="n">
        <f aca="false">IF(Matrice_OD!J58&lt;=Param!$B$2,3_Huff!J58*3_Huff!J$139*1_Friction!J58,0)</f>
        <v>0</v>
      </c>
      <c r="L58" s="43" t="n">
        <f aca="false">IF(Matrice_OD!K58&lt;=Param!$B$2,3_Huff!K58*3_Huff!K$139*1_Friction!K58,0)</f>
        <v>0</v>
      </c>
      <c r="M58" s="43" t="n">
        <f aca="false">IF(Matrice_OD!L58&lt;=Param!$B$2,3_Huff!L58*3_Huff!L$139*1_Friction!L58,0)</f>
        <v>0</v>
      </c>
      <c r="N58" s="43" t="n">
        <f aca="false">IF(Matrice_OD!M58&lt;=Param!$B$2,3_Huff!M58*3_Huff!M$139*1_Friction!M58,0)</f>
        <v>0</v>
      </c>
      <c r="O58" s="43" t="n">
        <f aca="false">IF(Matrice_OD!N58&lt;=Param!$B$2,3_Huff!N58*3_Huff!N$139*1_Friction!N58,0)</f>
        <v>0</v>
      </c>
      <c r="P58" s="43" t="n">
        <f aca="false">IF(Matrice_OD!O58&lt;=Param!$B$2,3_Huff!O58*3_Huff!O$139*1_Friction!O58,0)</f>
        <v>0</v>
      </c>
      <c r="Q58" s="43" t="n">
        <f aca="false">IF(Matrice_OD!P58&lt;=Param!$B$2,3_Huff!P58*3_Huff!P$139*1_Friction!P58,0)</f>
        <v>0</v>
      </c>
      <c r="R58" s="43" t="n">
        <f aca="false">IF(Matrice_OD!Q58&lt;=Param!$B$2,3_Huff!Q58*3_Huff!Q$139*1_Friction!Q58,0)</f>
        <v>0</v>
      </c>
      <c r="S58" s="43" t="n">
        <f aca="false">IF(Matrice_OD!R58&lt;=Param!$B$2,3_Huff!R58*3_Huff!R$139*1_Friction!R58,0)</f>
        <v>0</v>
      </c>
      <c r="T58" s="43" t="n">
        <f aca="false">IF(Matrice_OD!S58&lt;=Param!$B$2,3_Huff!S58*3_Huff!S$139*1_Friction!S58,0)</f>
        <v>0</v>
      </c>
      <c r="U58" s="43" t="n">
        <f aca="false">IF(Matrice_OD!T58&lt;=Param!$B$2,3_Huff!T58*3_Huff!T$139*1_Friction!T58,0)</f>
        <v>0</v>
      </c>
      <c r="V58" s="43" t="n">
        <f aca="false">IF(Matrice_OD!U58&lt;=Param!$B$2,3_Huff!U58*3_Huff!U$139*1_Friction!U58,0)</f>
        <v>0</v>
      </c>
      <c r="W58" s="43" t="n">
        <f aca="false">IF(Matrice_OD!V58&lt;=Param!$B$2,3_Huff!V58*3_Huff!V$139*1_Friction!V58,0)</f>
        <v>0</v>
      </c>
      <c r="X58" s="43" t="n">
        <f aca="false">IF(Matrice_OD!W58&lt;=Param!$B$2,3_Huff!W58*3_Huff!W$139*1_Friction!W58,0)</f>
        <v>0</v>
      </c>
      <c r="Y58" s="43" t="n">
        <f aca="false">IF(Matrice_OD!X58&lt;=Param!$B$2,3_Huff!X58*3_Huff!X$139*1_Friction!X58,0)</f>
        <v>0</v>
      </c>
      <c r="Z58" s="43" t="n">
        <f aca="false">IF(Matrice_OD!Y58&lt;=Param!$B$2,3_Huff!Y58*3_Huff!Y$139*1_Friction!Y58,0)</f>
        <v>0</v>
      </c>
      <c r="AA58" s="43" t="n">
        <f aca="false">IF(Matrice_OD!Z58&lt;=Param!$B$2,3_Huff!Z58*3_Huff!Z$139*1_Friction!Z58,0)</f>
        <v>0</v>
      </c>
      <c r="AB58" s="43" t="n">
        <f aca="false">IF(Matrice_OD!AA58&lt;=Param!$B$2,3_Huff!AA58*3_Huff!AA$139*1_Friction!AA58,0)</f>
        <v>0</v>
      </c>
      <c r="AC58" s="43" t="n">
        <f aca="false">IF(Matrice_OD!AB58&lt;=Param!$B$2,3_Huff!AB58*3_Huff!AB$139*1_Friction!AB58,0)</f>
        <v>0</v>
      </c>
      <c r="AD58" s="43" t="n">
        <f aca="false">IF(Matrice_OD!AC58&lt;=Param!$B$2,3_Huff!AC58*3_Huff!AC$139*1_Friction!AC58,0)</f>
        <v>0</v>
      </c>
      <c r="AE58" s="43" t="n">
        <f aca="false">IF(Matrice_OD!AD58&lt;=Param!$B$2,3_Huff!AD58*3_Huff!AD$139*1_Friction!AD58,0)</f>
        <v>0</v>
      </c>
      <c r="AF58" s="43" t="n">
        <f aca="false">IF(Matrice_OD!AE58&lt;=Param!$B$2,3_Huff!AE58*3_Huff!AE$139*1_Friction!AE58,0)</f>
        <v>0</v>
      </c>
      <c r="AG58" s="43" t="n">
        <f aca="false">IF(Matrice_OD!AF58&lt;=Param!$B$2,3_Huff!AF58*3_Huff!AF$139*1_Friction!AF58,0)</f>
        <v>0</v>
      </c>
      <c r="AH58" s="43" t="n">
        <f aca="false">IF(Matrice_OD!AG58&lt;=Param!$B$2,3_Huff!AG58*3_Huff!AG$139*1_Friction!AG58,0)</f>
        <v>0</v>
      </c>
      <c r="AI58" s="43" t="n">
        <f aca="false">IF(Matrice_OD!AH58&lt;=Param!$B$2,3_Huff!AH58*3_Huff!AH$139*1_Friction!AH58,0)</f>
        <v>0</v>
      </c>
      <c r="AJ58" s="43" t="n">
        <f aca="false">IF(Matrice_OD!AI58&lt;=Param!$B$2,3_Huff!AI58*3_Huff!AI$139*1_Friction!AI58,0)</f>
        <v>0</v>
      </c>
      <c r="AK58" s="43" t="n">
        <f aca="false">IF(Matrice_OD!AJ58&lt;=Param!$B$2,3_Huff!AJ58*3_Huff!AJ$139*1_Friction!AJ58,0)</f>
        <v>0</v>
      </c>
      <c r="AL58" s="43" t="n">
        <f aca="false">IF(Matrice_OD!AK58&lt;=Param!$B$2,3_Huff!AK58*3_Huff!AK$139*1_Friction!AK58,0)</f>
        <v>0</v>
      </c>
      <c r="AM58" s="0" t="n">
        <f aca="false">IF(Matrice_OD!AL58&lt;=Param!$B$2,3_Huff!AL58*3_Huff!AL$139*1_Friction!AL58,0)</f>
        <v>0</v>
      </c>
      <c r="AN58" s="0" t="n">
        <f aca="false">IF(Matrice_OD!AM58&lt;=Param!$B$2,3_Huff!AM58*3_Huff!AM$139*1_Friction!AM58,0)</f>
        <v>0</v>
      </c>
      <c r="AO58" s="0" t="n">
        <f aca="false">IF(Matrice_OD!AN58&lt;=Param!$B$2,3_Huff!AN58*3_Huff!AN$139*1_Friction!AN58,0)</f>
        <v>0</v>
      </c>
      <c r="AP58" s="48" t="n">
        <f aca="false">SUM(D58:AO58)</f>
        <v>0</v>
      </c>
      <c r="AQ58" s="43" t="n">
        <f aca="false">AP58*1000</f>
        <v>0</v>
      </c>
      <c r="AR58" s="43" t="n">
        <f aca="false">RANK(AP58,AP$2:AP$136,0)</f>
        <v>123</v>
      </c>
      <c r="AS58" s="43" t="n">
        <f aca="false">COUNTIF(Matrice_OD!$C58:$AN58,"&lt;="&amp;Param!$B$2)</f>
        <v>0</v>
      </c>
    </row>
    <row r="59" customFormat="false" ht="15" hidden="false" customHeight="true" outlineLevel="0" collapsed="false">
      <c r="A59" s="0" t="s">
        <v>216</v>
      </c>
      <c r="B59" s="0" t="s">
        <v>217</v>
      </c>
      <c r="C59" s="0" t="n">
        <f aca="false">Demande!C59</f>
        <v>3405</v>
      </c>
      <c r="D59" s="43" t="n">
        <f aca="false">IF(Matrice_OD!C59&lt;=Param!$B$2,3_Huff!C59*3_Huff!C$139*1_Friction!C59,0)</f>
        <v>0</v>
      </c>
      <c r="E59" s="43" t="n">
        <f aca="false">IF(Matrice_OD!D59&lt;=Param!$B$2,3_Huff!D59*3_Huff!D$139*1_Friction!D59,0)</f>
        <v>0</v>
      </c>
      <c r="F59" s="43" t="n">
        <f aca="false">IF(Matrice_OD!E59&lt;=Param!$B$2,3_Huff!E59*3_Huff!E$139*1_Friction!E59,0)</f>
        <v>0</v>
      </c>
      <c r="G59" s="43" t="n">
        <f aca="false">IF(Matrice_OD!F59&lt;=Param!$B$2,3_Huff!F59*3_Huff!F$139*1_Friction!F59,0)</f>
        <v>0</v>
      </c>
      <c r="H59" s="43" t="n">
        <f aca="false">IF(Matrice_OD!G59&lt;=Param!$B$2,3_Huff!G59*3_Huff!G$139*1_Friction!G59,0)</f>
        <v>0</v>
      </c>
      <c r="I59" s="43" t="n">
        <f aca="false">IF(Matrice_OD!H59&lt;=Param!$B$2,3_Huff!H59*3_Huff!H$139*1_Friction!H59,0)</f>
        <v>0</v>
      </c>
      <c r="J59" s="43" t="n">
        <f aca="false">IF(Matrice_OD!I59&lt;=Param!$B$2,3_Huff!I59*3_Huff!I$139*1_Friction!I59,0)</f>
        <v>0</v>
      </c>
      <c r="K59" s="43" t="n">
        <f aca="false">IF(Matrice_OD!J59&lt;=Param!$B$2,3_Huff!J59*3_Huff!J$139*1_Friction!J59,0)</f>
        <v>0</v>
      </c>
      <c r="L59" s="43" t="n">
        <f aca="false">IF(Matrice_OD!K59&lt;=Param!$B$2,3_Huff!K59*3_Huff!K$139*1_Friction!K59,0)</f>
        <v>0</v>
      </c>
      <c r="M59" s="43" t="n">
        <f aca="false">IF(Matrice_OD!L59&lt;=Param!$B$2,3_Huff!L59*3_Huff!L$139*1_Friction!L59,0)</f>
        <v>0</v>
      </c>
      <c r="N59" s="43" t="n">
        <f aca="false">IF(Matrice_OD!M59&lt;=Param!$B$2,3_Huff!M59*3_Huff!M$139*1_Friction!M59,0)</f>
        <v>0</v>
      </c>
      <c r="O59" s="43" t="n">
        <f aca="false">IF(Matrice_OD!N59&lt;=Param!$B$2,3_Huff!N59*3_Huff!N$139*1_Friction!N59,0)</f>
        <v>0</v>
      </c>
      <c r="P59" s="43" t="n">
        <f aca="false">IF(Matrice_OD!O59&lt;=Param!$B$2,3_Huff!O59*3_Huff!O$139*1_Friction!O59,0)</f>
        <v>0</v>
      </c>
      <c r="Q59" s="43" t="n">
        <f aca="false">IF(Matrice_OD!P59&lt;=Param!$B$2,3_Huff!P59*3_Huff!P$139*1_Friction!P59,0)</f>
        <v>0</v>
      </c>
      <c r="R59" s="43" t="n">
        <f aca="false">IF(Matrice_OD!Q59&lt;=Param!$B$2,3_Huff!Q59*3_Huff!Q$139*1_Friction!Q59,0)</f>
        <v>0</v>
      </c>
      <c r="S59" s="43" t="n">
        <f aca="false">IF(Matrice_OD!R59&lt;=Param!$B$2,3_Huff!R59*3_Huff!R$139*1_Friction!R59,0)</f>
        <v>0</v>
      </c>
      <c r="T59" s="43" t="n">
        <f aca="false">IF(Matrice_OD!S59&lt;=Param!$B$2,3_Huff!S59*3_Huff!S$139*1_Friction!S59,0)</f>
        <v>0</v>
      </c>
      <c r="U59" s="43" t="n">
        <f aca="false">IF(Matrice_OD!T59&lt;=Param!$B$2,3_Huff!T59*3_Huff!T$139*1_Friction!T59,0)</f>
        <v>0</v>
      </c>
      <c r="V59" s="43" t="n">
        <f aca="false">IF(Matrice_OD!U59&lt;=Param!$B$2,3_Huff!U59*3_Huff!U$139*1_Friction!U59,0)</f>
        <v>0</v>
      </c>
      <c r="W59" s="43" t="n">
        <f aca="false">IF(Matrice_OD!V59&lt;=Param!$B$2,3_Huff!V59*3_Huff!V$139*1_Friction!V59,0)</f>
        <v>0</v>
      </c>
      <c r="X59" s="43" t="n">
        <f aca="false">IF(Matrice_OD!W59&lt;=Param!$B$2,3_Huff!W59*3_Huff!W$139*1_Friction!W59,0)</f>
        <v>0</v>
      </c>
      <c r="Y59" s="43" t="n">
        <f aca="false">IF(Matrice_OD!X59&lt;=Param!$B$2,3_Huff!X59*3_Huff!X$139*1_Friction!X59,0)</f>
        <v>0</v>
      </c>
      <c r="Z59" s="43" t="n">
        <f aca="false">IF(Matrice_OD!Y59&lt;=Param!$B$2,3_Huff!Y59*3_Huff!Y$139*1_Friction!Y59,0)</f>
        <v>0</v>
      </c>
      <c r="AA59" s="43" t="n">
        <f aca="false">IF(Matrice_OD!Z59&lt;=Param!$B$2,3_Huff!Z59*3_Huff!Z$139*1_Friction!Z59,0)</f>
        <v>0</v>
      </c>
      <c r="AB59" s="43" t="n">
        <f aca="false">IF(Matrice_OD!AA59&lt;=Param!$B$2,3_Huff!AA59*3_Huff!AA$139*1_Friction!AA59,0)</f>
        <v>0</v>
      </c>
      <c r="AC59" s="43" t="n">
        <f aca="false">IF(Matrice_OD!AB59&lt;=Param!$B$2,3_Huff!AB59*3_Huff!AB$139*1_Friction!AB59,0)</f>
        <v>0</v>
      </c>
      <c r="AD59" s="43" t="n">
        <f aca="false">IF(Matrice_OD!AC59&lt;=Param!$B$2,3_Huff!AC59*3_Huff!AC$139*1_Friction!AC59,0)</f>
        <v>0</v>
      </c>
      <c r="AE59" s="43" t="n">
        <f aca="false">IF(Matrice_OD!AD59&lt;=Param!$B$2,3_Huff!AD59*3_Huff!AD$139*1_Friction!AD59,0)</f>
        <v>0</v>
      </c>
      <c r="AF59" s="43" t="n">
        <f aca="false">IF(Matrice_OD!AE59&lt;=Param!$B$2,3_Huff!AE59*3_Huff!AE$139*1_Friction!AE59,0)</f>
        <v>0</v>
      </c>
      <c r="AG59" s="43" t="n">
        <f aca="false">IF(Matrice_OD!AF59&lt;=Param!$B$2,3_Huff!AF59*3_Huff!AF$139*1_Friction!AF59,0)</f>
        <v>0</v>
      </c>
      <c r="AH59" s="43" t="n">
        <f aca="false">IF(Matrice_OD!AG59&lt;=Param!$B$2,3_Huff!AG59*3_Huff!AG$139*1_Friction!AG59,0)</f>
        <v>0</v>
      </c>
      <c r="AI59" s="43" t="n">
        <f aca="false">IF(Matrice_OD!AH59&lt;=Param!$B$2,3_Huff!AH59*3_Huff!AH$139*1_Friction!AH59,0)</f>
        <v>0</v>
      </c>
      <c r="AJ59" s="43" t="n">
        <f aca="false">IF(Matrice_OD!AI59&lt;=Param!$B$2,3_Huff!AI59*3_Huff!AI$139*1_Friction!AI59,0)</f>
        <v>0</v>
      </c>
      <c r="AK59" s="43" t="n">
        <f aca="false">IF(Matrice_OD!AJ59&lt;=Param!$B$2,3_Huff!AJ59*3_Huff!AJ$139*1_Friction!AJ59,0)</f>
        <v>0</v>
      </c>
      <c r="AL59" s="43" t="n">
        <f aca="false">IF(Matrice_OD!AK59&lt;=Param!$B$2,3_Huff!AK59*3_Huff!AK$139*1_Friction!AK59,0)</f>
        <v>0</v>
      </c>
      <c r="AM59" s="0" t="n">
        <f aca="false">IF(Matrice_OD!AL59&lt;=Param!$B$2,3_Huff!AL59*3_Huff!AL$139*1_Friction!AL59,0)</f>
        <v>0</v>
      </c>
      <c r="AN59" s="0" t="n">
        <f aca="false">IF(Matrice_OD!AM59&lt;=Param!$B$2,3_Huff!AM59*3_Huff!AM$139*1_Friction!AM59,0)</f>
        <v>0</v>
      </c>
      <c r="AO59" s="0" t="n">
        <f aca="false">IF(Matrice_OD!AN59&lt;=Param!$B$2,3_Huff!AN59*3_Huff!AN$139*1_Friction!AN59,0)</f>
        <v>0</v>
      </c>
      <c r="AP59" s="49" t="n">
        <f aca="false">SUM(D59:AO59)</f>
        <v>0</v>
      </c>
      <c r="AQ59" s="43" t="n">
        <f aca="false">AP59*1000</f>
        <v>0</v>
      </c>
      <c r="AR59" s="43" t="n">
        <f aca="false">RANK(AP59,AP$2:AP$136,0)</f>
        <v>123</v>
      </c>
      <c r="AS59" s="43" t="n">
        <f aca="false">COUNTIF(Matrice_OD!$C59:$AN59,"&lt;="&amp;Param!$B$2)</f>
        <v>0</v>
      </c>
    </row>
    <row r="60" customFormat="false" ht="15" hidden="false" customHeight="true" outlineLevel="0" collapsed="false">
      <c r="A60" s="0" t="s">
        <v>218</v>
      </c>
      <c r="B60" s="0" t="s">
        <v>219</v>
      </c>
      <c r="C60" s="0" t="n">
        <f aca="false">Demande!C60</f>
        <v>16412</v>
      </c>
      <c r="D60" s="43" t="n">
        <f aca="false">IF(Matrice_OD!C60&lt;=Param!$B$2,3_Huff!C60*3_Huff!C$139*1_Friction!C60,0)</f>
        <v>0</v>
      </c>
      <c r="E60" s="43" t="n">
        <f aca="false">IF(Matrice_OD!D60&lt;=Param!$B$2,3_Huff!D60*3_Huff!D$139*1_Friction!D60,0)</f>
        <v>3.38266221021692E-007</v>
      </c>
      <c r="F60" s="43" t="n">
        <f aca="false">IF(Matrice_OD!E60&lt;=Param!$B$2,3_Huff!E60*3_Huff!E$139*1_Friction!E60,0)</f>
        <v>4.07339789361358E-006</v>
      </c>
      <c r="G60" s="43" t="n">
        <f aca="false">IF(Matrice_OD!F60&lt;=Param!$B$2,3_Huff!F60*3_Huff!F$139*1_Friction!F60,0)</f>
        <v>8.78185881782343E-007</v>
      </c>
      <c r="H60" s="43" t="n">
        <f aca="false">IF(Matrice_OD!G60&lt;=Param!$B$2,3_Huff!G60*3_Huff!G$139*1_Friction!G60,0)</f>
        <v>2.69865143461636E-006</v>
      </c>
      <c r="I60" s="43" t="n">
        <f aca="false">IF(Matrice_OD!H60&lt;=Param!$B$2,3_Huff!H60*3_Huff!H$139*1_Friction!H60,0)</f>
        <v>6.54935767421164E-007</v>
      </c>
      <c r="J60" s="43" t="n">
        <f aca="false">IF(Matrice_OD!I60&lt;=Param!$B$2,3_Huff!I60*3_Huff!I$139*1_Friction!I60,0)</f>
        <v>1.85662484368768E-006</v>
      </c>
      <c r="K60" s="43" t="n">
        <f aca="false">IF(Matrice_OD!J60&lt;=Param!$B$2,3_Huff!J60*3_Huff!J$139*1_Friction!J60,0)</f>
        <v>1.36282595752333E-006</v>
      </c>
      <c r="L60" s="43" t="n">
        <f aca="false">IF(Matrice_OD!K60&lt;=Param!$B$2,3_Huff!K60*3_Huff!K$139*1_Friction!K60,0)</f>
        <v>7.74505063917343E-007</v>
      </c>
      <c r="M60" s="43" t="n">
        <f aca="false">IF(Matrice_OD!L60&lt;=Param!$B$2,3_Huff!L60*3_Huff!L$139*1_Friction!L60,0)</f>
        <v>1.03132615923344E-006</v>
      </c>
      <c r="N60" s="43" t="n">
        <f aca="false">IF(Matrice_OD!M60&lt;=Param!$B$2,3_Huff!M60*3_Huff!M$139*1_Friction!M60,0)</f>
        <v>3.75519523554615E-006</v>
      </c>
      <c r="O60" s="43" t="n">
        <f aca="false">IF(Matrice_OD!N60&lt;=Param!$B$2,3_Huff!N60*3_Huff!N$139*1_Friction!N60,0)</f>
        <v>5.42134690521579E-007</v>
      </c>
      <c r="P60" s="43" t="n">
        <f aca="false">IF(Matrice_OD!O60&lt;=Param!$B$2,3_Huff!O60*3_Huff!O$139*1_Friction!O60,0)</f>
        <v>2.43710490173639E-006</v>
      </c>
      <c r="Q60" s="43" t="n">
        <f aca="false">IF(Matrice_OD!P60&lt;=Param!$B$2,3_Huff!P60*3_Huff!P$139*1_Friction!P60,0)</f>
        <v>1.08768406567582E-006</v>
      </c>
      <c r="R60" s="43" t="n">
        <f aca="false">IF(Matrice_OD!Q60&lt;=Param!$B$2,3_Huff!Q60*3_Huff!Q$139*1_Friction!Q60,0)</f>
        <v>1.10955139552774E-005</v>
      </c>
      <c r="S60" s="43" t="n">
        <f aca="false">IF(Matrice_OD!R60&lt;=Param!$B$2,3_Huff!R60*3_Huff!R$139*1_Friction!R60,0)</f>
        <v>1.23832591364852E-006</v>
      </c>
      <c r="T60" s="43" t="n">
        <f aca="false">IF(Matrice_OD!S60&lt;=Param!$B$2,3_Huff!S60*3_Huff!S$139*1_Friction!S60,0)</f>
        <v>1.14955152186249E-006</v>
      </c>
      <c r="U60" s="43" t="n">
        <f aca="false">IF(Matrice_OD!T60&lt;=Param!$B$2,3_Huff!T60*3_Huff!T$139*1_Friction!T60,0)</f>
        <v>0</v>
      </c>
      <c r="V60" s="43" t="n">
        <f aca="false">IF(Matrice_OD!U60&lt;=Param!$B$2,3_Huff!U60*3_Huff!U$139*1_Friction!U60,0)</f>
        <v>0</v>
      </c>
      <c r="W60" s="43" t="n">
        <f aca="false">IF(Matrice_OD!V60&lt;=Param!$B$2,3_Huff!V60*3_Huff!V$139*1_Friction!V60,0)</f>
        <v>0</v>
      </c>
      <c r="X60" s="43" t="n">
        <f aca="false">IF(Matrice_OD!W60&lt;=Param!$B$2,3_Huff!W60*3_Huff!W$139*1_Friction!W60,0)</f>
        <v>0</v>
      </c>
      <c r="Y60" s="43" t="n">
        <f aca="false">IF(Matrice_OD!X60&lt;=Param!$B$2,3_Huff!X60*3_Huff!X$139*1_Friction!X60,0)</f>
        <v>0</v>
      </c>
      <c r="Z60" s="43" t="n">
        <f aca="false">IF(Matrice_OD!Y60&lt;=Param!$B$2,3_Huff!Y60*3_Huff!Y$139*1_Friction!Y60,0)</f>
        <v>0</v>
      </c>
      <c r="AA60" s="43" t="n">
        <f aca="false">IF(Matrice_OD!Z60&lt;=Param!$B$2,3_Huff!Z60*3_Huff!Z$139*1_Friction!Z60,0)</f>
        <v>0</v>
      </c>
      <c r="AB60" s="43" t="n">
        <f aca="false">IF(Matrice_OD!AA60&lt;=Param!$B$2,3_Huff!AA60*3_Huff!AA$139*1_Friction!AA60,0)</f>
        <v>0</v>
      </c>
      <c r="AC60" s="43" t="n">
        <f aca="false">IF(Matrice_OD!AB60&lt;=Param!$B$2,3_Huff!AB60*3_Huff!AB$139*1_Friction!AB60,0)</f>
        <v>0</v>
      </c>
      <c r="AD60" s="43" t="n">
        <f aca="false">IF(Matrice_OD!AC60&lt;=Param!$B$2,3_Huff!AC60*3_Huff!AC$139*1_Friction!AC60,0)</f>
        <v>0</v>
      </c>
      <c r="AE60" s="43" t="n">
        <f aca="false">IF(Matrice_OD!AD60&lt;=Param!$B$2,3_Huff!AD60*3_Huff!AD$139*1_Friction!AD60,0)</f>
        <v>0</v>
      </c>
      <c r="AF60" s="43" t="n">
        <f aca="false">IF(Matrice_OD!AE60&lt;=Param!$B$2,3_Huff!AE60*3_Huff!AE$139*1_Friction!AE60,0)</f>
        <v>0</v>
      </c>
      <c r="AG60" s="43" t="n">
        <f aca="false">IF(Matrice_OD!AF60&lt;=Param!$B$2,3_Huff!AF60*3_Huff!AF$139*1_Friction!AF60,0)</f>
        <v>0</v>
      </c>
      <c r="AH60" s="43" t="n">
        <f aca="false">IF(Matrice_OD!AG60&lt;=Param!$B$2,3_Huff!AG60*3_Huff!AG$139*1_Friction!AG60,0)</f>
        <v>0</v>
      </c>
      <c r="AI60" s="43" t="n">
        <f aca="false">IF(Matrice_OD!AH60&lt;=Param!$B$2,3_Huff!AH60*3_Huff!AH$139*1_Friction!AH60,0)</f>
        <v>4.01874533935073E-006</v>
      </c>
      <c r="AJ60" s="43" t="n">
        <f aca="false">IF(Matrice_OD!AI60&lt;=Param!$B$2,3_Huff!AI60*3_Huff!AI$139*1_Friction!AI60,0)</f>
        <v>0</v>
      </c>
      <c r="AK60" s="43" t="n">
        <f aca="false">IF(Matrice_OD!AJ60&lt;=Param!$B$2,3_Huff!AJ60*3_Huff!AJ$139*1_Friction!AJ60,0)</f>
        <v>0</v>
      </c>
      <c r="AL60" s="43" t="n">
        <f aca="false">IF(Matrice_OD!AK60&lt;=Param!$B$2,3_Huff!AK60*3_Huff!AK$139*1_Friction!AK60,0)</f>
        <v>0</v>
      </c>
      <c r="AM60" s="0" t="n">
        <f aca="false">IF(Matrice_OD!AL60&lt;=Param!$B$2,3_Huff!AL60*3_Huff!AL$139*1_Friction!AL60,0)</f>
        <v>0</v>
      </c>
      <c r="AN60" s="0" t="n">
        <f aca="false">IF(Matrice_OD!AM60&lt;=Param!$B$2,3_Huff!AM60*3_Huff!AM$139*1_Friction!AM60,0)</f>
        <v>0</v>
      </c>
      <c r="AO60" s="0" t="n">
        <f aca="false">IF(Matrice_OD!AN60&lt;=Param!$B$2,3_Huff!AN60*3_Huff!AN$139*1_Friction!AN60,0)</f>
        <v>0</v>
      </c>
      <c r="AP60" s="48" t="n">
        <f aca="false">SUM(D60:AO60)</f>
        <v>3.8992974846436E-005</v>
      </c>
      <c r="AQ60" s="43" t="n">
        <f aca="false">AP60*1000</f>
        <v>0.038992974846436</v>
      </c>
      <c r="AR60" s="43" t="n">
        <f aca="false">RANK(AP60,AP$2:AP$136,0)</f>
        <v>99</v>
      </c>
      <c r="AS60" s="43" t="n">
        <f aca="false">COUNTIF(Matrice_OD!$C60:$AN60,"&lt;="&amp;Param!$B$2)</f>
        <v>17</v>
      </c>
    </row>
    <row r="61" customFormat="false" ht="15" hidden="false" customHeight="true" outlineLevel="0" collapsed="false">
      <c r="A61" s="0" t="s">
        <v>220</v>
      </c>
      <c r="B61" s="0" t="s">
        <v>221</v>
      </c>
      <c r="C61" s="0" t="n">
        <f aca="false">Demande!C61</f>
        <v>3877</v>
      </c>
      <c r="D61" s="43" t="n">
        <f aca="false">IF(Matrice_OD!C61&lt;=Param!$B$2,3_Huff!C61*3_Huff!C$139*1_Friction!C61,0)</f>
        <v>0</v>
      </c>
      <c r="E61" s="43" t="n">
        <f aca="false">IF(Matrice_OD!D61&lt;=Param!$B$2,3_Huff!D61*3_Huff!D$139*1_Friction!D61,0)</f>
        <v>0</v>
      </c>
      <c r="F61" s="43" t="n">
        <f aca="false">IF(Matrice_OD!E61&lt;=Param!$B$2,3_Huff!E61*3_Huff!E$139*1_Friction!E61,0)</f>
        <v>0</v>
      </c>
      <c r="G61" s="43" t="n">
        <f aca="false">IF(Matrice_OD!F61&lt;=Param!$B$2,3_Huff!F61*3_Huff!F$139*1_Friction!F61,0)</f>
        <v>0</v>
      </c>
      <c r="H61" s="43" t="n">
        <f aca="false">IF(Matrice_OD!G61&lt;=Param!$B$2,3_Huff!G61*3_Huff!G$139*1_Friction!G61,0)</f>
        <v>0</v>
      </c>
      <c r="I61" s="43" t="n">
        <f aca="false">IF(Matrice_OD!H61&lt;=Param!$B$2,3_Huff!H61*3_Huff!H$139*1_Friction!H61,0)</f>
        <v>0</v>
      </c>
      <c r="J61" s="43" t="n">
        <f aca="false">IF(Matrice_OD!I61&lt;=Param!$B$2,3_Huff!I61*3_Huff!I$139*1_Friction!I61,0)</f>
        <v>0</v>
      </c>
      <c r="K61" s="43" t="n">
        <f aca="false">IF(Matrice_OD!J61&lt;=Param!$B$2,3_Huff!J61*3_Huff!J$139*1_Friction!J61,0)</f>
        <v>0</v>
      </c>
      <c r="L61" s="43" t="n">
        <f aca="false">IF(Matrice_OD!K61&lt;=Param!$B$2,3_Huff!K61*3_Huff!K$139*1_Friction!K61,0)</f>
        <v>0</v>
      </c>
      <c r="M61" s="43" t="n">
        <f aca="false">IF(Matrice_OD!L61&lt;=Param!$B$2,3_Huff!L61*3_Huff!L$139*1_Friction!L61,0)</f>
        <v>0</v>
      </c>
      <c r="N61" s="43" t="n">
        <f aca="false">IF(Matrice_OD!M61&lt;=Param!$B$2,3_Huff!M61*3_Huff!M$139*1_Friction!M61,0)</f>
        <v>0</v>
      </c>
      <c r="O61" s="43" t="n">
        <f aca="false">IF(Matrice_OD!N61&lt;=Param!$B$2,3_Huff!N61*3_Huff!N$139*1_Friction!N61,0)</f>
        <v>0</v>
      </c>
      <c r="P61" s="43" t="n">
        <f aca="false">IF(Matrice_OD!O61&lt;=Param!$B$2,3_Huff!O61*3_Huff!O$139*1_Friction!O61,0)</f>
        <v>0</v>
      </c>
      <c r="Q61" s="43" t="n">
        <f aca="false">IF(Matrice_OD!P61&lt;=Param!$B$2,3_Huff!P61*3_Huff!P$139*1_Friction!P61,0)</f>
        <v>0</v>
      </c>
      <c r="R61" s="43" t="n">
        <f aca="false">IF(Matrice_OD!Q61&lt;=Param!$B$2,3_Huff!Q61*3_Huff!Q$139*1_Friction!Q61,0)</f>
        <v>0</v>
      </c>
      <c r="S61" s="43" t="n">
        <f aca="false">IF(Matrice_OD!R61&lt;=Param!$B$2,3_Huff!R61*3_Huff!R$139*1_Friction!R61,0)</f>
        <v>0</v>
      </c>
      <c r="T61" s="43" t="n">
        <f aca="false">IF(Matrice_OD!S61&lt;=Param!$B$2,3_Huff!S61*3_Huff!S$139*1_Friction!S61,0)</f>
        <v>0</v>
      </c>
      <c r="U61" s="43" t="n">
        <f aca="false">IF(Matrice_OD!T61&lt;=Param!$B$2,3_Huff!T61*3_Huff!T$139*1_Friction!T61,0)</f>
        <v>0</v>
      </c>
      <c r="V61" s="43" t="n">
        <f aca="false">IF(Matrice_OD!U61&lt;=Param!$B$2,3_Huff!U61*3_Huff!U$139*1_Friction!U61,0)</f>
        <v>0</v>
      </c>
      <c r="W61" s="43" t="n">
        <f aca="false">IF(Matrice_OD!V61&lt;=Param!$B$2,3_Huff!V61*3_Huff!V$139*1_Friction!V61,0)</f>
        <v>0</v>
      </c>
      <c r="X61" s="43" t="n">
        <f aca="false">IF(Matrice_OD!W61&lt;=Param!$B$2,3_Huff!W61*3_Huff!W$139*1_Friction!W61,0)</f>
        <v>0</v>
      </c>
      <c r="Y61" s="43" t="n">
        <f aca="false">IF(Matrice_OD!X61&lt;=Param!$B$2,3_Huff!X61*3_Huff!X$139*1_Friction!X61,0)</f>
        <v>0</v>
      </c>
      <c r="Z61" s="43" t="n">
        <f aca="false">IF(Matrice_OD!Y61&lt;=Param!$B$2,3_Huff!Y61*3_Huff!Y$139*1_Friction!Y61,0)</f>
        <v>0</v>
      </c>
      <c r="AA61" s="43" t="n">
        <f aca="false">IF(Matrice_OD!Z61&lt;=Param!$B$2,3_Huff!Z61*3_Huff!Z$139*1_Friction!Z61,0)</f>
        <v>0</v>
      </c>
      <c r="AB61" s="43" t="n">
        <f aca="false">IF(Matrice_OD!AA61&lt;=Param!$B$2,3_Huff!AA61*3_Huff!AA$139*1_Friction!AA61,0)</f>
        <v>0</v>
      </c>
      <c r="AC61" s="43" t="n">
        <f aca="false">IF(Matrice_OD!AB61&lt;=Param!$B$2,3_Huff!AB61*3_Huff!AB$139*1_Friction!AB61,0)</f>
        <v>0</v>
      </c>
      <c r="AD61" s="43" t="n">
        <f aca="false">IF(Matrice_OD!AC61&lt;=Param!$B$2,3_Huff!AC61*3_Huff!AC$139*1_Friction!AC61,0)</f>
        <v>0</v>
      </c>
      <c r="AE61" s="43" t="n">
        <f aca="false">IF(Matrice_OD!AD61&lt;=Param!$B$2,3_Huff!AD61*3_Huff!AD$139*1_Friction!AD61,0)</f>
        <v>0</v>
      </c>
      <c r="AF61" s="43" t="n">
        <f aca="false">IF(Matrice_OD!AE61&lt;=Param!$B$2,3_Huff!AE61*3_Huff!AE$139*1_Friction!AE61,0)</f>
        <v>0</v>
      </c>
      <c r="AG61" s="43" t="n">
        <f aca="false">IF(Matrice_OD!AF61&lt;=Param!$B$2,3_Huff!AF61*3_Huff!AF$139*1_Friction!AF61,0)</f>
        <v>0</v>
      </c>
      <c r="AH61" s="43" t="n">
        <f aca="false">IF(Matrice_OD!AG61&lt;=Param!$B$2,3_Huff!AG61*3_Huff!AG$139*1_Friction!AG61,0)</f>
        <v>0</v>
      </c>
      <c r="AI61" s="43" t="n">
        <f aca="false">IF(Matrice_OD!AH61&lt;=Param!$B$2,3_Huff!AH61*3_Huff!AH$139*1_Friction!AH61,0)</f>
        <v>0</v>
      </c>
      <c r="AJ61" s="43" t="n">
        <f aca="false">IF(Matrice_OD!AI61&lt;=Param!$B$2,3_Huff!AI61*3_Huff!AI$139*1_Friction!AI61,0)</f>
        <v>0</v>
      </c>
      <c r="AK61" s="43" t="n">
        <f aca="false">IF(Matrice_OD!AJ61&lt;=Param!$B$2,3_Huff!AJ61*3_Huff!AJ$139*1_Friction!AJ61,0)</f>
        <v>0</v>
      </c>
      <c r="AL61" s="43" t="n">
        <f aca="false">IF(Matrice_OD!AK61&lt;=Param!$B$2,3_Huff!AK61*3_Huff!AK$139*1_Friction!AK61,0)</f>
        <v>0</v>
      </c>
      <c r="AM61" s="0" t="n">
        <f aca="false">IF(Matrice_OD!AL61&lt;=Param!$B$2,3_Huff!AL61*3_Huff!AL$139*1_Friction!AL61,0)</f>
        <v>0</v>
      </c>
      <c r="AN61" s="0" t="n">
        <f aca="false">IF(Matrice_OD!AM61&lt;=Param!$B$2,3_Huff!AM61*3_Huff!AM$139*1_Friction!AM61,0)</f>
        <v>0</v>
      </c>
      <c r="AO61" s="0" t="n">
        <f aca="false">IF(Matrice_OD!AN61&lt;=Param!$B$2,3_Huff!AN61*3_Huff!AN$139*1_Friction!AN61,0)</f>
        <v>0</v>
      </c>
      <c r="AP61" s="49" t="n">
        <f aca="false">SUM(D61:AO61)</f>
        <v>0</v>
      </c>
      <c r="AQ61" s="43" t="n">
        <f aca="false">AP61*1000</f>
        <v>0</v>
      </c>
      <c r="AR61" s="43" t="n">
        <f aca="false">RANK(AP61,AP$2:AP$136,0)</f>
        <v>123</v>
      </c>
      <c r="AS61" s="43" t="n">
        <f aca="false">COUNTIF(Matrice_OD!$C61:$AN61,"&lt;="&amp;Param!$B$2)</f>
        <v>0</v>
      </c>
    </row>
    <row r="62" customFormat="false" ht="15" hidden="false" customHeight="true" outlineLevel="0" collapsed="false">
      <c r="A62" s="0" t="s">
        <v>222</v>
      </c>
      <c r="B62" s="0" t="s">
        <v>223</v>
      </c>
      <c r="C62" s="0" t="n">
        <f aca="false">Demande!C62</f>
        <v>2765</v>
      </c>
      <c r="D62" s="43" t="n">
        <f aca="false">IF(Matrice_OD!C62&lt;=Param!$B$2,3_Huff!C62*3_Huff!C$139*1_Friction!C62,0)</f>
        <v>0</v>
      </c>
      <c r="E62" s="43" t="n">
        <f aca="false">IF(Matrice_OD!D62&lt;=Param!$B$2,3_Huff!D62*3_Huff!D$139*1_Friction!D62,0)</f>
        <v>0</v>
      </c>
      <c r="F62" s="43" t="n">
        <f aca="false">IF(Matrice_OD!E62&lt;=Param!$B$2,3_Huff!E62*3_Huff!E$139*1_Friction!E62,0)</f>
        <v>0</v>
      </c>
      <c r="G62" s="43" t="n">
        <f aca="false">IF(Matrice_OD!F62&lt;=Param!$B$2,3_Huff!F62*3_Huff!F$139*1_Friction!F62,0)</f>
        <v>0</v>
      </c>
      <c r="H62" s="43" t="n">
        <f aca="false">IF(Matrice_OD!G62&lt;=Param!$B$2,3_Huff!G62*3_Huff!G$139*1_Friction!G62,0)</f>
        <v>0</v>
      </c>
      <c r="I62" s="43" t="n">
        <f aca="false">IF(Matrice_OD!H62&lt;=Param!$B$2,3_Huff!H62*3_Huff!H$139*1_Friction!H62,0)</f>
        <v>0</v>
      </c>
      <c r="J62" s="43" t="n">
        <f aca="false">IF(Matrice_OD!I62&lt;=Param!$B$2,3_Huff!I62*3_Huff!I$139*1_Friction!I62,0)</f>
        <v>0</v>
      </c>
      <c r="K62" s="43" t="n">
        <f aca="false">IF(Matrice_OD!J62&lt;=Param!$B$2,3_Huff!J62*3_Huff!J$139*1_Friction!J62,0)</f>
        <v>0</v>
      </c>
      <c r="L62" s="43" t="n">
        <f aca="false">IF(Matrice_OD!K62&lt;=Param!$B$2,3_Huff!K62*3_Huff!K$139*1_Friction!K62,0)</f>
        <v>0</v>
      </c>
      <c r="M62" s="43" t="n">
        <f aca="false">IF(Matrice_OD!L62&lt;=Param!$B$2,3_Huff!L62*3_Huff!L$139*1_Friction!L62,0)</f>
        <v>0</v>
      </c>
      <c r="N62" s="43" t="n">
        <f aca="false">IF(Matrice_OD!M62&lt;=Param!$B$2,3_Huff!M62*3_Huff!M$139*1_Friction!M62,0)</f>
        <v>0</v>
      </c>
      <c r="O62" s="43" t="n">
        <f aca="false">IF(Matrice_OD!N62&lt;=Param!$B$2,3_Huff!N62*3_Huff!N$139*1_Friction!N62,0)</f>
        <v>0</v>
      </c>
      <c r="P62" s="43" t="n">
        <f aca="false">IF(Matrice_OD!O62&lt;=Param!$B$2,3_Huff!O62*3_Huff!O$139*1_Friction!O62,0)</f>
        <v>0</v>
      </c>
      <c r="Q62" s="43" t="n">
        <f aca="false">IF(Matrice_OD!P62&lt;=Param!$B$2,3_Huff!P62*3_Huff!P$139*1_Friction!P62,0)</f>
        <v>0</v>
      </c>
      <c r="R62" s="43" t="n">
        <f aca="false">IF(Matrice_OD!Q62&lt;=Param!$B$2,3_Huff!Q62*3_Huff!Q$139*1_Friction!Q62,0)</f>
        <v>0</v>
      </c>
      <c r="S62" s="43" t="n">
        <f aca="false">IF(Matrice_OD!R62&lt;=Param!$B$2,3_Huff!R62*3_Huff!R$139*1_Friction!R62,0)</f>
        <v>0</v>
      </c>
      <c r="T62" s="43" t="n">
        <f aca="false">IF(Matrice_OD!S62&lt;=Param!$B$2,3_Huff!S62*3_Huff!S$139*1_Friction!S62,0)</f>
        <v>0</v>
      </c>
      <c r="U62" s="43" t="n">
        <f aca="false">IF(Matrice_OD!T62&lt;=Param!$B$2,3_Huff!T62*3_Huff!T$139*1_Friction!T62,0)</f>
        <v>0</v>
      </c>
      <c r="V62" s="43" t="n">
        <f aca="false">IF(Matrice_OD!U62&lt;=Param!$B$2,3_Huff!U62*3_Huff!U$139*1_Friction!U62,0)</f>
        <v>0</v>
      </c>
      <c r="W62" s="43" t="n">
        <f aca="false">IF(Matrice_OD!V62&lt;=Param!$B$2,3_Huff!V62*3_Huff!V$139*1_Friction!V62,0)</f>
        <v>0</v>
      </c>
      <c r="X62" s="43" t="n">
        <f aca="false">IF(Matrice_OD!W62&lt;=Param!$B$2,3_Huff!W62*3_Huff!W$139*1_Friction!W62,0)</f>
        <v>0</v>
      </c>
      <c r="Y62" s="43" t="n">
        <f aca="false">IF(Matrice_OD!X62&lt;=Param!$B$2,3_Huff!X62*3_Huff!X$139*1_Friction!X62,0)</f>
        <v>0</v>
      </c>
      <c r="Z62" s="43" t="n">
        <f aca="false">IF(Matrice_OD!Y62&lt;=Param!$B$2,3_Huff!Y62*3_Huff!Y$139*1_Friction!Y62,0)</f>
        <v>0</v>
      </c>
      <c r="AA62" s="43" t="n">
        <f aca="false">IF(Matrice_OD!Z62&lt;=Param!$B$2,3_Huff!Z62*3_Huff!Z$139*1_Friction!Z62,0)</f>
        <v>0</v>
      </c>
      <c r="AB62" s="43" t="n">
        <f aca="false">IF(Matrice_OD!AA62&lt;=Param!$B$2,3_Huff!AA62*3_Huff!AA$139*1_Friction!AA62,0)</f>
        <v>0</v>
      </c>
      <c r="AC62" s="43" t="n">
        <f aca="false">IF(Matrice_OD!AB62&lt;=Param!$B$2,3_Huff!AB62*3_Huff!AB$139*1_Friction!AB62,0)</f>
        <v>0</v>
      </c>
      <c r="AD62" s="43" t="n">
        <f aca="false">IF(Matrice_OD!AC62&lt;=Param!$B$2,3_Huff!AC62*3_Huff!AC$139*1_Friction!AC62,0)</f>
        <v>0</v>
      </c>
      <c r="AE62" s="43" t="n">
        <f aca="false">IF(Matrice_OD!AD62&lt;=Param!$B$2,3_Huff!AD62*3_Huff!AD$139*1_Friction!AD62,0)</f>
        <v>0</v>
      </c>
      <c r="AF62" s="43" t="n">
        <f aca="false">IF(Matrice_OD!AE62&lt;=Param!$B$2,3_Huff!AE62*3_Huff!AE$139*1_Friction!AE62,0)</f>
        <v>0</v>
      </c>
      <c r="AG62" s="43" t="n">
        <f aca="false">IF(Matrice_OD!AF62&lt;=Param!$B$2,3_Huff!AF62*3_Huff!AF$139*1_Friction!AF62,0)</f>
        <v>0</v>
      </c>
      <c r="AH62" s="43" t="n">
        <f aca="false">IF(Matrice_OD!AG62&lt;=Param!$B$2,3_Huff!AG62*3_Huff!AG$139*1_Friction!AG62,0)</f>
        <v>0</v>
      </c>
      <c r="AI62" s="43" t="n">
        <f aca="false">IF(Matrice_OD!AH62&lt;=Param!$B$2,3_Huff!AH62*3_Huff!AH$139*1_Friction!AH62,0)</f>
        <v>0</v>
      </c>
      <c r="AJ62" s="43" t="n">
        <f aca="false">IF(Matrice_OD!AI62&lt;=Param!$B$2,3_Huff!AI62*3_Huff!AI$139*1_Friction!AI62,0)</f>
        <v>0</v>
      </c>
      <c r="AK62" s="43" t="n">
        <f aca="false">IF(Matrice_OD!AJ62&lt;=Param!$B$2,3_Huff!AJ62*3_Huff!AJ$139*1_Friction!AJ62,0)</f>
        <v>0</v>
      </c>
      <c r="AL62" s="43" t="n">
        <f aca="false">IF(Matrice_OD!AK62&lt;=Param!$B$2,3_Huff!AK62*3_Huff!AK$139*1_Friction!AK62,0)</f>
        <v>0</v>
      </c>
      <c r="AM62" s="0" t="n">
        <f aca="false">IF(Matrice_OD!AL62&lt;=Param!$B$2,3_Huff!AL62*3_Huff!AL$139*1_Friction!AL62,0)</f>
        <v>0</v>
      </c>
      <c r="AN62" s="0" t="n">
        <f aca="false">IF(Matrice_OD!AM62&lt;=Param!$B$2,3_Huff!AM62*3_Huff!AM$139*1_Friction!AM62,0)</f>
        <v>0</v>
      </c>
      <c r="AO62" s="0" t="n">
        <f aca="false">IF(Matrice_OD!AN62&lt;=Param!$B$2,3_Huff!AN62*3_Huff!AN$139*1_Friction!AN62,0)</f>
        <v>0</v>
      </c>
      <c r="AP62" s="48" t="n">
        <f aca="false">SUM(D62:AO62)</f>
        <v>0</v>
      </c>
      <c r="AQ62" s="43" t="n">
        <f aca="false">AP62*1000</f>
        <v>0</v>
      </c>
      <c r="AR62" s="43" t="n">
        <f aca="false">RANK(AP62,AP$2:AP$136,0)</f>
        <v>123</v>
      </c>
      <c r="AS62" s="43" t="n">
        <f aca="false">COUNTIF(Matrice_OD!$C62:$AN62,"&lt;="&amp;Param!$B$2)</f>
        <v>0</v>
      </c>
    </row>
    <row r="63" customFormat="false" ht="15" hidden="false" customHeight="true" outlineLevel="0" collapsed="false">
      <c r="A63" s="0" t="s">
        <v>224</v>
      </c>
      <c r="B63" s="0" t="s">
        <v>225</v>
      </c>
      <c r="C63" s="0" t="n">
        <f aca="false">Demande!C63</f>
        <v>11592</v>
      </c>
      <c r="D63" s="43" t="n">
        <f aca="false">IF(Matrice_OD!C63&lt;=Param!$B$2,3_Huff!C63*3_Huff!C$139*1_Friction!C63,0)</f>
        <v>0</v>
      </c>
      <c r="E63" s="43" t="n">
        <f aca="false">IF(Matrice_OD!D63&lt;=Param!$B$2,3_Huff!D63*3_Huff!D$139*1_Friction!D63,0)</f>
        <v>0</v>
      </c>
      <c r="F63" s="43" t="n">
        <f aca="false">IF(Matrice_OD!E63&lt;=Param!$B$2,3_Huff!E63*3_Huff!E$139*1_Friction!E63,0)</f>
        <v>0</v>
      </c>
      <c r="G63" s="43" t="n">
        <f aca="false">IF(Matrice_OD!F63&lt;=Param!$B$2,3_Huff!F63*3_Huff!F$139*1_Friction!F63,0)</f>
        <v>0</v>
      </c>
      <c r="H63" s="43" t="n">
        <f aca="false">IF(Matrice_OD!G63&lt;=Param!$B$2,3_Huff!G63*3_Huff!G$139*1_Friction!G63,0)</f>
        <v>0</v>
      </c>
      <c r="I63" s="43" t="n">
        <f aca="false">IF(Matrice_OD!H63&lt;=Param!$B$2,3_Huff!H63*3_Huff!H$139*1_Friction!H63,0)</f>
        <v>0</v>
      </c>
      <c r="J63" s="43" t="n">
        <f aca="false">IF(Matrice_OD!I63&lt;=Param!$B$2,3_Huff!I63*3_Huff!I$139*1_Friction!I63,0)</f>
        <v>0</v>
      </c>
      <c r="K63" s="43" t="n">
        <f aca="false">IF(Matrice_OD!J63&lt;=Param!$B$2,3_Huff!J63*3_Huff!J$139*1_Friction!J63,0)</f>
        <v>0</v>
      </c>
      <c r="L63" s="43" t="n">
        <f aca="false">IF(Matrice_OD!K63&lt;=Param!$B$2,3_Huff!K63*3_Huff!K$139*1_Friction!K63,0)</f>
        <v>0</v>
      </c>
      <c r="M63" s="43" t="n">
        <f aca="false">IF(Matrice_OD!L63&lt;=Param!$B$2,3_Huff!L63*3_Huff!L$139*1_Friction!L63,0)</f>
        <v>0</v>
      </c>
      <c r="N63" s="43" t="n">
        <f aca="false">IF(Matrice_OD!M63&lt;=Param!$B$2,3_Huff!M63*3_Huff!M$139*1_Friction!M63,0)</f>
        <v>0</v>
      </c>
      <c r="O63" s="43" t="n">
        <f aca="false">IF(Matrice_OD!N63&lt;=Param!$B$2,3_Huff!N63*3_Huff!N$139*1_Friction!N63,0)</f>
        <v>0</v>
      </c>
      <c r="P63" s="43" t="n">
        <f aca="false">IF(Matrice_OD!O63&lt;=Param!$B$2,3_Huff!O63*3_Huff!O$139*1_Friction!O63,0)</f>
        <v>0</v>
      </c>
      <c r="Q63" s="43" t="n">
        <f aca="false">IF(Matrice_OD!P63&lt;=Param!$B$2,3_Huff!P63*3_Huff!P$139*1_Friction!P63,0)</f>
        <v>0</v>
      </c>
      <c r="R63" s="43" t="n">
        <f aca="false">IF(Matrice_OD!Q63&lt;=Param!$B$2,3_Huff!Q63*3_Huff!Q$139*1_Friction!Q63,0)</f>
        <v>0</v>
      </c>
      <c r="S63" s="43" t="n">
        <f aca="false">IF(Matrice_OD!R63&lt;=Param!$B$2,3_Huff!R63*3_Huff!R$139*1_Friction!R63,0)</f>
        <v>0</v>
      </c>
      <c r="T63" s="43" t="n">
        <f aca="false">IF(Matrice_OD!S63&lt;=Param!$B$2,3_Huff!S63*3_Huff!S$139*1_Friction!S63,0)</f>
        <v>0</v>
      </c>
      <c r="U63" s="43" t="n">
        <f aca="false">IF(Matrice_OD!T63&lt;=Param!$B$2,3_Huff!T63*3_Huff!T$139*1_Friction!T63,0)</f>
        <v>0</v>
      </c>
      <c r="V63" s="43" t="n">
        <f aca="false">IF(Matrice_OD!U63&lt;=Param!$B$2,3_Huff!U63*3_Huff!U$139*1_Friction!U63,0)</f>
        <v>0</v>
      </c>
      <c r="W63" s="43" t="n">
        <f aca="false">IF(Matrice_OD!V63&lt;=Param!$B$2,3_Huff!V63*3_Huff!V$139*1_Friction!V63,0)</f>
        <v>0</v>
      </c>
      <c r="X63" s="43" t="n">
        <f aca="false">IF(Matrice_OD!W63&lt;=Param!$B$2,3_Huff!W63*3_Huff!W$139*1_Friction!W63,0)</f>
        <v>0</v>
      </c>
      <c r="Y63" s="43" t="n">
        <f aca="false">IF(Matrice_OD!X63&lt;=Param!$B$2,3_Huff!X63*3_Huff!X$139*1_Friction!X63,0)</f>
        <v>0</v>
      </c>
      <c r="Z63" s="43" t="n">
        <f aca="false">IF(Matrice_OD!Y63&lt;=Param!$B$2,3_Huff!Y63*3_Huff!Y$139*1_Friction!Y63,0)</f>
        <v>0</v>
      </c>
      <c r="AA63" s="43" t="n">
        <f aca="false">IF(Matrice_OD!Z63&lt;=Param!$B$2,3_Huff!Z63*3_Huff!Z$139*1_Friction!Z63,0)</f>
        <v>0</v>
      </c>
      <c r="AB63" s="43" t="n">
        <f aca="false">IF(Matrice_OD!AA63&lt;=Param!$B$2,3_Huff!AA63*3_Huff!AA$139*1_Friction!AA63,0)</f>
        <v>0</v>
      </c>
      <c r="AC63" s="43" t="n">
        <f aca="false">IF(Matrice_OD!AB63&lt;=Param!$B$2,3_Huff!AB63*3_Huff!AB$139*1_Friction!AB63,0)</f>
        <v>0</v>
      </c>
      <c r="AD63" s="43" t="n">
        <f aca="false">IF(Matrice_OD!AC63&lt;=Param!$B$2,3_Huff!AC63*3_Huff!AC$139*1_Friction!AC63,0)</f>
        <v>0</v>
      </c>
      <c r="AE63" s="43" t="n">
        <f aca="false">IF(Matrice_OD!AD63&lt;=Param!$B$2,3_Huff!AD63*3_Huff!AD$139*1_Friction!AD63,0)</f>
        <v>0</v>
      </c>
      <c r="AF63" s="43" t="n">
        <f aca="false">IF(Matrice_OD!AE63&lt;=Param!$B$2,3_Huff!AE63*3_Huff!AE$139*1_Friction!AE63,0)</f>
        <v>0</v>
      </c>
      <c r="AG63" s="43" t="n">
        <f aca="false">IF(Matrice_OD!AF63&lt;=Param!$B$2,3_Huff!AF63*3_Huff!AF$139*1_Friction!AF63,0)</f>
        <v>0</v>
      </c>
      <c r="AH63" s="43" t="n">
        <f aca="false">IF(Matrice_OD!AG63&lt;=Param!$B$2,3_Huff!AG63*3_Huff!AG$139*1_Friction!AG63,0)</f>
        <v>0</v>
      </c>
      <c r="AI63" s="43" t="n">
        <f aca="false">IF(Matrice_OD!AH63&lt;=Param!$B$2,3_Huff!AH63*3_Huff!AH$139*1_Friction!AH63,0)</f>
        <v>0</v>
      </c>
      <c r="AJ63" s="43" t="n">
        <f aca="false">IF(Matrice_OD!AI63&lt;=Param!$B$2,3_Huff!AI63*3_Huff!AI$139*1_Friction!AI63,0)</f>
        <v>0</v>
      </c>
      <c r="AK63" s="43" t="n">
        <f aca="false">IF(Matrice_OD!AJ63&lt;=Param!$B$2,3_Huff!AJ63*3_Huff!AJ$139*1_Friction!AJ63,0)</f>
        <v>0</v>
      </c>
      <c r="AL63" s="43" t="n">
        <f aca="false">IF(Matrice_OD!AK63&lt;=Param!$B$2,3_Huff!AK63*3_Huff!AK$139*1_Friction!AK63,0)</f>
        <v>0</v>
      </c>
      <c r="AM63" s="0" t="n">
        <f aca="false">IF(Matrice_OD!AL63&lt;=Param!$B$2,3_Huff!AL63*3_Huff!AL$139*1_Friction!AL63,0)</f>
        <v>0</v>
      </c>
      <c r="AN63" s="0" t="n">
        <f aca="false">IF(Matrice_OD!AM63&lt;=Param!$B$2,3_Huff!AM63*3_Huff!AM$139*1_Friction!AM63,0)</f>
        <v>0</v>
      </c>
      <c r="AO63" s="0" t="n">
        <f aca="false">IF(Matrice_OD!AN63&lt;=Param!$B$2,3_Huff!AN63*3_Huff!AN$139*1_Friction!AN63,0)</f>
        <v>0</v>
      </c>
      <c r="AP63" s="49" t="n">
        <f aca="false">SUM(D63:AO63)</f>
        <v>0</v>
      </c>
      <c r="AQ63" s="43" t="n">
        <f aca="false">AP63*1000</f>
        <v>0</v>
      </c>
      <c r="AR63" s="43" t="n">
        <f aca="false">RANK(AP63,AP$2:AP$136,0)</f>
        <v>123</v>
      </c>
      <c r="AS63" s="43" t="n">
        <f aca="false">COUNTIF(Matrice_OD!$C63:$AN63,"&lt;="&amp;Param!$B$2)</f>
        <v>0</v>
      </c>
    </row>
    <row r="64" customFormat="false" ht="15" hidden="false" customHeight="true" outlineLevel="0" collapsed="false">
      <c r="A64" s="0" t="s">
        <v>226</v>
      </c>
      <c r="B64" s="0" t="s">
        <v>227</v>
      </c>
      <c r="C64" s="0" t="n">
        <f aca="false">Demande!C64</f>
        <v>20215</v>
      </c>
      <c r="D64" s="43" t="n">
        <f aca="false">IF(Matrice_OD!C64&lt;=Param!$B$2,3_Huff!C64*3_Huff!C$139*1_Friction!C64,0)</f>
        <v>6.05048519372069E-006</v>
      </c>
      <c r="E64" s="43" t="n">
        <f aca="false">IF(Matrice_OD!D64&lt;=Param!$B$2,3_Huff!D64*3_Huff!D$139*1_Friction!D64,0)</f>
        <v>5.10824613357469E-006</v>
      </c>
      <c r="F64" s="43" t="n">
        <f aca="false">IF(Matrice_OD!E64&lt;=Param!$B$2,3_Huff!E64*3_Huff!E$139*1_Friction!E64,0)</f>
        <v>5.25326162335293E-005</v>
      </c>
      <c r="G64" s="43" t="n">
        <f aca="false">IF(Matrice_OD!F64&lt;=Param!$B$2,3_Huff!F64*3_Huff!F$139*1_Friction!F64,0)</f>
        <v>9.31799024448546E-006</v>
      </c>
      <c r="H64" s="43" t="n">
        <f aca="false">IF(Matrice_OD!G64&lt;=Param!$B$2,3_Huff!G64*3_Huff!G$139*1_Friction!G64,0)</f>
        <v>2.60344774790207E-005</v>
      </c>
      <c r="I64" s="43" t="n">
        <f aca="false">IF(Matrice_OD!H64&lt;=Param!$B$2,3_Huff!H64*3_Huff!H$139*1_Friction!H64,0)</f>
        <v>5.46393621075804E-006</v>
      </c>
      <c r="J64" s="43" t="n">
        <f aca="false">IF(Matrice_OD!I64&lt;=Param!$B$2,3_Huff!I64*3_Huff!I$139*1_Friction!I64,0)</f>
        <v>1.27108841516235E-005</v>
      </c>
      <c r="K64" s="43" t="n">
        <f aca="false">IF(Matrice_OD!J64&lt;=Param!$B$2,3_Huff!J64*3_Huff!J$139*1_Friction!J64,0)</f>
        <v>1.01740883844624E-005</v>
      </c>
      <c r="L64" s="43" t="n">
        <f aca="false">IF(Matrice_OD!K64&lt;=Param!$B$2,3_Huff!K64*3_Huff!K$139*1_Friction!K64,0)</f>
        <v>6.36421079708501E-006</v>
      </c>
      <c r="M64" s="43" t="n">
        <f aca="false">IF(Matrice_OD!L64&lt;=Param!$B$2,3_Huff!L64*3_Huff!L$139*1_Friction!L64,0)</f>
        <v>6.11413806743215E-006</v>
      </c>
      <c r="N64" s="43" t="n">
        <f aca="false">IF(Matrice_OD!M64&lt;=Param!$B$2,3_Huff!M64*3_Huff!M$139*1_Friction!M64,0)</f>
        <v>3.18192617775656E-005</v>
      </c>
      <c r="O64" s="43" t="n">
        <f aca="false">IF(Matrice_OD!N64&lt;=Param!$B$2,3_Huff!N64*3_Huff!N$139*1_Friction!N64,0)</f>
        <v>4.46686828779295E-006</v>
      </c>
      <c r="P64" s="43" t="n">
        <f aca="false">IF(Matrice_OD!O64&lt;=Param!$B$2,3_Huff!O64*3_Huff!O$139*1_Friction!O64,0)</f>
        <v>1.4084202023987E-005</v>
      </c>
      <c r="Q64" s="43" t="n">
        <f aca="false">IF(Matrice_OD!P64&lt;=Param!$B$2,3_Huff!P64*3_Huff!P$139*1_Friction!P64,0)</f>
        <v>6.75782609141497E-006</v>
      </c>
      <c r="R64" s="43" t="n">
        <f aca="false">IF(Matrice_OD!Q64&lt;=Param!$B$2,3_Huff!Q64*3_Huff!Q$139*1_Friction!Q64,0)</f>
        <v>5.82791686584554E-005</v>
      </c>
      <c r="S64" s="43" t="n">
        <f aca="false">IF(Matrice_OD!R64&lt;=Param!$B$2,3_Huff!R64*3_Huff!R$139*1_Friction!R64,0)</f>
        <v>7.75952800700766E-006</v>
      </c>
      <c r="T64" s="43" t="n">
        <f aca="false">IF(Matrice_OD!S64&lt;=Param!$B$2,3_Huff!S64*3_Huff!S$139*1_Friction!S64,0)</f>
        <v>5.78226405325484E-006</v>
      </c>
      <c r="U64" s="43" t="n">
        <f aca="false">IF(Matrice_OD!T64&lt;=Param!$B$2,3_Huff!T64*3_Huff!T$139*1_Friction!T64,0)</f>
        <v>5.27670759420462E-007</v>
      </c>
      <c r="V64" s="43" t="n">
        <f aca="false">IF(Matrice_OD!U64&lt;=Param!$B$2,3_Huff!U64*3_Huff!U$139*1_Friction!U64,0)</f>
        <v>1.1072464309107E-008</v>
      </c>
      <c r="W64" s="43" t="n">
        <f aca="false">IF(Matrice_OD!V64&lt;=Param!$B$2,3_Huff!V64*3_Huff!V$139*1_Friction!V64,0)</f>
        <v>0</v>
      </c>
      <c r="X64" s="43" t="n">
        <f aca="false">IF(Matrice_OD!W64&lt;=Param!$B$2,3_Huff!W64*3_Huff!W$139*1_Friction!W64,0)</f>
        <v>0</v>
      </c>
      <c r="Y64" s="43" t="n">
        <f aca="false">IF(Matrice_OD!X64&lt;=Param!$B$2,3_Huff!X64*3_Huff!X$139*1_Friction!X64,0)</f>
        <v>0</v>
      </c>
      <c r="Z64" s="43" t="n">
        <f aca="false">IF(Matrice_OD!Y64&lt;=Param!$B$2,3_Huff!Y64*3_Huff!Y$139*1_Friction!Y64,0)</f>
        <v>0</v>
      </c>
      <c r="AA64" s="43" t="n">
        <f aca="false">IF(Matrice_OD!Z64&lt;=Param!$B$2,3_Huff!Z64*3_Huff!Z$139*1_Friction!Z64,0)</f>
        <v>0</v>
      </c>
      <c r="AB64" s="43" t="n">
        <f aca="false">IF(Matrice_OD!AA64&lt;=Param!$B$2,3_Huff!AA64*3_Huff!AA$139*1_Friction!AA64,0)</f>
        <v>0</v>
      </c>
      <c r="AC64" s="43" t="n">
        <f aca="false">IF(Matrice_OD!AB64&lt;=Param!$B$2,3_Huff!AB64*3_Huff!AB$139*1_Friction!AB64,0)</f>
        <v>0</v>
      </c>
      <c r="AD64" s="43" t="n">
        <f aca="false">IF(Matrice_OD!AC64&lt;=Param!$B$2,3_Huff!AC64*3_Huff!AC$139*1_Friction!AC64,0)</f>
        <v>0</v>
      </c>
      <c r="AE64" s="43" t="n">
        <f aca="false">IF(Matrice_OD!AD64&lt;=Param!$B$2,3_Huff!AD64*3_Huff!AD$139*1_Friction!AD64,0)</f>
        <v>0</v>
      </c>
      <c r="AF64" s="43" t="n">
        <f aca="false">IF(Matrice_OD!AE64&lt;=Param!$B$2,3_Huff!AE64*3_Huff!AE$139*1_Friction!AE64,0)</f>
        <v>0</v>
      </c>
      <c r="AG64" s="43" t="n">
        <f aca="false">IF(Matrice_OD!AF64&lt;=Param!$B$2,3_Huff!AF64*3_Huff!AF$139*1_Friction!AF64,0)</f>
        <v>0</v>
      </c>
      <c r="AH64" s="43" t="n">
        <f aca="false">IF(Matrice_OD!AG64&lt;=Param!$B$2,3_Huff!AG64*3_Huff!AG$139*1_Friction!AG64,0)</f>
        <v>1.26068760708453E-007</v>
      </c>
      <c r="AI64" s="43" t="n">
        <f aca="false">IF(Matrice_OD!AH64&lt;=Param!$B$2,3_Huff!AH64*3_Huff!AH$139*1_Friction!AH64,0)</f>
        <v>1.76881448950538E-005</v>
      </c>
      <c r="AJ64" s="43" t="n">
        <f aca="false">IF(Matrice_OD!AI64&lt;=Param!$B$2,3_Huff!AI64*3_Huff!AI$139*1_Friction!AI64,0)</f>
        <v>2.87732089079511E-007</v>
      </c>
      <c r="AK64" s="43" t="n">
        <f aca="false">IF(Matrice_OD!AJ64&lt;=Param!$B$2,3_Huff!AJ64*3_Huff!AJ$139*1_Friction!AJ64,0)</f>
        <v>0</v>
      </c>
      <c r="AL64" s="43" t="n">
        <f aca="false">IF(Matrice_OD!AK64&lt;=Param!$B$2,3_Huff!AK64*3_Huff!AK$139*1_Friction!AK64,0)</f>
        <v>0</v>
      </c>
      <c r="AM64" s="0" t="n">
        <f aca="false">IF(Matrice_OD!AL64&lt;=Param!$B$2,3_Huff!AL64*3_Huff!AL$139*1_Friction!AL64,0)</f>
        <v>0</v>
      </c>
      <c r="AN64" s="0" t="n">
        <f aca="false">IF(Matrice_OD!AM64&lt;=Param!$B$2,3_Huff!AM64*3_Huff!AM$139*1_Friction!AM64,0)</f>
        <v>1.43690674224066E-005</v>
      </c>
      <c r="AO64" s="0" t="n">
        <f aca="false">IF(Matrice_OD!AN64&lt;=Param!$B$2,3_Huff!AN64*3_Huff!AN$139*1_Friction!AN64,0)</f>
        <v>0</v>
      </c>
      <c r="AP64" s="48" t="n">
        <f aca="false">SUM(D64:AO64)</f>
        <v>0.000301829948186148</v>
      </c>
      <c r="AQ64" s="43" t="n">
        <f aca="false">AP64*1000</f>
        <v>0.301829948186148</v>
      </c>
      <c r="AR64" s="43" t="n">
        <f aca="false">RANK(AP64,AP$2:AP$136,0)</f>
        <v>24</v>
      </c>
      <c r="AS64" s="43" t="n">
        <f aca="false">COUNTIF(Matrice_OD!$C64:$AN64,"&lt;="&amp;Param!$B$2)</f>
        <v>23</v>
      </c>
    </row>
    <row r="65" customFormat="false" ht="15" hidden="false" customHeight="true" outlineLevel="0" collapsed="false">
      <c r="A65" s="0" t="s">
        <v>228</v>
      </c>
      <c r="B65" s="0" t="s">
        <v>229</v>
      </c>
      <c r="C65" s="0" t="n">
        <f aca="false">Demande!C65</f>
        <v>6852</v>
      </c>
      <c r="D65" s="43" t="n">
        <f aca="false">IF(Matrice_OD!C65&lt;=Param!$B$2,3_Huff!C65*3_Huff!C$139*1_Friction!C65,0)</f>
        <v>3.33005473633303E-006</v>
      </c>
      <c r="E65" s="43" t="n">
        <f aca="false">IF(Matrice_OD!D65&lt;=Param!$B$2,3_Huff!D65*3_Huff!D$139*1_Friction!D65,0)</f>
        <v>6.79603723978034E-006</v>
      </c>
      <c r="F65" s="43" t="n">
        <f aca="false">IF(Matrice_OD!E65&lt;=Param!$B$2,3_Huff!E65*3_Huff!E$139*1_Friction!E65,0)</f>
        <v>7.25036101492183E-005</v>
      </c>
      <c r="G65" s="43" t="n">
        <f aca="false">IF(Matrice_OD!F65&lt;=Param!$B$2,3_Huff!F65*3_Huff!F$139*1_Friction!F65,0)</f>
        <v>1.28936921731516E-005</v>
      </c>
      <c r="H65" s="43" t="n">
        <f aca="false">IF(Matrice_OD!G65&lt;=Param!$B$2,3_Huff!G65*3_Huff!G$139*1_Friction!G65,0)</f>
        <v>3.64772163949182E-005</v>
      </c>
      <c r="I65" s="43" t="n">
        <f aca="false">IF(Matrice_OD!H65&lt;=Param!$B$2,3_Huff!H65*3_Huff!H$139*1_Friction!H65,0)</f>
        <v>7.76776050756999E-006</v>
      </c>
      <c r="J65" s="43" t="n">
        <f aca="false">IF(Matrice_OD!I65&lt;=Param!$B$2,3_Huff!I65*3_Huff!I$139*1_Friction!I65,0)</f>
        <v>1.81256492667969E-005</v>
      </c>
      <c r="K65" s="43" t="n">
        <f aca="false">IF(Matrice_OD!J65&lt;=Param!$B$2,3_Huff!J65*3_Huff!J$139*1_Friction!J65,0)</f>
        <v>1.46143379114146E-005</v>
      </c>
      <c r="L65" s="43" t="n">
        <f aca="false">IF(Matrice_OD!K65&lt;=Param!$B$2,3_Huff!K65*3_Huff!K$139*1_Friction!K65,0)</f>
        <v>9.189710377226E-006</v>
      </c>
      <c r="M65" s="43" t="n">
        <f aca="false">IF(Matrice_OD!L65&lt;=Param!$B$2,3_Huff!L65*3_Huff!L$139*1_Friction!L65,0)</f>
        <v>8.83845212129989E-006</v>
      </c>
      <c r="N65" s="43" t="n">
        <f aca="false">IF(Matrice_OD!M65&lt;=Param!$B$2,3_Huff!M65*3_Huff!M$139*1_Friction!M65,0)</f>
        <v>4.60296255582774E-005</v>
      </c>
      <c r="O65" s="43" t="n">
        <f aca="false">IF(Matrice_OD!N65&lt;=Param!$B$2,3_Huff!N65*3_Huff!N$139*1_Friction!N65,0)</f>
        <v>6.51102411851221E-006</v>
      </c>
      <c r="P65" s="43" t="n">
        <f aca="false">IF(Matrice_OD!O65&lt;=Param!$B$2,3_Huff!O65*3_Huff!O$139*1_Friction!O65,0)</f>
        <v>2.05585147828835E-005</v>
      </c>
      <c r="Q65" s="43" t="n">
        <f aca="false">IF(Matrice_OD!P65&lt;=Param!$B$2,3_Huff!P65*3_Huff!P$139*1_Friction!P65,0)</f>
        <v>9.87983995078993E-006</v>
      </c>
      <c r="R65" s="43" t="n">
        <f aca="false">IF(Matrice_OD!Q65&lt;=Param!$B$2,3_Huff!Q65*3_Huff!Q$139*1_Friction!Q65,0)</f>
        <v>8.59346661573236E-005</v>
      </c>
      <c r="S65" s="43" t="n">
        <f aca="false">IF(Matrice_OD!R65&lt;=Param!$B$2,3_Huff!R65*3_Huff!R$139*1_Friction!R65,0)</f>
        <v>1.14767584189535E-005</v>
      </c>
      <c r="T65" s="43" t="n">
        <f aca="false">IF(Matrice_OD!S65&lt;=Param!$B$2,3_Huff!S65*3_Huff!S$139*1_Friction!S65,0)</f>
        <v>8.60882892429245E-006</v>
      </c>
      <c r="U65" s="43" t="n">
        <f aca="false">IF(Matrice_OD!T65&lt;=Param!$B$2,3_Huff!T65*3_Huff!T$139*1_Friction!T65,0)</f>
        <v>7.13287953807154E-007</v>
      </c>
      <c r="V65" s="43" t="n">
        <f aca="false">IF(Matrice_OD!U65&lt;=Param!$B$2,3_Huff!U65*3_Huff!U$139*1_Friction!U65,0)</f>
        <v>5.04012790024353E-008</v>
      </c>
      <c r="W65" s="43" t="n">
        <f aca="false">IF(Matrice_OD!V65&lt;=Param!$B$2,3_Huff!V65*3_Huff!V$139*1_Friction!V65,0)</f>
        <v>4.00691342133602E-008</v>
      </c>
      <c r="X65" s="43" t="n">
        <f aca="false">IF(Matrice_OD!W65&lt;=Param!$B$2,3_Huff!W65*3_Huff!W$139*1_Friction!W65,0)</f>
        <v>5.18686920952322E-009</v>
      </c>
      <c r="Y65" s="43" t="n">
        <f aca="false">IF(Matrice_OD!X65&lt;=Param!$B$2,3_Huff!X65*3_Huff!X$139*1_Friction!X65,0)</f>
        <v>6.75397740727563E-009</v>
      </c>
      <c r="Z65" s="43" t="n">
        <f aca="false">IF(Matrice_OD!Y65&lt;=Param!$B$2,3_Huff!Y65*3_Huff!Y$139*1_Friction!Y65,0)</f>
        <v>4.50221719099511E-009</v>
      </c>
      <c r="AA65" s="43" t="n">
        <f aca="false">IF(Matrice_OD!Z65&lt;=Param!$B$2,3_Huff!Z65*3_Huff!Z$139*1_Friction!Z65,0)</f>
        <v>1.07463618193042E-008</v>
      </c>
      <c r="AB65" s="43" t="n">
        <f aca="false">IF(Matrice_OD!AA65&lt;=Param!$B$2,3_Huff!AA65*3_Huff!AA$139*1_Friction!AA65,0)</f>
        <v>1.60498783377242E-008</v>
      </c>
      <c r="AC65" s="43" t="n">
        <f aca="false">IF(Matrice_OD!AB65&lt;=Param!$B$2,3_Huff!AB65*3_Huff!AB$139*1_Friction!AB65,0)</f>
        <v>0</v>
      </c>
      <c r="AD65" s="43" t="n">
        <f aca="false">IF(Matrice_OD!AC65&lt;=Param!$B$2,3_Huff!AC65*3_Huff!AC$139*1_Friction!AC65,0)</f>
        <v>0</v>
      </c>
      <c r="AE65" s="43" t="n">
        <f aca="false">IF(Matrice_OD!AD65&lt;=Param!$B$2,3_Huff!AD65*3_Huff!AD$139*1_Friction!AD65,0)</f>
        <v>0</v>
      </c>
      <c r="AF65" s="43" t="n">
        <f aca="false">IF(Matrice_OD!AE65&lt;=Param!$B$2,3_Huff!AE65*3_Huff!AE$139*1_Friction!AE65,0)</f>
        <v>0</v>
      </c>
      <c r="AG65" s="43" t="n">
        <f aca="false">IF(Matrice_OD!AF65&lt;=Param!$B$2,3_Huff!AF65*3_Huff!AF$139*1_Friction!AF65,0)</f>
        <v>0</v>
      </c>
      <c r="AH65" s="43" t="n">
        <f aca="false">IF(Matrice_OD!AG65&lt;=Param!$B$2,3_Huff!AG65*3_Huff!AG$139*1_Friction!AG65,0)</f>
        <v>7.21692445740439E-009</v>
      </c>
      <c r="AI65" s="43" t="n">
        <f aca="false">IF(Matrice_OD!AH65&lt;=Param!$B$2,3_Huff!AH65*3_Huff!AH$139*1_Friction!AH65,0)</f>
        <v>2.68226558721538E-005</v>
      </c>
      <c r="AJ65" s="43" t="n">
        <f aca="false">IF(Matrice_OD!AI65&lt;=Param!$B$2,3_Huff!AI65*3_Huff!AI$139*1_Friction!AI65,0)</f>
        <v>2.97122602723182E-007</v>
      </c>
      <c r="AK65" s="43" t="n">
        <f aca="false">IF(Matrice_OD!AJ65&lt;=Param!$B$2,3_Huff!AJ65*3_Huff!AJ$139*1_Friction!AJ65,0)</f>
        <v>8.83269160914389E-009</v>
      </c>
      <c r="AL65" s="43" t="n">
        <f aca="false">IF(Matrice_OD!AK65&lt;=Param!$B$2,3_Huff!AK65*3_Huff!AK$139*1_Friction!AK65,0)</f>
        <v>0</v>
      </c>
      <c r="AM65" s="0" t="n">
        <f aca="false">IF(Matrice_OD!AL65&lt;=Param!$B$2,3_Huff!AL65*3_Huff!AL$139*1_Friction!AL65,0)</f>
        <v>0</v>
      </c>
      <c r="AN65" s="0" t="n">
        <f aca="false">IF(Matrice_OD!AM65&lt;=Param!$B$2,3_Huff!AM65*3_Huff!AM$139*1_Friction!AM65,0)</f>
        <v>7.80312505298431E-006</v>
      </c>
      <c r="AO65" s="0" t="n">
        <f aca="false">IF(Matrice_OD!AN65&lt;=Param!$B$2,3_Huff!AN65*3_Huff!AN$139*1_Friction!AN65,0)</f>
        <v>0</v>
      </c>
      <c r="AP65" s="49" t="n">
        <f aca="false">SUM(D65:AO65)</f>
        <v>0.000415321729603657</v>
      </c>
      <c r="AQ65" s="43" t="n">
        <f aca="false">AP65*1000</f>
        <v>0.415321729603657</v>
      </c>
      <c r="AR65" s="43" t="n">
        <f aca="false">RANK(AP65,AP$2:AP$136,0)</f>
        <v>16</v>
      </c>
      <c r="AS65" s="43" t="n">
        <f aca="false">COUNTIF(Matrice_OD!$C65:$AN65,"&lt;="&amp;Param!$B$2)</f>
        <v>30</v>
      </c>
    </row>
    <row r="66" customFormat="false" ht="15" hidden="false" customHeight="true" outlineLevel="0" collapsed="false">
      <c r="A66" s="0" t="s">
        <v>230</v>
      </c>
      <c r="B66" s="0" t="s">
        <v>231</v>
      </c>
      <c r="C66" s="0" t="n">
        <f aca="false">Demande!C66</f>
        <v>1459</v>
      </c>
      <c r="D66" s="43" t="n">
        <f aca="false">IF(Matrice_OD!C66&lt;=Param!$B$2,3_Huff!C66*3_Huff!C$139*1_Friction!C66,0)</f>
        <v>3.5704848539375E-006</v>
      </c>
      <c r="E66" s="43" t="n">
        <f aca="false">IF(Matrice_OD!D66&lt;=Param!$B$2,3_Huff!D66*3_Huff!D$139*1_Friction!D66,0)</f>
        <v>2.893797031776E-006</v>
      </c>
      <c r="F66" s="43" t="n">
        <f aca="false">IF(Matrice_OD!E66&lt;=Param!$B$2,3_Huff!E66*3_Huff!E$139*1_Friction!E66,0)</f>
        <v>2.82803537459887E-005</v>
      </c>
      <c r="G66" s="43" t="n">
        <f aca="false">IF(Matrice_OD!F66&lt;=Param!$B$2,3_Huff!F66*3_Huff!F$139*1_Friction!F66,0)</f>
        <v>4.99823732894594E-006</v>
      </c>
      <c r="H66" s="43" t="n">
        <f aca="false">IF(Matrice_OD!G66&lt;=Param!$B$2,3_Huff!G66*3_Huff!G$139*1_Friction!G66,0)</f>
        <v>1.37252863486383E-005</v>
      </c>
      <c r="I66" s="43" t="n">
        <f aca="false">IF(Matrice_OD!H66&lt;=Param!$B$2,3_Huff!H66*3_Huff!H$139*1_Friction!H66,0)</f>
        <v>2.82094688770627E-006</v>
      </c>
      <c r="J66" s="43" t="n">
        <f aca="false">IF(Matrice_OD!I66&lt;=Param!$B$2,3_Huff!I66*3_Huff!I$139*1_Friction!I66,0)</f>
        <v>6.53461510651737E-006</v>
      </c>
      <c r="K66" s="43" t="n">
        <f aca="false">IF(Matrice_OD!J66&lt;=Param!$B$2,3_Huff!J66*3_Huff!J$139*1_Friction!J66,0)</f>
        <v>5.17773780313829E-006</v>
      </c>
      <c r="L66" s="43" t="n">
        <f aca="false">IF(Matrice_OD!K66&lt;=Param!$B$2,3_Huff!K66*3_Huff!K$139*1_Friction!K66,0)</f>
        <v>3.21773730602545E-006</v>
      </c>
      <c r="M66" s="43" t="n">
        <f aca="false">IF(Matrice_OD!L66&lt;=Param!$B$2,3_Huff!L66*3_Huff!L$139*1_Friction!L66,0)</f>
        <v>3.08423733312403E-006</v>
      </c>
      <c r="N66" s="43" t="n">
        <f aca="false">IF(Matrice_OD!M66&lt;=Param!$B$2,3_Huff!M66*3_Huff!M$139*1_Friction!M66,0)</f>
        <v>1.60352918973117E-005</v>
      </c>
      <c r="O66" s="43" t="n">
        <f aca="false">IF(Matrice_OD!N66&lt;=Param!$B$2,3_Huff!N66*3_Huff!N$139*1_Friction!N66,0)</f>
        <v>2.22911328140516E-006</v>
      </c>
      <c r="P66" s="43" t="n">
        <f aca="false">IF(Matrice_OD!O66&lt;=Param!$B$2,3_Huff!O66*3_Huff!O$139*1_Friction!O66,0)</f>
        <v>7.01470938254936E-006</v>
      </c>
      <c r="Q66" s="43" t="n">
        <f aca="false">IF(Matrice_OD!P66&lt;=Param!$B$2,3_Huff!P66*3_Huff!P$139*1_Friction!P66,0)</f>
        <v>3.355885348282E-006</v>
      </c>
      <c r="R66" s="43" t="n">
        <f aca="false">IF(Matrice_OD!Q66&lt;=Param!$B$2,3_Huff!Q66*3_Huff!Q$139*1_Friction!Q66,0)</f>
        <v>2.86212086867675E-005</v>
      </c>
      <c r="S66" s="43" t="n">
        <f aca="false">IF(Matrice_OD!R66&lt;=Param!$B$2,3_Huff!R66*3_Huff!R$139*1_Friction!R66,0)</f>
        <v>3.79459028259307E-006</v>
      </c>
      <c r="T66" s="43" t="n">
        <f aca="false">IF(Matrice_OD!S66&lt;=Param!$B$2,3_Huff!S66*3_Huff!S$139*1_Friction!S66,0)</f>
        <v>2.80190611853968E-006</v>
      </c>
      <c r="U66" s="43" t="n">
        <f aca="false">IF(Matrice_OD!T66&lt;=Param!$B$2,3_Huff!T66*3_Huff!T$139*1_Friction!T66,0)</f>
        <v>1.26559309115871E-007</v>
      </c>
      <c r="V66" s="43" t="n">
        <f aca="false">IF(Matrice_OD!U66&lt;=Param!$B$2,3_Huff!U66*3_Huff!U$139*1_Friction!U66,0)</f>
        <v>0</v>
      </c>
      <c r="W66" s="43" t="n">
        <f aca="false">IF(Matrice_OD!V66&lt;=Param!$B$2,3_Huff!V66*3_Huff!V$139*1_Friction!V66,0)</f>
        <v>0</v>
      </c>
      <c r="X66" s="43" t="n">
        <f aca="false">IF(Matrice_OD!W66&lt;=Param!$B$2,3_Huff!W66*3_Huff!W$139*1_Friction!W66,0)</f>
        <v>0</v>
      </c>
      <c r="Y66" s="43" t="n">
        <f aca="false">IF(Matrice_OD!X66&lt;=Param!$B$2,3_Huff!X66*3_Huff!X$139*1_Friction!X66,0)</f>
        <v>0</v>
      </c>
      <c r="Z66" s="43" t="n">
        <f aca="false">IF(Matrice_OD!Y66&lt;=Param!$B$2,3_Huff!Y66*3_Huff!Y$139*1_Friction!Y66,0)</f>
        <v>0</v>
      </c>
      <c r="AA66" s="43" t="n">
        <f aca="false">IF(Matrice_OD!Z66&lt;=Param!$B$2,3_Huff!Z66*3_Huff!Z$139*1_Friction!Z66,0)</f>
        <v>0</v>
      </c>
      <c r="AB66" s="43" t="n">
        <f aca="false">IF(Matrice_OD!AA66&lt;=Param!$B$2,3_Huff!AA66*3_Huff!AA$139*1_Friction!AA66,0)</f>
        <v>0</v>
      </c>
      <c r="AC66" s="43" t="n">
        <f aca="false">IF(Matrice_OD!AB66&lt;=Param!$B$2,3_Huff!AB66*3_Huff!AB$139*1_Friction!AB66,0)</f>
        <v>0</v>
      </c>
      <c r="AD66" s="43" t="n">
        <f aca="false">IF(Matrice_OD!AC66&lt;=Param!$B$2,3_Huff!AC66*3_Huff!AC$139*1_Friction!AC66,0)</f>
        <v>0</v>
      </c>
      <c r="AE66" s="43" t="n">
        <f aca="false">IF(Matrice_OD!AD66&lt;=Param!$B$2,3_Huff!AD66*3_Huff!AD$139*1_Friction!AD66,0)</f>
        <v>0</v>
      </c>
      <c r="AF66" s="43" t="n">
        <f aca="false">IF(Matrice_OD!AE66&lt;=Param!$B$2,3_Huff!AE66*3_Huff!AE$139*1_Friction!AE66,0)</f>
        <v>0</v>
      </c>
      <c r="AG66" s="43" t="n">
        <f aca="false">IF(Matrice_OD!AF66&lt;=Param!$B$2,3_Huff!AF66*3_Huff!AF$139*1_Friction!AF66,0)</f>
        <v>0</v>
      </c>
      <c r="AH66" s="43" t="n">
        <f aca="false">IF(Matrice_OD!AG66&lt;=Param!$B$2,3_Huff!AG66*3_Huff!AG$139*1_Friction!AG66,0)</f>
        <v>3.91661467311316E-007</v>
      </c>
      <c r="AI66" s="43" t="n">
        <f aca="false">IF(Matrice_OD!AH66&lt;=Param!$B$2,3_Huff!AH66*3_Huff!AH$139*1_Friction!AH66,0)</f>
        <v>8.35540920461374E-006</v>
      </c>
      <c r="AJ66" s="43" t="n">
        <f aca="false">IF(Matrice_OD!AI66&lt;=Param!$B$2,3_Huff!AI66*3_Huff!AI$139*1_Friction!AI66,0)</f>
        <v>7.19121100906792E-008</v>
      </c>
      <c r="AK66" s="43" t="n">
        <f aca="false">IF(Matrice_OD!AJ66&lt;=Param!$B$2,3_Huff!AJ66*3_Huff!AJ$139*1_Friction!AJ66,0)</f>
        <v>0</v>
      </c>
      <c r="AL66" s="43" t="n">
        <f aca="false">IF(Matrice_OD!AK66&lt;=Param!$B$2,3_Huff!AK66*3_Huff!AK$139*1_Friction!AK66,0)</f>
        <v>0</v>
      </c>
      <c r="AM66" s="0" t="n">
        <f aca="false">IF(Matrice_OD!AL66&lt;=Param!$B$2,3_Huff!AL66*3_Huff!AL$139*1_Friction!AL66,0)</f>
        <v>0</v>
      </c>
      <c r="AN66" s="0" t="n">
        <f aca="false">IF(Matrice_OD!AM66&lt;=Param!$B$2,3_Huff!AM66*3_Huff!AM$139*1_Friction!AM66,0)</f>
        <v>8.08417210159955E-006</v>
      </c>
      <c r="AO66" s="0" t="n">
        <f aca="false">IF(Matrice_OD!AN66&lt;=Param!$B$2,3_Huff!AN66*3_Huff!AN$139*1_Friction!AN66,0)</f>
        <v>0</v>
      </c>
      <c r="AP66" s="48" t="n">
        <f aca="false">SUM(D66:AO66)</f>
        <v>0.000155185852935978</v>
      </c>
      <c r="AQ66" s="43" t="n">
        <f aca="false">AP66*1000</f>
        <v>0.155185852935978</v>
      </c>
      <c r="AR66" s="43" t="n">
        <f aca="false">RANK(AP66,AP$2:AP$136,0)</f>
        <v>58</v>
      </c>
      <c r="AS66" s="43" t="n">
        <f aca="false">COUNTIF(Matrice_OD!$C66:$AN66,"&lt;="&amp;Param!$B$2)</f>
        <v>22</v>
      </c>
    </row>
    <row r="67" customFormat="false" ht="15" hidden="false" customHeight="true" outlineLevel="0" collapsed="false">
      <c r="A67" s="0" t="s">
        <v>232</v>
      </c>
      <c r="B67" s="0" t="s">
        <v>233</v>
      </c>
      <c r="C67" s="0" t="n">
        <f aca="false">Demande!C67</f>
        <v>23675</v>
      </c>
      <c r="D67" s="43" t="n">
        <f aca="false">IF(Matrice_OD!C67&lt;=Param!$B$2,3_Huff!C67*3_Huff!C$139*1_Friction!C67,0)</f>
        <v>1.09734024311285E-005</v>
      </c>
      <c r="E67" s="43" t="n">
        <f aca="false">IF(Matrice_OD!D67&lt;=Param!$B$2,3_Huff!D67*3_Huff!D$139*1_Friction!D67,0)</f>
        <v>3.79227831713116E-006</v>
      </c>
      <c r="F67" s="43" t="n">
        <f aca="false">IF(Matrice_OD!E67&lt;=Param!$B$2,3_Huff!E67*3_Huff!E$139*1_Friction!E67,0)</f>
        <v>3.80468280027874E-005</v>
      </c>
      <c r="G67" s="43" t="n">
        <f aca="false">IF(Matrice_OD!F67&lt;=Param!$B$2,3_Huff!F67*3_Huff!F$139*1_Friction!F67,0)</f>
        <v>6.73681221588074E-006</v>
      </c>
      <c r="H67" s="43" t="n">
        <f aca="false">IF(Matrice_OD!G67&lt;=Param!$B$2,3_Huff!G67*3_Huff!G$139*1_Friction!G67,0)</f>
        <v>1.86651963232891E-005</v>
      </c>
      <c r="I67" s="43" t="n">
        <f aca="false">IF(Matrice_OD!H67&lt;=Param!$B$2,3_Huff!H67*3_Huff!H$139*1_Friction!H67,0)</f>
        <v>3.87778377066604E-006</v>
      </c>
      <c r="J67" s="43" t="n">
        <f aca="false">IF(Matrice_OD!I67&lt;=Param!$B$2,3_Huff!I67*3_Huff!I$139*1_Friction!I67,0)</f>
        <v>9.00241055708292E-006</v>
      </c>
      <c r="K67" s="43" t="n">
        <f aca="false">IF(Matrice_OD!J67&lt;=Param!$B$2,3_Huff!J67*3_Huff!J$139*1_Friction!J67,0)</f>
        <v>7.17041903063032E-006</v>
      </c>
      <c r="L67" s="43" t="n">
        <f aca="false">IF(Matrice_OD!K67&lt;=Param!$B$2,3_Huff!K67*3_Huff!K$139*1_Friction!K67,0)</f>
        <v>4.47112483691629E-006</v>
      </c>
      <c r="M67" s="43" t="n">
        <f aca="false">IF(Matrice_OD!L67&lt;=Param!$B$2,3_Huff!L67*3_Huff!L$139*1_Friction!L67,0)</f>
        <v>4.29067485185455E-006</v>
      </c>
      <c r="N67" s="43" t="n">
        <f aca="false">IF(Matrice_OD!M67&lt;=Param!$B$2,3_Huff!M67*3_Huff!M$139*1_Friction!M67,0)</f>
        <v>2.23189595108579E-005</v>
      </c>
      <c r="O67" s="43" t="n">
        <f aca="false">IF(Matrice_OD!N67&lt;=Param!$B$2,3_Huff!N67*3_Huff!N$139*1_Friction!N67,0)</f>
        <v>3.11832808670531E-006</v>
      </c>
      <c r="P67" s="43" t="n">
        <f aca="false">IF(Matrice_OD!O67&lt;=Param!$B$2,3_Huff!O67*3_Huff!O$139*1_Friction!O67,0)</f>
        <v>9.8228580587776E-006</v>
      </c>
      <c r="Q67" s="43" t="n">
        <f aca="false">IF(Matrice_OD!P67&lt;=Param!$B$2,3_Huff!P67*3_Huff!P$139*1_Friction!P67,0)</f>
        <v>4.70644597970305E-006</v>
      </c>
      <c r="R67" s="43" t="n">
        <f aca="false">IF(Matrice_OD!Q67&lt;=Param!$B$2,3_Huff!Q67*3_Huff!Q$139*1_Friction!Q67,0)</f>
        <v>4.03700113743218E-005</v>
      </c>
      <c r="S67" s="43" t="n">
        <f aca="false">IF(Matrice_OD!R67&lt;=Param!$B$2,3_Huff!R67*3_Huff!R$139*1_Friction!R67,0)</f>
        <v>5.36396475016012E-006</v>
      </c>
      <c r="T67" s="43" t="n">
        <f aca="false">IF(Matrice_OD!S67&lt;=Param!$B$2,3_Huff!S67*3_Huff!S$139*1_Friction!S67,0)</f>
        <v>3.97943141706284E-006</v>
      </c>
      <c r="U67" s="43" t="n">
        <f aca="false">IF(Matrice_OD!T67&lt;=Param!$B$2,3_Huff!T67*3_Huff!T$139*1_Friction!T67,0)</f>
        <v>1.28416140775988E-006</v>
      </c>
      <c r="V67" s="43" t="n">
        <f aca="false">IF(Matrice_OD!U67&lt;=Param!$B$2,3_Huff!U67*3_Huff!U$139*1_Friction!U67,0)</f>
        <v>3.59018987470045E-009</v>
      </c>
      <c r="W67" s="43" t="n">
        <f aca="false">IF(Matrice_OD!V67&lt;=Param!$B$2,3_Huff!V67*3_Huff!V$139*1_Friction!V67,0)</f>
        <v>3.90213298278423E-008</v>
      </c>
      <c r="X67" s="43" t="n">
        <f aca="false">IF(Matrice_OD!W67&lt;=Param!$B$2,3_Huff!W67*3_Huff!W$139*1_Friction!W67,0)</f>
        <v>0</v>
      </c>
      <c r="Y67" s="43" t="n">
        <f aca="false">IF(Matrice_OD!X67&lt;=Param!$B$2,3_Huff!X67*3_Huff!X$139*1_Friction!X67,0)</f>
        <v>0</v>
      </c>
      <c r="Z67" s="43" t="n">
        <f aca="false">IF(Matrice_OD!Y67&lt;=Param!$B$2,3_Huff!Y67*3_Huff!Y$139*1_Friction!Y67,0)</f>
        <v>0</v>
      </c>
      <c r="AA67" s="43" t="n">
        <f aca="false">IF(Matrice_OD!Z67&lt;=Param!$B$2,3_Huff!Z67*3_Huff!Z$139*1_Friction!Z67,0)</f>
        <v>0</v>
      </c>
      <c r="AB67" s="43" t="n">
        <f aca="false">IF(Matrice_OD!AA67&lt;=Param!$B$2,3_Huff!AA67*3_Huff!AA$139*1_Friction!AA67,0)</f>
        <v>0</v>
      </c>
      <c r="AC67" s="43" t="n">
        <f aca="false">IF(Matrice_OD!AB67&lt;=Param!$B$2,3_Huff!AB67*3_Huff!AB$139*1_Friction!AB67,0)</f>
        <v>0</v>
      </c>
      <c r="AD67" s="43" t="n">
        <f aca="false">IF(Matrice_OD!AC67&lt;=Param!$B$2,3_Huff!AC67*3_Huff!AC$139*1_Friction!AC67,0)</f>
        <v>0</v>
      </c>
      <c r="AE67" s="43" t="n">
        <f aca="false">IF(Matrice_OD!AD67&lt;=Param!$B$2,3_Huff!AD67*3_Huff!AD$139*1_Friction!AD67,0)</f>
        <v>0</v>
      </c>
      <c r="AF67" s="43" t="n">
        <f aca="false">IF(Matrice_OD!AE67&lt;=Param!$B$2,3_Huff!AE67*3_Huff!AE$139*1_Friction!AE67,0)</f>
        <v>0</v>
      </c>
      <c r="AG67" s="43" t="n">
        <f aca="false">IF(Matrice_OD!AF67&lt;=Param!$B$2,3_Huff!AF67*3_Huff!AF$139*1_Friction!AF67,0)</f>
        <v>0</v>
      </c>
      <c r="AH67" s="43" t="n">
        <f aca="false">IF(Matrice_OD!AG67&lt;=Param!$B$2,3_Huff!AG67*3_Huff!AG$139*1_Friction!AG67,0)</f>
        <v>5.13173203164559E-010</v>
      </c>
      <c r="AI67" s="43" t="n">
        <f aca="false">IF(Matrice_OD!AH67&lt;=Param!$B$2,3_Huff!AH67*3_Huff!AH$139*1_Friction!AH67,0)</f>
        <v>1.20236384813E-005</v>
      </c>
      <c r="AJ67" s="43" t="n">
        <f aca="false">IF(Matrice_OD!AI67&lt;=Param!$B$2,3_Huff!AI67*3_Huff!AI$139*1_Friction!AI67,0)</f>
        <v>6.90427560099968E-007</v>
      </c>
      <c r="AK67" s="43" t="n">
        <f aca="false">IF(Matrice_OD!AJ67&lt;=Param!$B$2,3_Huff!AJ67*3_Huff!AJ$139*1_Friction!AJ67,0)</f>
        <v>0</v>
      </c>
      <c r="AL67" s="43" t="n">
        <f aca="false">IF(Matrice_OD!AK67&lt;=Param!$B$2,3_Huff!AK67*3_Huff!AK$139*1_Friction!AK67,0)</f>
        <v>0</v>
      </c>
      <c r="AM67" s="0" t="n">
        <f aca="false">IF(Matrice_OD!AL67&lt;=Param!$B$2,3_Huff!AL67*3_Huff!AL$139*1_Friction!AL67,0)</f>
        <v>0</v>
      </c>
      <c r="AN67" s="0" t="n">
        <f aca="false">IF(Matrice_OD!AM67&lt;=Param!$B$2,3_Huff!AM67*3_Huff!AM$139*1_Friction!AM67,0)</f>
        <v>2.64319027237632E-005</v>
      </c>
      <c r="AO67" s="0" t="n">
        <f aca="false">IF(Matrice_OD!AN67&lt;=Param!$B$2,3_Huff!AN67*3_Huff!AN$139*1_Friction!AN67,0)</f>
        <v>0</v>
      </c>
      <c r="AP67" s="49" t="n">
        <f aca="false">SUM(D67:AO67)</f>
        <v>0.000237180184380784</v>
      </c>
      <c r="AQ67" s="43" t="n">
        <f aca="false">AP67*1000</f>
        <v>0.237180184380784</v>
      </c>
      <c r="AR67" s="43" t="n">
        <f aca="false">RANK(AP67,AP$2:AP$136,0)</f>
        <v>38</v>
      </c>
      <c r="AS67" s="43" t="n">
        <f aca="false">COUNTIF(Matrice_OD!$C67:$AN67,"&lt;="&amp;Param!$B$2)</f>
        <v>24</v>
      </c>
    </row>
    <row r="68" customFormat="false" ht="15" hidden="false" customHeight="true" outlineLevel="0" collapsed="false">
      <c r="A68" s="0" t="s">
        <v>234</v>
      </c>
      <c r="B68" s="0" t="s">
        <v>235</v>
      </c>
      <c r="C68" s="0" t="n">
        <f aca="false">Demande!C68</f>
        <v>97380</v>
      </c>
      <c r="D68" s="43" t="n">
        <f aca="false">IF(Matrice_OD!C68&lt;=Param!$B$2,3_Huff!C68*3_Huff!C$139*1_Friction!C68,0)</f>
        <v>5.23967108350472E-006</v>
      </c>
      <c r="E68" s="43" t="n">
        <f aca="false">IF(Matrice_OD!D68&lt;=Param!$B$2,3_Huff!D68*3_Huff!D$139*1_Friction!D68,0)</f>
        <v>2.04890203280717E-006</v>
      </c>
      <c r="F68" s="43" t="n">
        <f aca="false">IF(Matrice_OD!E68&lt;=Param!$B$2,3_Huff!E68*3_Huff!E$139*1_Friction!E68,0)</f>
        <v>2.07581327525336E-005</v>
      </c>
      <c r="G68" s="43" t="n">
        <f aca="false">IF(Matrice_OD!F68&lt;=Param!$B$2,3_Huff!F68*3_Huff!F$139*1_Friction!F68,0)</f>
        <v>3.80406756889582E-006</v>
      </c>
      <c r="H68" s="43" t="n">
        <f aca="false">IF(Matrice_OD!G68&lt;=Param!$B$2,3_Huff!G68*3_Huff!G$139*1_Friction!G68,0)</f>
        <v>1.01618599919778E-005</v>
      </c>
      <c r="I68" s="43" t="n">
        <f aca="false">IF(Matrice_OD!H68&lt;=Param!$B$2,3_Huff!H68*3_Huff!H$139*1_Friction!H68,0)</f>
        <v>2.89685463393291E-006</v>
      </c>
      <c r="J68" s="43" t="n">
        <f aca="false">IF(Matrice_OD!I68&lt;=Param!$B$2,3_Huff!I68*3_Huff!I$139*1_Friction!I68,0)</f>
        <v>5.77145595686022E-006</v>
      </c>
      <c r="K68" s="43" t="n">
        <f aca="false">IF(Matrice_OD!J68&lt;=Param!$B$2,3_Huff!J68*3_Huff!J$139*1_Friction!J68,0)</f>
        <v>4.50619899083776E-006</v>
      </c>
      <c r="L68" s="43" t="n">
        <f aca="false">IF(Matrice_OD!K68&lt;=Param!$B$2,3_Huff!K68*3_Huff!K$139*1_Friction!K68,0)</f>
        <v>2.81257113047547E-006</v>
      </c>
      <c r="M68" s="43" t="n">
        <f aca="false">IF(Matrice_OD!L68&lt;=Param!$B$2,3_Huff!L68*3_Huff!L$139*1_Friction!L68,0)</f>
        <v>2.90696584161053E-006</v>
      </c>
      <c r="N68" s="43" t="n">
        <f aca="false">IF(Matrice_OD!M68&lt;=Param!$B$2,3_Huff!M68*3_Huff!M$139*1_Friction!M68,0)</f>
        <v>1.67307469186288E-005</v>
      </c>
      <c r="O68" s="43" t="n">
        <f aca="false">IF(Matrice_OD!N68&lt;=Param!$B$2,3_Huff!N68*3_Huff!N$139*1_Friction!N68,0)</f>
        <v>2.15894565499202E-006</v>
      </c>
      <c r="P68" s="43" t="n">
        <f aca="false">IF(Matrice_OD!O68&lt;=Param!$B$2,3_Huff!O68*3_Huff!O$139*1_Friction!O68,0)</f>
        <v>6.66659608385426E-006</v>
      </c>
      <c r="Q68" s="43" t="n">
        <f aca="false">IF(Matrice_OD!P68&lt;=Param!$B$2,3_Huff!P68*3_Huff!P$139*1_Friction!P68,0)</f>
        <v>3.19478781445137E-006</v>
      </c>
      <c r="R68" s="43" t="n">
        <f aca="false">IF(Matrice_OD!Q68&lt;=Param!$B$2,3_Huff!Q68*3_Huff!Q$139*1_Friction!Q68,0)</f>
        <v>2.74233249044872E-005</v>
      </c>
      <c r="S68" s="43" t="n">
        <f aca="false">IF(Matrice_OD!R68&lt;=Param!$B$2,3_Huff!R68*3_Huff!R$139*1_Friction!R68,0)</f>
        <v>3.64474005745801E-006</v>
      </c>
      <c r="T68" s="43" t="n">
        <f aca="false">IF(Matrice_OD!S68&lt;=Param!$B$2,3_Huff!S68*3_Huff!S$139*1_Friction!S68,0)</f>
        <v>2.70557049537569E-006</v>
      </c>
      <c r="U68" s="43" t="n">
        <f aca="false">IF(Matrice_OD!T68&lt;=Param!$B$2,3_Huff!T68*3_Huff!T$139*1_Friction!T68,0)</f>
        <v>1.58169135297957E-005</v>
      </c>
      <c r="V68" s="43" t="n">
        <f aca="false">IF(Matrice_OD!U68&lt;=Param!$B$2,3_Huff!U68*3_Huff!U$139*1_Friction!U68,0)</f>
        <v>2.76841156662045E-006</v>
      </c>
      <c r="W68" s="43" t="n">
        <f aca="false">IF(Matrice_OD!V68&lt;=Param!$B$2,3_Huff!V68*3_Huff!V$139*1_Friction!V68,0)</f>
        <v>3.34126451748411E-005</v>
      </c>
      <c r="X68" s="43" t="n">
        <f aca="false">IF(Matrice_OD!W68&lt;=Param!$B$2,3_Huff!W68*3_Huff!W$139*1_Friction!W68,0)</f>
        <v>5.43970852184125E-006</v>
      </c>
      <c r="Y68" s="43" t="n">
        <f aca="false">IF(Matrice_OD!X68&lt;=Param!$B$2,3_Huff!X68*3_Huff!X$139*1_Friction!X68,0)</f>
        <v>7.16710411739578E-006</v>
      </c>
      <c r="Z68" s="43" t="n">
        <f aca="false">IF(Matrice_OD!Y68&lt;=Param!$B$2,3_Huff!Y68*3_Huff!Y$139*1_Friction!Y68,0)</f>
        <v>4.79230584843295E-006</v>
      </c>
      <c r="AA68" s="43" t="n">
        <f aca="false">IF(Matrice_OD!Z68&lt;=Param!$B$2,3_Huff!Z68*3_Huff!Z$139*1_Friction!Z68,0)</f>
        <v>1.17995157973196E-005</v>
      </c>
      <c r="AB68" s="43" t="n">
        <f aca="false">IF(Matrice_OD!AA68&lt;=Param!$B$2,3_Huff!AA68*3_Huff!AA$139*1_Friction!AA68,0)</f>
        <v>2.0562518174524E-005</v>
      </c>
      <c r="AC68" s="43" t="n">
        <f aca="false">IF(Matrice_OD!AB68&lt;=Param!$B$2,3_Huff!AB68*3_Huff!AB$139*1_Friction!AB68,0)</f>
        <v>8.60941012647163E-006</v>
      </c>
      <c r="AD68" s="43" t="n">
        <f aca="false">IF(Matrice_OD!AC68&lt;=Param!$B$2,3_Huff!AC68*3_Huff!AC$139*1_Friction!AC68,0)</f>
        <v>0</v>
      </c>
      <c r="AE68" s="43" t="n">
        <f aca="false">IF(Matrice_OD!AD68&lt;=Param!$B$2,3_Huff!AD68*3_Huff!AD$139*1_Friction!AD68,0)</f>
        <v>0</v>
      </c>
      <c r="AF68" s="43" t="n">
        <f aca="false">IF(Matrice_OD!AE68&lt;=Param!$B$2,3_Huff!AE68*3_Huff!AE$139*1_Friction!AE68,0)</f>
        <v>0</v>
      </c>
      <c r="AG68" s="43" t="n">
        <f aca="false">IF(Matrice_OD!AF68&lt;=Param!$B$2,3_Huff!AF68*3_Huff!AF$139*1_Friction!AF68,0)</f>
        <v>0</v>
      </c>
      <c r="AH68" s="43" t="n">
        <f aca="false">IF(Matrice_OD!AG68&lt;=Param!$B$2,3_Huff!AG68*3_Huff!AG$139*1_Friction!AG68,0)</f>
        <v>0</v>
      </c>
      <c r="AI68" s="43" t="n">
        <f aca="false">IF(Matrice_OD!AH68&lt;=Param!$B$2,3_Huff!AH68*3_Huff!AH$139*1_Friction!AH68,0)</f>
        <v>8.18823284626398E-006</v>
      </c>
      <c r="AJ68" s="43" t="n">
        <f aca="false">IF(Matrice_OD!AI68&lt;=Param!$B$2,3_Huff!AI68*3_Huff!AI$139*1_Friction!AI68,0)</f>
        <v>7.34886459067211E-006</v>
      </c>
      <c r="AK68" s="43" t="n">
        <f aca="false">IF(Matrice_OD!AJ68&lt;=Param!$B$2,3_Huff!AJ68*3_Huff!AJ$139*1_Friction!AJ68,0)</f>
        <v>1.0275551212392E-005</v>
      </c>
      <c r="AL68" s="43" t="n">
        <f aca="false">IF(Matrice_OD!AK68&lt;=Param!$B$2,3_Huff!AK68*3_Huff!AK$139*1_Friction!AK68,0)</f>
        <v>0</v>
      </c>
      <c r="AM68" s="0" t="n">
        <f aca="false">IF(Matrice_OD!AL68&lt;=Param!$B$2,3_Huff!AL68*3_Huff!AL$139*1_Friction!AL68,0)</f>
        <v>0</v>
      </c>
      <c r="AN68" s="0" t="n">
        <f aca="false">IF(Matrice_OD!AM68&lt;=Param!$B$2,3_Huff!AM68*3_Huff!AM$139*1_Friction!AM68,0)</f>
        <v>1.31525380201556E-005</v>
      </c>
      <c r="AO68" s="0" t="n">
        <f aca="false">IF(Matrice_OD!AN68&lt;=Param!$B$2,3_Huff!AN68*3_Huff!AN$139*1_Friction!AN68,0)</f>
        <v>0</v>
      </c>
      <c r="AP68" s="48" t="n">
        <f aca="false">SUM(D68:AO68)</f>
        <v>0.000272765111439409</v>
      </c>
      <c r="AQ68" s="43" t="n">
        <f aca="false">AP68*1000</f>
        <v>0.272765111439409</v>
      </c>
      <c r="AR68" s="43" t="n">
        <f aca="false">RANK(AP68,AP$2:AP$136,0)</f>
        <v>30</v>
      </c>
      <c r="AS68" s="43" t="n">
        <f aca="false">COUNTIF(Matrice_OD!$C68:$AN68,"&lt;="&amp;Param!$B$2)</f>
        <v>30</v>
      </c>
    </row>
    <row r="69" customFormat="false" ht="15" hidden="false" customHeight="true" outlineLevel="0" collapsed="false">
      <c r="A69" s="0" t="s">
        <v>236</v>
      </c>
      <c r="B69" s="0" t="s">
        <v>237</v>
      </c>
      <c r="C69" s="0" t="n">
        <f aca="false">Demande!C69</f>
        <v>60293</v>
      </c>
      <c r="D69" s="43" t="n">
        <f aca="false">IF(Matrice_OD!C69&lt;=Param!$B$2,3_Huff!C69*3_Huff!C$139*1_Friction!C69,0)</f>
        <v>1.47519264667615E-005</v>
      </c>
      <c r="E69" s="43" t="n">
        <f aca="false">IF(Matrice_OD!D69&lt;=Param!$B$2,3_Huff!D69*3_Huff!D$139*1_Friction!D69,0)</f>
        <v>3.96822760158573E-006</v>
      </c>
      <c r="F69" s="43" t="n">
        <f aca="false">IF(Matrice_OD!E69&lt;=Param!$B$2,3_Huff!E69*3_Huff!E$139*1_Friction!E69,0)</f>
        <v>4.04197654216964E-005</v>
      </c>
      <c r="G69" s="43" t="n">
        <f aca="false">IF(Matrice_OD!F69&lt;=Param!$B$2,3_Huff!F69*3_Huff!F$139*1_Friction!F69,0)</f>
        <v>7.16462850690379E-006</v>
      </c>
      <c r="H69" s="43" t="n">
        <f aca="false">IF(Matrice_OD!G69&lt;=Param!$B$2,3_Huff!G69*3_Huff!G$139*1_Friction!G69,0)</f>
        <v>1.99529428033443E-005</v>
      </c>
      <c r="I69" s="43" t="n">
        <f aca="false">IF(Matrice_OD!H69&lt;=Param!$B$2,3_Huff!H69*3_Huff!H$139*1_Friction!H69,0)</f>
        <v>4.16776590361422E-006</v>
      </c>
      <c r="J69" s="43" t="n">
        <f aca="false">IF(Matrice_OD!I69&lt;=Param!$B$2,3_Huff!I69*3_Huff!I$139*1_Friction!I69,0)</f>
        <v>9.68780763758902E-006</v>
      </c>
      <c r="K69" s="43" t="n">
        <f aca="false">IF(Matrice_OD!J69&lt;=Param!$B$2,3_Huff!J69*3_Huff!J$139*1_Friction!J69,0)</f>
        <v>7.73954668056836E-006</v>
      </c>
      <c r="L69" s="43" t="n">
        <f aca="false">IF(Matrice_OD!K69&lt;=Param!$B$2,3_Huff!K69*3_Huff!K$139*1_Friction!K69,0)</f>
        <v>4.83937542396766E-006</v>
      </c>
      <c r="M69" s="43" t="n">
        <f aca="false">IF(Matrice_OD!L69&lt;=Param!$B$2,3_Huff!L69*3_Huff!L$139*1_Friction!L69,0)</f>
        <v>4.64336253352669E-006</v>
      </c>
      <c r="N69" s="43" t="n">
        <f aca="false">IF(Matrice_OD!M69&lt;=Param!$B$2,3_Huff!M69*3_Huff!M$139*1_Friction!M69,0)</f>
        <v>2.41605688033649E-005</v>
      </c>
      <c r="O69" s="43" t="n">
        <f aca="false">IF(Matrice_OD!N69&lt;=Param!$B$2,3_Huff!N69*3_Huff!N$139*1_Friction!N69,0)</f>
        <v>3.38829518642566E-006</v>
      </c>
      <c r="P69" s="43" t="n">
        <f aca="false">IF(Matrice_OD!O69&lt;=Param!$B$2,3_Huff!O69*3_Huff!O$139*1_Friction!O69,0)</f>
        <v>1.06794856846556E-005</v>
      </c>
      <c r="Q69" s="43" t="n">
        <f aca="false">IF(Matrice_OD!P69&lt;=Param!$B$2,3_Huff!P69*3_Huff!P$139*1_Friction!P69,0)</f>
        <v>5.11704954234163E-006</v>
      </c>
      <c r="R69" s="43" t="n">
        <f aca="false">IF(Matrice_OD!Q69&lt;=Param!$B$2,3_Huff!Q69*3_Huff!Q$139*1_Friction!Q69,0)</f>
        <v>4.40742340207248E-005</v>
      </c>
      <c r="S69" s="43" t="n">
        <f aca="false">IF(Matrice_OD!R69&lt;=Param!$B$2,3_Huff!R69*3_Huff!R$139*1_Friction!R69,0)</f>
        <v>5.86354231474833E-006</v>
      </c>
      <c r="T69" s="43" t="n">
        <f aca="false">IF(Matrice_OD!S69&lt;=Param!$B$2,3_Huff!S69*3_Huff!S$139*1_Friction!S69,0)</f>
        <v>4.36190308795453E-006</v>
      </c>
      <c r="U69" s="43" t="n">
        <f aca="false">IF(Matrice_OD!T69&lt;=Param!$B$2,3_Huff!T69*3_Huff!T$139*1_Friction!T69,0)</f>
        <v>7.01657257845593E-006</v>
      </c>
      <c r="V69" s="43" t="n">
        <f aca="false">IF(Matrice_OD!U69&lt;=Param!$B$2,3_Huff!U69*3_Huff!U$139*1_Friction!U69,0)</f>
        <v>9.08954272437831E-008</v>
      </c>
      <c r="W69" s="43" t="n">
        <f aca="false">IF(Matrice_OD!V69&lt;=Param!$B$2,3_Huff!V69*3_Huff!V$139*1_Friction!V69,0)</f>
        <v>1.34611462110415E-006</v>
      </c>
      <c r="X69" s="43" t="n">
        <f aca="false">IF(Matrice_OD!W69&lt;=Param!$B$2,3_Huff!W69*3_Huff!W$139*1_Friction!W69,0)</f>
        <v>1.90756851383945E-007</v>
      </c>
      <c r="Y69" s="43" t="n">
        <f aca="false">IF(Matrice_OD!X69&lt;=Param!$B$2,3_Huff!X69*3_Huff!X$139*1_Friction!X69,0)</f>
        <v>2.49562365693771E-007</v>
      </c>
      <c r="Z69" s="43" t="n">
        <f aca="false">IF(Matrice_OD!Y69&lt;=Param!$B$2,3_Huff!Y69*3_Huff!Y$139*1_Friction!Y69,0)</f>
        <v>1.66501321686641E-007</v>
      </c>
      <c r="AA69" s="43" t="n">
        <f aca="false">IF(Matrice_OD!Z69&lt;=Param!$B$2,3_Huff!Z69*3_Huff!Z$139*1_Friction!Z69,0)</f>
        <v>4.02386240635117E-007</v>
      </c>
      <c r="AB69" s="43" t="n">
        <f aca="false">IF(Matrice_OD!AA69&lt;=Param!$B$2,3_Huff!AA69*3_Huff!AA$139*1_Friction!AA69,0)</f>
        <v>6.39448402257113E-007</v>
      </c>
      <c r="AC69" s="43" t="n">
        <f aca="false">IF(Matrice_OD!AB69&lt;=Param!$B$2,3_Huff!AB69*3_Huff!AB$139*1_Friction!AB69,0)</f>
        <v>2.55214949678751E-007</v>
      </c>
      <c r="AD69" s="43" t="n">
        <f aca="false">IF(Matrice_OD!AC69&lt;=Param!$B$2,3_Huff!AC69*3_Huff!AC$139*1_Friction!AC69,0)</f>
        <v>0</v>
      </c>
      <c r="AE69" s="43" t="n">
        <f aca="false">IF(Matrice_OD!AD69&lt;=Param!$B$2,3_Huff!AD69*3_Huff!AD$139*1_Friction!AD69,0)</f>
        <v>0</v>
      </c>
      <c r="AF69" s="43" t="n">
        <f aca="false">IF(Matrice_OD!AE69&lt;=Param!$B$2,3_Huff!AE69*3_Huff!AE$139*1_Friction!AE69,0)</f>
        <v>0</v>
      </c>
      <c r="AG69" s="43" t="n">
        <f aca="false">IF(Matrice_OD!AF69&lt;=Param!$B$2,3_Huff!AF69*3_Huff!AF$139*1_Friction!AF69,0)</f>
        <v>0</v>
      </c>
      <c r="AH69" s="43" t="n">
        <f aca="false">IF(Matrice_OD!AG69&lt;=Param!$B$2,3_Huff!AG69*3_Huff!AG$139*1_Friction!AG69,0)</f>
        <v>8.93537097188073E-010</v>
      </c>
      <c r="AI69" s="43" t="n">
        <f aca="false">IF(Matrice_OD!AH69&lt;=Param!$B$2,3_Huff!AH69*3_Huff!AH$139*1_Friction!AH69,0)</f>
        <v>1.32794588999226E-005</v>
      </c>
      <c r="AJ69" s="43" t="n">
        <f aca="false">IF(Matrice_OD!AI69&lt;=Param!$B$2,3_Huff!AI69*3_Huff!AI$139*1_Friction!AI69,0)</f>
        <v>3.54099573137961E-006</v>
      </c>
      <c r="AK69" s="43" t="n">
        <f aca="false">IF(Matrice_OD!AJ69&lt;=Param!$B$2,3_Huff!AJ69*3_Huff!AJ$139*1_Friction!AJ69,0)</f>
        <v>3.38463673617644E-007</v>
      </c>
      <c r="AL69" s="43" t="n">
        <f aca="false">IF(Matrice_OD!AK69&lt;=Param!$B$2,3_Huff!AK69*3_Huff!AK$139*1_Friction!AK69,0)</f>
        <v>0</v>
      </c>
      <c r="AM69" s="0" t="n">
        <f aca="false">IF(Matrice_OD!AL69&lt;=Param!$B$2,3_Huff!AL69*3_Huff!AL$139*1_Friction!AL69,0)</f>
        <v>0</v>
      </c>
      <c r="AN69" s="0" t="n">
        <f aca="false">IF(Matrice_OD!AM69&lt;=Param!$B$2,3_Huff!AM69*3_Huff!AM$139*1_Friction!AM69,0)</f>
        <v>3.95822522089306E-005</v>
      </c>
      <c r="AO69" s="0" t="n">
        <f aca="false">IF(Matrice_OD!AN69&lt;=Param!$B$2,3_Huff!AN69*3_Huff!AN$139*1_Friction!AN69,0)</f>
        <v>0</v>
      </c>
      <c r="AP69" s="49" t="n">
        <f aca="false">SUM(D69:AO69)</f>
        <v>0.00028207994442886</v>
      </c>
      <c r="AQ69" s="43" t="n">
        <f aca="false">AP69*1000</f>
        <v>0.28207994442886</v>
      </c>
      <c r="AR69" s="43" t="n">
        <f aca="false">RANK(AP69,AP$2:AP$136,0)</f>
        <v>28</v>
      </c>
      <c r="AS69" s="43" t="n">
        <f aca="false">COUNTIF(Matrice_OD!$C69:$AN69,"&lt;="&amp;Param!$B$2)</f>
        <v>31</v>
      </c>
    </row>
    <row r="70" customFormat="false" ht="15" hidden="false" customHeight="true" outlineLevel="0" collapsed="false">
      <c r="A70" s="0" t="s">
        <v>238</v>
      </c>
      <c r="B70" s="0" t="s">
        <v>239</v>
      </c>
      <c r="C70" s="0" t="n">
        <f aca="false">Demande!C70</f>
        <v>24564</v>
      </c>
      <c r="D70" s="43" t="n">
        <f aca="false">IF(Matrice_OD!C70&lt;=Param!$B$2,3_Huff!C70*3_Huff!C$139*1_Friction!C70,0)</f>
        <v>1.73795972418912E-005</v>
      </c>
      <c r="E70" s="43" t="n">
        <f aca="false">IF(Matrice_OD!D70&lt;=Param!$B$2,3_Huff!D70*3_Huff!D$139*1_Friction!D70,0)</f>
        <v>2.68663964475773E-006</v>
      </c>
      <c r="F70" s="43" t="n">
        <f aca="false">IF(Matrice_OD!E70&lt;=Param!$B$2,3_Huff!E70*3_Huff!E$139*1_Friction!E70,0)</f>
        <v>2.64184344965568E-005</v>
      </c>
      <c r="G70" s="43" t="n">
        <f aca="false">IF(Matrice_OD!F70&lt;=Param!$B$2,3_Huff!F70*3_Huff!F$139*1_Friction!F70,0)</f>
        <v>4.67119666080236E-006</v>
      </c>
      <c r="H70" s="43" t="n">
        <f aca="false">IF(Matrice_OD!G70&lt;=Param!$B$2,3_Huff!G70*3_Huff!G$139*1_Friction!G70,0)</f>
        <v>1.28541542386835E-005</v>
      </c>
      <c r="I70" s="43" t="n">
        <f aca="false">IF(Matrice_OD!H70&lt;=Param!$B$2,3_Huff!H70*3_Huff!H$139*1_Friction!H70,0)</f>
        <v>2.64860292412421E-006</v>
      </c>
      <c r="J70" s="43" t="n">
        <f aca="false">IF(Matrice_OD!I70&lt;=Param!$B$2,3_Huff!I70*3_Huff!I$139*1_Friction!I70,0)</f>
        <v>6.13854387932172E-006</v>
      </c>
      <c r="K70" s="43" t="n">
        <f aca="false">IF(Matrice_OD!J70&lt;=Param!$B$2,3_Huff!J70*3_Huff!J$139*1_Friction!J70,0)</f>
        <v>4.86987873785386E-006</v>
      </c>
      <c r="L70" s="43" t="n">
        <f aca="false">IF(Matrice_OD!K70&lt;=Param!$B$2,3_Huff!K70*3_Huff!K$139*1_Friction!K70,0)</f>
        <v>3.0288124536173E-006</v>
      </c>
      <c r="M70" s="43" t="n">
        <f aca="false">IF(Matrice_OD!L70&lt;=Param!$B$2,3_Huff!L70*3_Huff!L$139*1_Friction!L70,0)</f>
        <v>2.90395500328905E-006</v>
      </c>
      <c r="N70" s="43" t="n">
        <f aca="false">IF(Matrice_OD!M70&lt;=Param!$B$2,3_Huff!M70*3_Huff!M$139*1_Friction!M70,0)</f>
        <v>1.50997764774842E-005</v>
      </c>
      <c r="O70" s="43" t="n">
        <f aca="false">IF(Matrice_OD!N70&lt;=Param!$B$2,3_Huff!N70*3_Huff!N$139*1_Friction!N70,0)</f>
        <v>2.10155782139821E-006</v>
      </c>
      <c r="P70" s="43" t="n">
        <f aca="false">IF(Matrice_OD!O70&lt;=Param!$B$2,3_Huff!O70*3_Huff!O$139*1_Friction!O70,0)</f>
        <v>6.6148804278392E-006</v>
      </c>
      <c r="Q70" s="43" t="n">
        <f aca="false">IF(Matrice_OD!P70&lt;=Param!$B$2,3_Huff!P70*3_Huff!P$139*1_Friction!P70,0)</f>
        <v>3.16573164005649E-006</v>
      </c>
      <c r="R70" s="43" t="n">
        <f aca="false">IF(Matrice_OD!Q70&lt;=Param!$B$2,3_Huff!Q70*3_Huff!Q$139*1_Friction!Q70,0)</f>
        <v>2.70358014521976E-005</v>
      </c>
      <c r="S70" s="43" t="n">
        <f aca="false">IF(Matrice_OD!R70&lt;=Param!$B$2,3_Huff!R70*3_Huff!R$139*1_Friction!R70,0)</f>
        <v>3.58624186190314E-006</v>
      </c>
      <c r="T70" s="43" t="n">
        <f aca="false">IF(Matrice_OD!S70&lt;=Param!$B$2,3_Huff!S70*3_Huff!S$139*1_Friction!S70,0)</f>
        <v>2.65099830651058E-006</v>
      </c>
      <c r="U70" s="43" t="n">
        <f aca="false">IF(Matrice_OD!T70&lt;=Param!$B$2,3_Huff!T70*3_Huff!T$139*1_Friction!T70,0)</f>
        <v>3.10425206293857E-006</v>
      </c>
      <c r="V70" s="43" t="n">
        <f aca="false">IF(Matrice_OD!U70&lt;=Param!$B$2,3_Huff!U70*3_Huff!U$139*1_Friction!U70,0)</f>
        <v>9.95098091083652E-009</v>
      </c>
      <c r="W70" s="43" t="n">
        <f aca="false">IF(Matrice_OD!V70&lt;=Param!$B$2,3_Huff!V70*3_Huff!V$139*1_Friction!V70,0)</f>
        <v>1.64093202373631E-007</v>
      </c>
      <c r="X70" s="43" t="n">
        <f aca="false">IF(Matrice_OD!W70&lt;=Param!$B$2,3_Huff!W70*3_Huff!W$139*1_Friction!W70,0)</f>
        <v>2.16240255777225E-008</v>
      </c>
      <c r="Y70" s="43" t="n">
        <f aca="false">IF(Matrice_OD!X70&lt;=Param!$B$2,3_Huff!X70*3_Huff!X$139*1_Friction!X70,0)</f>
        <v>2.81830113826138E-008</v>
      </c>
      <c r="Z70" s="43" t="n">
        <f aca="false">IF(Matrice_OD!Y70&lt;=Param!$B$2,3_Huff!Y70*3_Huff!Y$139*1_Friction!Y70,0)</f>
        <v>1.8789980664348E-008</v>
      </c>
      <c r="AA70" s="43" t="n">
        <f aca="false">IF(Matrice_OD!Z70&lt;=Param!$B$2,3_Huff!Z70*3_Huff!Z$139*1_Friction!Z70,0)</f>
        <v>4.4957979205778E-008</v>
      </c>
      <c r="AB70" s="43" t="n">
        <f aca="false">IF(Matrice_OD!AA70&lt;=Param!$B$2,3_Huff!AA70*3_Huff!AA$139*1_Friction!AA70,0)</f>
        <v>6.79585694963316E-008</v>
      </c>
      <c r="AC70" s="43" t="n">
        <f aca="false">IF(Matrice_OD!AB70&lt;=Param!$B$2,3_Huff!AB70*3_Huff!AB$139*1_Friction!AB70,0)</f>
        <v>2.64488899544605E-008</v>
      </c>
      <c r="AD70" s="43" t="n">
        <f aca="false">IF(Matrice_OD!AC70&lt;=Param!$B$2,3_Huff!AC70*3_Huff!AC$139*1_Friction!AC70,0)</f>
        <v>0</v>
      </c>
      <c r="AE70" s="43" t="n">
        <f aca="false">IF(Matrice_OD!AD70&lt;=Param!$B$2,3_Huff!AD70*3_Huff!AD$139*1_Friction!AD70,0)</f>
        <v>0</v>
      </c>
      <c r="AF70" s="43" t="n">
        <f aca="false">IF(Matrice_OD!AE70&lt;=Param!$B$2,3_Huff!AE70*3_Huff!AE$139*1_Friction!AE70,0)</f>
        <v>0</v>
      </c>
      <c r="AG70" s="43" t="n">
        <f aca="false">IF(Matrice_OD!AF70&lt;=Param!$B$2,3_Huff!AF70*3_Huff!AF$139*1_Friction!AF70,0)</f>
        <v>0</v>
      </c>
      <c r="AH70" s="43" t="n">
        <f aca="false">IF(Matrice_OD!AG70&lt;=Param!$B$2,3_Huff!AG70*3_Huff!AG$139*1_Friction!AG70,0)</f>
        <v>7.70687950862572E-010</v>
      </c>
      <c r="AI70" s="43" t="n">
        <f aca="false">IF(Matrice_OD!AH70&lt;=Param!$B$2,3_Huff!AH70*3_Huff!AH$139*1_Friction!AH70,0)</f>
        <v>7.92983296512943E-006</v>
      </c>
      <c r="AJ70" s="43" t="n">
        <f aca="false">IF(Matrice_OD!AI70&lt;=Param!$B$2,3_Huff!AI70*3_Huff!AI$139*1_Friction!AI70,0)</f>
        <v>1.63786201290511E-006</v>
      </c>
      <c r="AK70" s="43" t="n">
        <f aca="false">IF(Matrice_OD!AJ70&lt;=Param!$B$2,3_Huff!AJ70*3_Huff!AJ$139*1_Friction!AJ70,0)</f>
        <v>3.71180418825604E-008</v>
      </c>
      <c r="AL70" s="43" t="n">
        <f aca="false">IF(Matrice_OD!AK70&lt;=Param!$B$2,3_Huff!AK70*3_Huff!AK$139*1_Friction!AK70,0)</f>
        <v>0</v>
      </c>
      <c r="AM70" s="0" t="n">
        <f aca="false">IF(Matrice_OD!AL70&lt;=Param!$B$2,3_Huff!AL70*3_Huff!AL$139*1_Friction!AL70,0)</f>
        <v>0</v>
      </c>
      <c r="AN70" s="0" t="n">
        <f aca="false">IF(Matrice_OD!AM70&lt;=Param!$B$2,3_Huff!AM70*3_Huff!AM$139*1_Friction!AM70,0)</f>
        <v>4.33093871711578E-005</v>
      </c>
      <c r="AO70" s="0" t="n">
        <f aca="false">IF(Matrice_OD!AN70&lt;=Param!$B$2,3_Huff!AN70*3_Huff!AN$139*1_Friction!AN70,0)</f>
        <v>0</v>
      </c>
      <c r="AP70" s="48" t="n">
        <f aca="false">SUM(D70:AO70)</f>
        <v>0.000200256032849817</v>
      </c>
      <c r="AQ70" s="43" t="n">
        <f aca="false">AP70*1000</f>
        <v>0.200256032849817</v>
      </c>
      <c r="AR70" s="43" t="n">
        <f aca="false">RANK(AP70,AP$2:AP$136,0)</f>
        <v>46</v>
      </c>
      <c r="AS70" s="43" t="n">
        <f aca="false">COUNTIF(Matrice_OD!$C70:$AN70,"&lt;="&amp;Param!$B$2)</f>
        <v>31</v>
      </c>
    </row>
    <row r="71" customFormat="false" ht="15" hidden="false" customHeight="true" outlineLevel="0" collapsed="false">
      <c r="A71" s="0" t="s">
        <v>240</v>
      </c>
      <c r="B71" s="0" t="s">
        <v>241</v>
      </c>
      <c r="C71" s="0" t="n">
        <f aca="false">Demande!C71</f>
        <v>12981</v>
      </c>
      <c r="D71" s="43" t="n">
        <f aca="false">IF(Matrice_OD!C71&lt;=Param!$B$2,3_Huff!C71*3_Huff!C$139*1_Friction!C71,0)</f>
        <v>8.96553408684547E-006</v>
      </c>
      <c r="E71" s="43" t="n">
        <f aca="false">IF(Matrice_OD!D71&lt;=Param!$B$2,3_Huff!D71*3_Huff!D$139*1_Friction!D71,0)</f>
        <v>5.84839493215877E-006</v>
      </c>
      <c r="F71" s="43" t="n">
        <f aca="false">IF(Matrice_OD!E71&lt;=Param!$B$2,3_Huff!E71*3_Huff!E$139*1_Friction!E71,0)</f>
        <v>6.14294634562125E-005</v>
      </c>
      <c r="G71" s="43" t="n">
        <f aca="false">IF(Matrice_OD!F71&lt;=Param!$B$2,3_Huff!F71*3_Huff!F$139*1_Friction!F71,0)</f>
        <v>1.09123289583504E-005</v>
      </c>
      <c r="H71" s="43" t="n">
        <f aca="false">IF(Matrice_OD!G71&lt;=Param!$B$2,3_Huff!G71*3_Huff!G$139*1_Friction!G71,0)</f>
        <v>3.07088721455502E-005</v>
      </c>
      <c r="I71" s="43" t="n">
        <f aca="false">IF(Matrice_OD!H71&lt;=Param!$B$2,3_Huff!H71*3_Huff!H$139*1_Friction!H71,0)</f>
        <v>6.4971027071274E-006</v>
      </c>
      <c r="J71" s="43" t="n">
        <f aca="false">IF(Matrice_OD!I71&lt;=Param!$B$2,3_Huff!I71*3_Huff!I$139*1_Friction!I71,0)</f>
        <v>1.51409743200829E-005</v>
      </c>
      <c r="K71" s="43" t="n">
        <f aca="false">IF(Matrice_OD!J71&lt;=Param!$B$2,3_Huff!J71*3_Huff!J$139*1_Friction!J71,0)</f>
        <v>1.2170132228065E-005</v>
      </c>
      <c r="L71" s="43" t="n">
        <f aca="false">IF(Matrice_OD!K71&lt;=Param!$B$2,3_Huff!K71*3_Huff!K$139*1_Friction!K71,0)</f>
        <v>7.63825536756835E-006</v>
      </c>
      <c r="M71" s="43" t="n">
        <f aca="false">IF(Matrice_OD!L71&lt;=Param!$B$2,3_Huff!L71*3_Huff!L$139*1_Friction!L71,0)</f>
        <v>7.34043333814918E-006</v>
      </c>
      <c r="N71" s="43" t="n">
        <f aca="false">IF(Matrice_OD!M71&lt;=Param!$B$2,3_Huff!M71*3_Huff!M$139*1_Friction!M71,0)</f>
        <v>3.82166709723654E-005</v>
      </c>
      <c r="O71" s="43" t="n">
        <f aca="false">IF(Matrice_OD!N71&lt;=Param!$B$2,3_Huff!N71*3_Huff!N$139*1_Friction!N71,0)</f>
        <v>5.39023044433862E-006</v>
      </c>
      <c r="P71" s="43" t="n">
        <f aca="false">IF(Matrice_OD!O71&lt;=Param!$B$2,3_Huff!O71*3_Huff!O$139*1_Friction!O71,0)</f>
        <v>1.70094243858049E-005</v>
      </c>
      <c r="Q71" s="43" t="n">
        <f aca="false">IF(Matrice_OD!P71&lt;=Param!$B$2,3_Huff!P71*3_Huff!P$139*1_Friction!P71,0)</f>
        <v>8.16609089050783E-006</v>
      </c>
      <c r="R71" s="43" t="n">
        <f aca="false">IF(Matrice_OD!Q71&lt;=Param!$B$2,3_Huff!Q71*3_Huff!Q$139*1_Friction!Q71,0)</f>
        <v>7.07948848145845E-005</v>
      </c>
      <c r="S71" s="43" t="n">
        <f aca="false">IF(Matrice_OD!R71&lt;=Param!$B$2,3_Huff!R71*3_Huff!R$139*1_Friction!R71,0)</f>
        <v>9.44254517023631E-006</v>
      </c>
      <c r="T71" s="43" t="n">
        <f aca="false">IF(Matrice_OD!S71&lt;=Param!$B$2,3_Huff!S71*3_Huff!S$139*1_Friction!S71,0)</f>
        <v>7.0631736540715E-006</v>
      </c>
      <c r="U71" s="43" t="n">
        <f aca="false">IF(Matrice_OD!T71&lt;=Param!$B$2,3_Huff!T71*3_Huff!T$139*1_Friction!T71,0)</f>
        <v>1.65727817839521E-006</v>
      </c>
      <c r="V71" s="43" t="n">
        <f aca="false">IF(Matrice_OD!U71&lt;=Param!$B$2,3_Huff!U71*3_Huff!U$139*1_Friction!U71,0)</f>
        <v>2.57414770105837E-008</v>
      </c>
      <c r="W71" s="43" t="n">
        <f aca="false">IF(Matrice_OD!V71&lt;=Param!$B$2,3_Huff!V71*3_Huff!V$139*1_Friction!V71,0)</f>
        <v>8.872803754041E-008</v>
      </c>
      <c r="X71" s="43" t="n">
        <f aca="false">IF(Matrice_OD!W71&lt;=Param!$B$2,3_Huff!W71*3_Huff!W$139*1_Friction!W71,0)</f>
        <v>1.16787128392893E-008</v>
      </c>
      <c r="Y71" s="43" t="n">
        <f aca="false">IF(Matrice_OD!X71&lt;=Param!$B$2,3_Huff!X71*3_Huff!X$139*1_Friction!X71,0)</f>
        <v>1.5221625737575E-008</v>
      </c>
      <c r="Z71" s="43" t="n">
        <f aca="false">IF(Matrice_OD!Y71&lt;=Param!$B$2,3_Huff!Y71*3_Huff!Y$139*1_Friction!Y71,0)</f>
        <v>1.01485207044456E-008</v>
      </c>
      <c r="AA71" s="43" t="n">
        <f aca="false">IF(Matrice_OD!Z71&lt;=Param!$B$2,3_Huff!Z71*3_Huff!Z$139*1_Friction!Z71,0)</f>
        <v>2.42841714143773E-008</v>
      </c>
      <c r="AB71" s="43" t="n">
        <f aca="false">IF(Matrice_OD!AA71&lt;=Param!$B$2,3_Huff!AA71*3_Huff!AA$139*1_Friction!AA71,0)</f>
        <v>3.6724951424439E-008</v>
      </c>
      <c r="AC71" s="43" t="n">
        <f aca="false">IF(Matrice_OD!AB71&lt;=Param!$B$2,3_Huff!AB71*3_Huff!AB$139*1_Friction!AB71,0)</f>
        <v>1.42963571589193E-008</v>
      </c>
      <c r="AD71" s="43" t="n">
        <f aca="false">IF(Matrice_OD!AC71&lt;=Param!$B$2,3_Huff!AC71*3_Huff!AC$139*1_Friction!AC71,0)</f>
        <v>0</v>
      </c>
      <c r="AE71" s="43" t="n">
        <f aca="false">IF(Matrice_OD!AD71&lt;=Param!$B$2,3_Huff!AD71*3_Huff!AD$139*1_Friction!AD71,0)</f>
        <v>0</v>
      </c>
      <c r="AF71" s="43" t="n">
        <f aca="false">IF(Matrice_OD!AE71&lt;=Param!$B$2,3_Huff!AE71*3_Huff!AE$139*1_Friction!AE71,0)</f>
        <v>0</v>
      </c>
      <c r="AG71" s="43" t="n">
        <f aca="false">IF(Matrice_OD!AF71&lt;=Param!$B$2,3_Huff!AF71*3_Huff!AF$139*1_Friction!AF71,0)</f>
        <v>0</v>
      </c>
      <c r="AH71" s="43" t="n">
        <f aca="false">IF(Matrice_OD!AG71&lt;=Param!$B$2,3_Huff!AG71*3_Huff!AG$139*1_Friction!AG71,0)</f>
        <v>3.72076940852019E-009</v>
      </c>
      <c r="AI71" s="43" t="n">
        <f aca="false">IF(Matrice_OD!AH71&lt;=Param!$B$2,3_Huff!AH71*3_Huff!AH$139*1_Friction!AH71,0)</f>
        <v>2.18361293445493E-005</v>
      </c>
      <c r="AJ71" s="43" t="n">
        <f aca="false">IF(Matrice_OD!AI71&lt;=Param!$B$2,3_Huff!AI71*3_Huff!AI$139*1_Friction!AI71,0)</f>
        <v>8.73171985142099E-007</v>
      </c>
      <c r="AK71" s="43" t="n">
        <f aca="false">IF(Matrice_OD!AJ71&lt;=Param!$B$2,3_Huff!AJ71*3_Huff!AJ$139*1_Friction!AJ71,0)</f>
        <v>2.00528558449699E-008</v>
      </c>
      <c r="AL71" s="43" t="n">
        <f aca="false">IF(Matrice_OD!AK71&lt;=Param!$B$2,3_Huff!AK71*3_Huff!AK$139*1_Friction!AK71,0)</f>
        <v>0</v>
      </c>
      <c r="AM71" s="0" t="n">
        <f aca="false">IF(Matrice_OD!AL71&lt;=Param!$B$2,3_Huff!AL71*3_Huff!AL$139*1_Friction!AL71,0)</f>
        <v>0</v>
      </c>
      <c r="AN71" s="0" t="n">
        <f aca="false">IF(Matrice_OD!AM71&lt;=Param!$B$2,3_Huff!AM71*3_Huff!AM$139*1_Friction!AM71,0)</f>
        <v>2.22994322233585E-005</v>
      </c>
      <c r="AO71" s="0" t="n">
        <f aca="false">IF(Matrice_OD!AN71&lt;=Param!$B$2,3_Huff!AN71*3_Huff!AN$139*1_Friction!AN71,0)</f>
        <v>0</v>
      </c>
      <c r="AP71" s="49" t="n">
        <f aca="false">SUM(D71:AO71)</f>
        <v>0.000369651121082548</v>
      </c>
      <c r="AQ71" s="43" t="n">
        <f aca="false">AP71*1000</f>
        <v>0.369651121082548</v>
      </c>
      <c r="AR71" s="43" t="n">
        <f aca="false">RANK(AP71,AP$2:AP$136,0)</f>
        <v>19</v>
      </c>
      <c r="AS71" s="43" t="n">
        <f aca="false">COUNTIF(Matrice_OD!$C71:$AN71,"&lt;="&amp;Param!$B$2)</f>
        <v>31</v>
      </c>
    </row>
    <row r="72" customFormat="false" ht="15" hidden="false" customHeight="true" outlineLevel="0" collapsed="false">
      <c r="A72" s="0" t="s">
        <v>242</v>
      </c>
      <c r="B72" s="0" t="s">
        <v>243</v>
      </c>
      <c r="C72" s="0" t="n">
        <f aca="false">Demande!C72</f>
        <v>14583</v>
      </c>
      <c r="D72" s="43" t="n">
        <f aca="false">IF(Matrice_OD!C72&lt;=Param!$B$2,3_Huff!C72*3_Huff!C$139*1_Friction!C72,0)</f>
        <v>1.44506659042138E-005</v>
      </c>
      <c r="E72" s="43" t="n">
        <f aca="false">IF(Matrice_OD!D72&lt;=Param!$B$2,3_Huff!D72*3_Huff!D$139*1_Friction!D72,0)</f>
        <v>4.17062058736738E-006</v>
      </c>
      <c r="F72" s="43" t="n">
        <f aca="false">IF(Matrice_OD!E72&lt;=Param!$B$2,3_Huff!E72*3_Huff!E$139*1_Friction!E72,0)</f>
        <v>4.25703219721177E-005</v>
      </c>
      <c r="G72" s="43" t="n">
        <f aca="false">IF(Matrice_OD!F72&lt;=Param!$B$2,3_Huff!F72*3_Huff!F$139*1_Friction!F72,0)</f>
        <v>7.54694042362817E-006</v>
      </c>
      <c r="H72" s="43" t="n">
        <f aca="false">IF(Matrice_OD!G72&lt;=Param!$B$2,3_Huff!G72*3_Huff!G$139*1_Friction!G72,0)</f>
        <v>2.10326038543187E-005</v>
      </c>
      <c r="I72" s="43" t="n">
        <f aca="false">IF(Matrice_OD!H72&lt;=Param!$B$2,3_Huff!H72*3_Huff!H$139*1_Friction!H72,0)</f>
        <v>4.40064229489722E-006</v>
      </c>
      <c r="J72" s="43" t="n">
        <f aca="false">IF(Matrice_OD!I72&lt;=Param!$B$2,3_Huff!I72*3_Huff!I$139*1_Friction!I72,0)</f>
        <v>1.02309342805589E-005</v>
      </c>
      <c r="K72" s="43" t="n">
        <f aca="false">IF(Matrice_OD!J72&lt;=Param!$B$2,3_Huff!J72*3_Huff!J$139*1_Friction!J72,0)</f>
        <v>8.17690619985758E-006</v>
      </c>
      <c r="L72" s="43" t="n">
        <f aca="false">IF(Matrice_OD!K72&lt;=Param!$B$2,3_Huff!K72*3_Huff!K$139*1_Friction!K72,0)</f>
        <v>5.11000441808887E-006</v>
      </c>
      <c r="M72" s="43" t="n">
        <f aca="false">IF(Matrice_OD!L72&lt;=Param!$B$2,3_Huff!L72*3_Huff!L$139*1_Friction!L72,0)</f>
        <v>4.9075652730803E-006</v>
      </c>
      <c r="N72" s="43" t="n">
        <f aca="false">IF(Matrice_OD!M72&lt;=Param!$B$2,3_Huff!M72*3_Huff!M$139*1_Friction!M72,0)</f>
        <v>2.55363265968338E-005</v>
      </c>
      <c r="O72" s="43" t="n">
        <f aca="false">IF(Matrice_OD!N72&lt;=Param!$B$2,3_Huff!N72*3_Huff!N$139*1_Friction!N72,0)</f>
        <v>3.57969715192251E-006</v>
      </c>
      <c r="P72" s="43" t="n">
        <f aca="false">IF(Matrice_OD!O72&lt;=Param!$B$2,3_Huff!O72*3_Huff!O$139*1_Friction!O72,0)</f>
        <v>1.12836692699402E-005</v>
      </c>
      <c r="Q72" s="43" t="n">
        <f aca="false">IF(Matrice_OD!P72&lt;=Param!$B$2,3_Huff!P72*3_Huff!P$139*1_Friction!P72,0)</f>
        <v>5.41174790919674E-006</v>
      </c>
      <c r="R72" s="43" t="n">
        <f aca="false">IF(Matrice_OD!Q72&lt;=Param!$B$2,3_Huff!Q72*3_Huff!Q$139*1_Friction!Q72,0)</f>
        <v>4.65945746534636E-005</v>
      </c>
      <c r="S72" s="43" t="n">
        <f aca="false">IF(Matrice_OD!R72&lt;=Param!$B$2,3_Huff!R72*3_Huff!R$139*1_Friction!R72,0)</f>
        <v>6.19992441550475E-006</v>
      </c>
      <c r="T72" s="43" t="n">
        <f aca="false">IF(Matrice_OD!S72&lt;=Param!$B$2,3_Huff!S72*3_Huff!S$139*1_Friction!S72,0)</f>
        <v>4.61387159767161E-006</v>
      </c>
      <c r="U72" s="43" t="n">
        <f aca="false">IF(Matrice_OD!T72&lt;=Param!$B$2,3_Huff!T72*3_Huff!T$139*1_Friction!T72,0)</f>
        <v>5.49749551918428E-006</v>
      </c>
      <c r="V72" s="43" t="n">
        <f aca="false">IF(Matrice_OD!U72&lt;=Param!$B$2,3_Huff!U72*3_Huff!U$139*1_Friction!U72,0)</f>
        <v>5.15403342687374E-008</v>
      </c>
      <c r="W72" s="43" t="n">
        <f aca="false">IF(Matrice_OD!V72&lt;=Param!$B$2,3_Huff!V72*3_Huff!V$139*1_Friction!V72,0)</f>
        <v>7.82846420838867E-007</v>
      </c>
      <c r="X72" s="43" t="n">
        <f aca="false">IF(Matrice_OD!W72&lt;=Param!$B$2,3_Huff!W72*3_Huff!W$139*1_Friction!W72,0)</f>
        <v>1.09040208752409E-007</v>
      </c>
      <c r="Y72" s="43" t="n">
        <f aca="false">IF(Matrice_OD!X72&lt;=Param!$B$2,3_Huff!X72*3_Huff!X$139*1_Friction!X72,0)</f>
        <v>1.42529345009386E-007</v>
      </c>
      <c r="Z72" s="43" t="n">
        <f aca="false">IF(Matrice_OD!Y72&lt;=Param!$B$2,3_Huff!Y72*3_Huff!Y$139*1_Friction!Y72,0)</f>
        <v>9.50765791589201E-008</v>
      </c>
      <c r="AA72" s="43" t="n">
        <f aca="false">IF(Matrice_OD!Z72&lt;=Param!$B$2,3_Huff!Z72*3_Huff!Z$139*1_Friction!Z72,0)</f>
        <v>2.29241715996194E-007</v>
      </c>
      <c r="AB72" s="43" t="n">
        <f aca="false">IF(Matrice_OD!AA72&lt;=Param!$B$2,3_Huff!AA72*3_Huff!AA$139*1_Friction!AA72,0)</f>
        <v>3.60105180134107E-007</v>
      </c>
      <c r="AC72" s="43" t="n">
        <f aca="false">IF(Matrice_OD!AB72&lt;=Param!$B$2,3_Huff!AB72*3_Huff!AB$139*1_Friction!AB72,0)</f>
        <v>1.42889167487999E-007</v>
      </c>
      <c r="AD72" s="43" t="n">
        <f aca="false">IF(Matrice_OD!AC72&lt;=Param!$B$2,3_Huff!AC72*3_Huff!AC$139*1_Friction!AC72,0)</f>
        <v>0</v>
      </c>
      <c r="AE72" s="43" t="n">
        <f aca="false">IF(Matrice_OD!AD72&lt;=Param!$B$2,3_Huff!AD72*3_Huff!AD$139*1_Friction!AD72,0)</f>
        <v>0</v>
      </c>
      <c r="AF72" s="43" t="n">
        <f aca="false">IF(Matrice_OD!AE72&lt;=Param!$B$2,3_Huff!AE72*3_Huff!AE$139*1_Friction!AE72,0)</f>
        <v>0</v>
      </c>
      <c r="AG72" s="43" t="n">
        <f aca="false">IF(Matrice_OD!AF72&lt;=Param!$B$2,3_Huff!AF72*3_Huff!AF$139*1_Friction!AF72,0)</f>
        <v>0</v>
      </c>
      <c r="AH72" s="43" t="n">
        <f aca="false">IF(Matrice_OD!AG72&lt;=Param!$B$2,3_Huff!AG72*3_Huff!AG$139*1_Friction!AG72,0)</f>
        <v>1.00980251992031E-009</v>
      </c>
      <c r="AI72" s="43" t="n">
        <f aca="false">IF(Matrice_OD!AH72&lt;=Param!$B$2,3_Huff!AH72*3_Huff!AH$139*1_Friction!AH72,0)</f>
        <v>1.40612648837177E-005</v>
      </c>
      <c r="AJ72" s="43" t="n">
        <f aca="false">IF(Matrice_OD!AI72&lt;=Param!$B$2,3_Huff!AI72*3_Huff!AI$139*1_Friction!AI72,0)</f>
        <v>2.80242026895722E-006</v>
      </c>
      <c r="AK72" s="43" t="n">
        <f aca="false">IF(Matrice_OD!AJ72&lt;=Param!$B$2,3_Huff!AJ72*3_Huff!AJ$139*1_Friction!AJ72,0)</f>
        <v>1.91995297941886E-007</v>
      </c>
      <c r="AL72" s="43" t="n">
        <f aca="false">IF(Matrice_OD!AK72&lt;=Param!$B$2,3_Huff!AK72*3_Huff!AK$139*1_Friction!AK72,0)</f>
        <v>0</v>
      </c>
      <c r="AM72" s="0" t="n">
        <f aca="false">IF(Matrice_OD!AL72&lt;=Param!$B$2,3_Huff!AL72*3_Huff!AL$139*1_Friction!AL72,0)</f>
        <v>0</v>
      </c>
      <c r="AN72" s="0" t="n">
        <f aca="false">IF(Matrice_OD!AM72&lt;=Param!$B$2,3_Huff!AM72*3_Huff!AM$139*1_Friction!AM72,0)</f>
        <v>3.7598501535405E-005</v>
      </c>
      <c r="AO72" s="0" t="n">
        <f aca="false">IF(Matrice_OD!AN72&lt;=Param!$B$2,3_Huff!AN72*3_Huff!AN$139*1_Friction!AN72,0)</f>
        <v>0</v>
      </c>
      <c r="AP72" s="48" t="n">
        <f aca="false">SUM(D72:AO72)</f>
        <v>0.000287882973062035</v>
      </c>
      <c r="AQ72" s="43" t="n">
        <f aca="false">AP72*1000</f>
        <v>0.287882973062035</v>
      </c>
      <c r="AR72" s="43" t="n">
        <f aca="false">RANK(AP72,AP$2:AP$136,0)</f>
        <v>26</v>
      </c>
      <c r="AS72" s="43" t="n">
        <f aca="false">COUNTIF(Matrice_OD!$C72:$AN72,"&lt;="&amp;Param!$B$2)</f>
        <v>31</v>
      </c>
    </row>
    <row r="73" customFormat="false" ht="15" hidden="false" customHeight="true" outlineLevel="0" collapsed="false">
      <c r="A73" s="0" t="s">
        <v>244</v>
      </c>
      <c r="B73" s="0" t="s">
        <v>245</v>
      </c>
      <c r="C73" s="0" t="n">
        <f aca="false">Demande!C73</f>
        <v>24503</v>
      </c>
      <c r="D73" s="43" t="n">
        <f aca="false">IF(Matrice_OD!C73&lt;=Param!$B$2,3_Huff!C73*3_Huff!C$139*1_Friction!C73,0)</f>
        <v>1.06853817079198E-005</v>
      </c>
      <c r="E73" s="43" t="n">
        <f aca="false">IF(Matrice_OD!D73&lt;=Param!$B$2,3_Huff!D73*3_Huff!D$139*1_Friction!D73,0)</f>
        <v>4.22687597688882E-006</v>
      </c>
      <c r="F73" s="43" t="n">
        <f aca="false">IF(Matrice_OD!E73&lt;=Param!$B$2,3_Huff!E73*3_Huff!E$139*1_Friction!E73,0)</f>
        <v>4.40555844656942E-005</v>
      </c>
      <c r="G73" s="43" t="n">
        <f aca="false">IF(Matrice_OD!F73&lt;=Param!$B$2,3_Huff!F73*3_Huff!F$139*1_Friction!F73,0)</f>
        <v>8.02913767091335E-006</v>
      </c>
      <c r="H73" s="43" t="n">
        <f aca="false">IF(Matrice_OD!G73&lt;=Param!$B$2,3_Huff!G73*3_Huff!G$139*1_Friction!G73,0)</f>
        <v>2.18502200532113E-005</v>
      </c>
      <c r="I73" s="43" t="n">
        <f aca="false">IF(Matrice_OD!H73&lt;=Param!$B$2,3_Huff!H73*3_Huff!H$139*1_Friction!H73,0)</f>
        <v>5.87735071682567E-006</v>
      </c>
      <c r="J73" s="43" t="n">
        <f aca="false">IF(Matrice_OD!I73&lt;=Param!$B$2,3_Huff!I73*3_Huff!I$139*1_Friction!I73,0)</f>
        <v>1.21543447168906E-005</v>
      </c>
      <c r="K73" s="43" t="n">
        <f aca="false">IF(Matrice_OD!J73&lt;=Param!$B$2,3_Huff!J73*3_Huff!J$139*1_Friction!J73,0)</f>
        <v>9.59294461438374E-006</v>
      </c>
      <c r="L73" s="43" t="n">
        <f aca="false">IF(Matrice_OD!K73&lt;=Param!$B$2,3_Huff!K73*3_Huff!K$139*1_Friction!K73,0)</f>
        <v>6.01074556938619E-006</v>
      </c>
      <c r="M73" s="43" t="n">
        <f aca="false">IF(Matrice_OD!L73&lt;=Param!$B$2,3_Huff!L73*3_Huff!L$139*1_Friction!L73,0)</f>
        <v>6.12370192362005E-006</v>
      </c>
      <c r="N73" s="43" t="n">
        <f aca="false">IF(Matrice_OD!M73&lt;=Param!$B$2,3_Huff!M73*3_Huff!M$139*1_Friction!M73,0)</f>
        <v>3.44380952671473E-005</v>
      </c>
      <c r="O73" s="43" t="n">
        <f aca="false">IF(Matrice_OD!N73&lt;=Param!$B$2,3_Huff!N73*3_Huff!N$139*1_Friction!N73,0)</f>
        <v>4.55403762936755E-006</v>
      </c>
      <c r="P73" s="43" t="n">
        <f aca="false">IF(Matrice_OD!O73&lt;=Param!$B$2,3_Huff!O73*3_Huff!O$139*1_Friction!O73,0)</f>
        <v>1.41429380763189E-005</v>
      </c>
      <c r="Q73" s="43" t="n">
        <f aca="false">IF(Matrice_OD!P73&lt;=Param!$B$2,3_Huff!P73*3_Huff!P$139*1_Friction!P73,0)</f>
        <v>6.79007935092709E-006</v>
      </c>
      <c r="R73" s="43" t="n">
        <f aca="false">IF(Matrice_OD!Q73&lt;=Param!$B$2,3_Huff!Q73*3_Huff!Q$139*1_Friction!Q73,0)</f>
        <v>5.86901321745062E-005</v>
      </c>
      <c r="S73" s="43" t="n">
        <f aca="false">IF(Matrice_OD!R73&lt;=Param!$B$2,3_Huff!R73*3_Huff!R$139*1_Friction!R73,0)</f>
        <v>7.82101721987218E-006</v>
      </c>
      <c r="T73" s="43" t="n">
        <f aca="false">IF(Matrice_OD!S73&lt;=Param!$B$2,3_Huff!S73*3_Huff!S$139*1_Friction!S73,0)</f>
        <v>5.83896845535438E-006</v>
      </c>
      <c r="U73" s="43" t="n">
        <f aca="false">IF(Matrice_OD!T73&lt;=Param!$B$2,3_Huff!T73*3_Huff!T$139*1_Friction!T73,0)</f>
        <v>7.12743535079135E-006</v>
      </c>
      <c r="V73" s="43" t="n">
        <f aca="false">IF(Matrice_OD!U73&lt;=Param!$B$2,3_Huff!U73*3_Huff!U$139*1_Friction!U73,0)</f>
        <v>1.18261178209623E-007</v>
      </c>
      <c r="W73" s="43" t="n">
        <f aca="false">IF(Matrice_OD!V73&lt;=Param!$B$2,3_Huff!V73*3_Huff!V$139*1_Friction!V73,0)</f>
        <v>1.71536786259183E-006</v>
      </c>
      <c r="X73" s="43" t="n">
        <f aca="false">IF(Matrice_OD!W73&lt;=Param!$B$2,3_Huff!W73*3_Huff!W$139*1_Friction!W73,0)</f>
        <v>2.46664658211758E-007</v>
      </c>
      <c r="Y73" s="43" t="n">
        <f aca="false">IF(Matrice_OD!X73&lt;=Param!$B$2,3_Huff!X73*3_Huff!X$139*1_Friction!X73,0)</f>
        <v>3.22433676848975E-007</v>
      </c>
      <c r="Z73" s="43" t="n">
        <f aca="false">IF(Matrice_OD!Y73&lt;=Param!$B$2,3_Huff!Y73*3_Huff!Y$139*1_Friction!Y73,0)</f>
        <v>2.15470871120647E-007</v>
      </c>
      <c r="AA73" s="43" t="n">
        <f aca="false">IF(Matrice_OD!Z73&lt;=Param!$B$2,3_Huff!Z73*3_Huff!Z$139*1_Friction!Z73,0)</f>
        <v>5.21652879447874E-007</v>
      </c>
      <c r="AB73" s="43" t="n">
        <f aca="false">IF(Matrice_OD!AA73&lt;=Param!$B$2,3_Huff!AA73*3_Huff!AA$139*1_Friction!AA73,0)</f>
        <v>8.35041373166018E-007</v>
      </c>
      <c r="AC73" s="43" t="n">
        <f aca="false">IF(Matrice_OD!AB73&lt;=Param!$B$2,3_Huff!AB73*3_Huff!AB$139*1_Friction!AB73,0)</f>
        <v>3.35285574947828E-007</v>
      </c>
      <c r="AD73" s="43" t="n">
        <f aca="false">IF(Matrice_OD!AC73&lt;=Param!$B$2,3_Huff!AC73*3_Huff!AC$139*1_Friction!AC73,0)</f>
        <v>0</v>
      </c>
      <c r="AE73" s="43" t="n">
        <f aca="false">IF(Matrice_OD!AD73&lt;=Param!$B$2,3_Huff!AD73*3_Huff!AD$139*1_Friction!AD73,0)</f>
        <v>0</v>
      </c>
      <c r="AF73" s="43" t="n">
        <f aca="false">IF(Matrice_OD!AE73&lt;=Param!$B$2,3_Huff!AE73*3_Huff!AE$139*1_Friction!AE73,0)</f>
        <v>0</v>
      </c>
      <c r="AG73" s="43" t="n">
        <f aca="false">IF(Matrice_OD!AF73&lt;=Param!$B$2,3_Huff!AF73*3_Huff!AF$139*1_Friction!AF73,0)</f>
        <v>0</v>
      </c>
      <c r="AH73" s="43" t="n">
        <f aca="false">IF(Matrice_OD!AG73&lt;=Param!$B$2,3_Huff!AG73*3_Huff!AG$139*1_Friction!AG73,0)</f>
        <v>3.91679933098204E-010</v>
      </c>
      <c r="AI73" s="43" t="n">
        <f aca="false">IF(Matrice_OD!AH73&lt;=Param!$B$2,3_Huff!AH73*3_Huff!AH$139*1_Friction!AH73,0)</f>
        <v>1.79546804881587E-005</v>
      </c>
      <c r="AJ73" s="43" t="n">
        <f aca="false">IF(Matrice_OD!AI73&lt;=Param!$B$2,3_Huff!AI73*3_Huff!AI$139*1_Friction!AI73,0)</f>
        <v>3.56952971334623E-006</v>
      </c>
      <c r="AK73" s="43" t="n">
        <f aca="false">IF(Matrice_OD!AJ73&lt;=Param!$B$2,3_Huff!AJ73*3_Huff!AJ$139*1_Friction!AJ73,0)</f>
        <v>4.40230252996495E-007</v>
      </c>
      <c r="AL73" s="43" t="n">
        <f aca="false">IF(Matrice_OD!AK73&lt;=Param!$B$2,3_Huff!AK73*3_Huff!AK$139*1_Friction!AK73,0)</f>
        <v>0</v>
      </c>
      <c r="AM73" s="0" t="n">
        <f aca="false">IF(Matrice_OD!AL73&lt;=Param!$B$2,3_Huff!AL73*3_Huff!AL$139*1_Friction!AL73,0)</f>
        <v>0</v>
      </c>
      <c r="AN73" s="0" t="n">
        <f aca="false">IF(Matrice_OD!AM73&lt;=Param!$B$2,3_Huff!AM73*3_Huff!AM$139*1_Friction!AM73,0)</f>
        <v>2.77045869855377E-005</v>
      </c>
      <c r="AO73" s="0" t="n">
        <f aca="false">IF(Matrice_OD!AN73&lt;=Param!$B$2,3_Huff!AN73*3_Huff!AN$139*1_Friction!AN73,0)</f>
        <v>0</v>
      </c>
      <c r="AP73" s="49" t="n">
        <f aca="false">SUM(D73:AO73)</f>
        <v>0.000321988588134535</v>
      </c>
      <c r="AQ73" s="43" t="n">
        <f aca="false">AP73*1000</f>
        <v>0.321988588134535</v>
      </c>
      <c r="AR73" s="43" t="n">
        <f aca="false">RANK(AP73,AP$2:AP$136,0)</f>
        <v>22</v>
      </c>
      <c r="AS73" s="43" t="n">
        <f aca="false">COUNTIF(Matrice_OD!$C73:$AN73,"&lt;="&amp;Param!$B$2)</f>
        <v>31</v>
      </c>
    </row>
    <row r="74" customFormat="false" ht="15" hidden="false" customHeight="true" outlineLevel="0" collapsed="false">
      <c r="A74" s="0" t="s">
        <v>246</v>
      </c>
      <c r="B74" s="0" t="s">
        <v>247</v>
      </c>
      <c r="C74" s="0" t="n">
        <f aca="false">Demande!C74</f>
        <v>30039</v>
      </c>
      <c r="D74" s="43" t="n">
        <f aca="false">IF(Matrice_OD!C74&lt;=Param!$B$2,3_Huff!C74*3_Huff!C$139*1_Friction!C74,0)</f>
        <v>1.50022541913154E-005</v>
      </c>
      <c r="E74" s="43" t="n">
        <f aca="false">IF(Matrice_OD!D74&lt;=Param!$B$2,3_Huff!D74*3_Huff!D$139*1_Friction!D74,0)</f>
        <v>1.25877470924118E-006</v>
      </c>
      <c r="F74" s="43" t="n">
        <f aca="false">IF(Matrice_OD!E74&lt;=Param!$B$2,3_Huff!E74*3_Huff!E$139*1_Friction!E74,0)</f>
        <v>1.22505223376717E-005</v>
      </c>
      <c r="G74" s="43" t="n">
        <f aca="false">IF(Matrice_OD!F74&lt;=Param!$B$2,3_Huff!F74*3_Huff!F$139*1_Friction!F74,0)</f>
        <v>2.26207956902311E-006</v>
      </c>
      <c r="H74" s="43" t="n">
        <f aca="false">IF(Matrice_OD!G74&lt;=Param!$B$2,3_Huff!G74*3_Huff!G$139*1_Friction!G74,0)</f>
        <v>5.89024160201845E-006</v>
      </c>
      <c r="I74" s="43" t="n">
        <f aca="false">IF(Matrice_OD!H74&lt;=Param!$B$2,3_Huff!H74*3_Huff!H$139*1_Friction!H74,0)</f>
        <v>1.82269089481656E-006</v>
      </c>
      <c r="J74" s="43" t="n">
        <f aca="false">IF(Matrice_OD!I74&lt;=Param!$B$2,3_Huff!I74*3_Huff!I$139*1_Friction!I74,0)</f>
        <v>3.44260162218399E-006</v>
      </c>
      <c r="K74" s="43" t="n">
        <f aca="false">IF(Matrice_OD!J74&lt;=Param!$B$2,3_Huff!J74*3_Huff!J$139*1_Friction!J74,0)</f>
        <v>2.64817729609133E-006</v>
      </c>
      <c r="L74" s="43" t="n">
        <f aca="false">IF(Matrice_OD!K74&lt;=Param!$B$2,3_Huff!K74*3_Huff!K$139*1_Friction!K74,0)</f>
        <v>1.64407897571667E-006</v>
      </c>
      <c r="M74" s="43" t="n">
        <f aca="false">IF(Matrice_OD!L74&lt;=Param!$B$2,3_Huff!L74*3_Huff!L$139*1_Friction!L74,0)</f>
        <v>1.73700459043702E-006</v>
      </c>
      <c r="N74" s="43" t="n">
        <f aca="false">IF(Matrice_OD!M74&lt;=Param!$B$2,3_Huff!M74*3_Huff!M$139*1_Friction!M74,0)</f>
        <v>1.03105726600116E-005</v>
      </c>
      <c r="O74" s="43" t="n">
        <f aca="false">IF(Matrice_OD!N74&lt;=Param!$B$2,3_Huff!N74*3_Huff!N$139*1_Friction!N74,0)</f>
        <v>1.2848939705864E-006</v>
      </c>
      <c r="P74" s="43" t="n">
        <f aca="false">IF(Matrice_OD!O74&lt;=Param!$B$2,3_Huff!O74*3_Huff!O$139*1_Friction!O74,0)</f>
        <v>3.93653769981476E-006</v>
      </c>
      <c r="Q74" s="43" t="n">
        <f aca="false">IF(Matrice_OD!P74&lt;=Param!$B$2,3_Huff!P74*3_Huff!P$139*1_Friction!P74,0)</f>
        <v>1.88171788890597E-006</v>
      </c>
      <c r="R74" s="43" t="n">
        <f aca="false">IF(Matrice_OD!Q74&lt;=Param!$B$2,3_Huff!Q74*3_Huff!Q$139*1_Friction!Q74,0)</f>
        <v>1.59987275611849E-005</v>
      </c>
      <c r="S74" s="43" t="n">
        <f aca="false">IF(Matrice_OD!R74&lt;=Param!$B$2,3_Huff!R74*3_Huff!R$139*1_Friction!R74,0)</f>
        <v>2.11858656929221E-006</v>
      </c>
      <c r="T74" s="43" t="n">
        <f aca="false">IF(Matrice_OD!S74&lt;=Param!$B$2,3_Huff!S74*3_Huff!S$139*1_Friction!S74,0)</f>
        <v>1.56035422213616E-006</v>
      </c>
      <c r="U74" s="43" t="n">
        <f aca="false">IF(Matrice_OD!T74&lt;=Param!$B$2,3_Huff!T74*3_Huff!T$139*1_Friction!T74,0)</f>
        <v>1.43782861869971E-005</v>
      </c>
      <c r="V74" s="43" t="n">
        <f aca="false">IF(Matrice_OD!U74&lt;=Param!$B$2,3_Huff!U74*3_Huff!U$139*1_Friction!U74,0)</f>
        <v>2.20605348894442E-007</v>
      </c>
      <c r="W74" s="43" t="n">
        <f aca="false">IF(Matrice_OD!V74&lt;=Param!$B$2,3_Huff!V74*3_Huff!V$139*1_Friction!V74,0)</f>
        <v>3.21946676139411E-006</v>
      </c>
      <c r="X74" s="43" t="n">
        <f aca="false">IF(Matrice_OD!W74&lt;=Param!$B$2,3_Huff!W74*3_Huff!W$139*1_Friction!W74,0)</f>
        <v>4.61029448326991E-007</v>
      </c>
      <c r="Y74" s="43" t="n">
        <f aca="false">IF(Matrice_OD!X74&lt;=Param!$B$2,3_Huff!X74*3_Huff!X$139*1_Friction!X74,0)</f>
        <v>6.02506023518232E-007</v>
      </c>
      <c r="Z74" s="43" t="n">
        <f aca="false">IF(Matrice_OD!Y74&lt;=Param!$B$2,3_Huff!Y74*3_Huff!Y$139*1_Friction!Y74,0)</f>
        <v>4.02625400430591E-007</v>
      </c>
      <c r="AA74" s="43" t="n">
        <f aca="false">IF(Matrice_OD!Z74&lt;=Param!$B$2,3_Huff!Z74*3_Huff!Z$139*1_Friction!Z74,0)</f>
        <v>9.74205897865526E-007</v>
      </c>
      <c r="AB74" s="43" t="n">
        <f aca="false">IF(Matrice_OD!AA74&lt;=Param!$B$2,3_Huff!AA74*3_Huff!AA$139*1_Friction!AA74,0)</f>
        <v>1.55507543195633E-006</v>
      </c>
      <c r="AC74" s="43" t="n">
        <f aca="false">IF(Matrice_OD!AB74&lt;=Param!$B$2,3_Huff!AB74*3_Huff!AB$139*1_Friction!AB74,0)</f>
        <v>6.2352502887534E-007</v>
      </c>
      <c r="AD74" s="43" t="n">
        <f aca="false">IF(Matrice_OD!AC74&lt;=Param!$B$2,3_Huff!AC74*3_Huff!AC$139*1_Friction!AC74,0)</f>
        <v>0</v>
      </c>
      <c r="AE74" s="43" t="n">
        <f aca="false">IF(Matrice_OD!AD74&lt;=Param!$B$2,3_Huff!AD74*3_Huff!AD$139*1_Friction!AD74,0)</f>
        <v>0</v>
      </c>
      <c r="AF74" s="43" t="n">
        <f aca="false">IF(Matrice_OD!AE74&lt;=Param!$B$2,3_Huff!AE74*3_Huff!AE$139*1_Friction!AE74,0)</f>
        <v>0</v>
      </c>
      <c r="AG74" s="43" t="n">
        <f aca="false">IF(Matrice_OD!AF74&lt;=Param!$B$2,3_Huff!AF74*3_Huff!AF$139*1_Friction!AF74,0)</f>
        <v>0</v>
      </c>
      <c r="AH74" s="43" t="n">
        <f aca="false">IF(Matrice_OD!AG74&lt;=Param!$B$2,3_Huff!AG74*3_Huff!AG$139*1_Friction!AG74,0)</f>
        <v>0</v>
      </c>
      <c r="AI74" s="43" t="n">
        <f aca="false">IF(Matrice_OD!AH74&lt;=Param!$B$2,3_Huff!AH74*3_Huff!AH$139*1_Friction!AH74,0)</f>
        <v>4.61998383715294E-006</v>
      </c>
      <c r="AJ74" s="43" t="n">
        <f aca="false">IF(Matrice_OD!AI74&lt;=Param!$B$2,3_Huff!AI74*3_Huff!AI$139*1_Friction!AI74,0)</f>
        <v>7.21842778583835E-006</v>
      </c>
      <c r="AK74" s="43" t="n">
        <f aca="false">IF(Matrice_OD!AJ74&lt;=Param!$B$2,3_Huff!AJ74*3_Huff!AJ$139*1_Friction!AJ74,0)</f>
        <v>8.2128841450481E-007</v>
      </c>
      <c r="AL74" s="43" t="n">
        <f aca="false">IF(Matrice_OD!AK74&lt;=Param!$B$2,3_Huff!AK74*3_Huff!AK$139*1_Friction!AK74,0)</f>
        <v>0</v>
      </c>
      <c r="AM74" s="0" t="n">
        <f aca="false">IF(Matrice_OD!AL74&lt;=Param!$B$2,3_Huff!AL74*3_Huff!AL$139*1_Friction!AL74,0)</f>
        <v>0</v>
      </c>
      <c r="AN74" s="0" t="n">
        <f aca="false">IF(Matrice_OD!AM74&lt;=Param!$B$2,3_Huff!AM74*3_Huff!AM$139*1_Friction!AM74,0)</f>
        <v>3.80385139239331E-005</v>
      </c>
      <c r="AO74" s="0" t="n">
        <f aca="false">IF(Matrice_OD!AN74&lt;=Param!$B$2,3_Huff!AN74*3_Huff!AN$139*1_Friction!AN74,0)</f>
        <v>0</v>
      </c>
      <c r="AP74" s="48" t="n">
        <f aca="false">SUM(D74:AO74)</f>
        <v>0.000158185355850135</v>
      </c>
      <c r="AQ74" s="43" t="n">
        <f aca="false">AP74*1000</f>
        <v>0.158185355850135</v>
      </c>
      <c r="AR74" s="43" t="n">
        <f aca="false">RANK(AP74,AP$2:AP$136,0)</f>
        <v>56</v>
      </c>
      <c r="AS74" s="43" t="n">
        <f aca="false">COUNTIF(Matrice_OD!$C74:$AN74,"&lt;="&amp;Param!$B$2)</f>
        <v>30</v>
      </c>
    </row>
    <row r="75" customFormat="false" ht="15" hidden="false" customHeight="true" outlineLevel="0" collapsed="false">
      <c r="A75" s="0" t="s">
        <v>248</v>
      </c>
      <c r="B75" s="0" t="s">
        <v>249</v>
      </c>
      <c r="C75" s="0" t="n">
        <f aca="false">Demande!C75</f>
        <v>28601</v>
      </c>
      <c r="D75" s="43" t="n">
        <f aca="false">IF(Matrice_OD!C75&lt;=Param!$B$2,3_Huff!C75*3_Huff!C$139*1_Friction!C75,0)</f>
        <v>3.13160620921939E-006</v>
      </c>
      <c r="E75" s="43" t="n">
        <f aca="false">IF(Matrice_OD!D75&lt;=Param!$B$2,3_Huff!D75*3_Huff!D$139*1_Friction!D75,0)</f>
        <v>1.32603497854725E-006</v>
      </c>
      <c r="F75" s="43" t="n">
        <f aca="false">IF(Matrice_OD!E75&lt;=Param!$B$2,3_Huff!E75*3_Huff!E$139*1_Friction!E75,0)</f>
        <v>1.31255535275132E-005</v>
      </c>
      <c r="G75" s="43" t="n">
        <f aca="false">IF(Matrice_OD!F75&lt;=Param!$B$2,3_Huff!F75*3_Huff!F$139*1_Friction!F75,0)</f>
        <v>2.41833619462797E-006</v>
      </c>
      <c r="H75" s="43" t="n">
        <f aca="false">IF(Matrice_OD!G75&lt;=Param!$B$2,3_Huff!G75*3_Huff!G$139*1_Friction!G75,0)</f>
        <v>6.36002605866138E-006</v>
      </c>
      <c r="I75" s="43" t="n">
        <f aca="false">IF(Matrice_OD!H75&lt;=Param!$B$2,3_Huff!H75*3_Huff!H$139*1_Friction!H75,0)</f>
        <v>1.90043851206286E-006</v>
      </c>
      <c r="J75" s="43" t="n">
        <f aca="false">IF(Matrice_OD!I75&lt;=Param!$B$2,3_Huff!I75*3_Huff!I$139*1_Friction!I75,0)</f>
        <v>3.67550066778587E-006</v>
      </c>
      <c r="K75" s="43" t="n">
        <f aca="false">IF(Matrice_OD!J75&lt;=Param!$B$2,3_Huff!J75*3_Huff!J$139*1_Friction!J75,0)</f>
        <v>2.84555392047829E-006</v>
      </c>
      <c r="L75" s="43" t="n">
        <f aca="false">IF(Matrice_OD!K75&lt;=Param!$B$2,3_Huff!K75*3_Huff!K$139*1_Friction!K75,0)</f>
        <v>1.76877326673386E-006</v>
      </c>
      <c r="M75" s="43" t="n">
        <f aca="false">IF(Matrice_OD!L75&lt;=Param!$B$2,3_Huff!L75*3_Huff!L$139*1_Friction!L75,0)</f>
        <v>1.85186667062987E-006</v>
      </c>
      <c r="N75" s="43" t="n">
        <f aca="false">IF(Matrice_OD!M75&lt;=Param!$B$2,3_Huff!M75*3_Huff!M$139*1_Friction!M75,0)</f>
        <v>1.08470535279201E-005</v>
      </c>
      <c r="O75" s="43" t="n">
        <f aca="false">IF(Matrice_OD!N75&lt;=Param!$B$2,3_Huff!N75*3_Huff!N$139*1_Friction!N75,0)</f>
        <v>1.37315057757242E-006</v>
      </c>
      <c r="P75" s="43" t="n">
        <f aca="false">IF(Matrice_OD!O75&lt;=Param!$B$2,3_Huff!O75*3_Huff!O$139*1_Friction!O75,0)</f>
        <v>4.21669655820603E-006</v>
      </c>
      <c r="Q75" s="43" t="n">
        <f aca="false">IF(Matrice_OD!P75&lt;=Param!$B$2,3_Huff!P75*3_Huff!P$139*1_Friction!P75,0)</f>
        <v>2.01783354219702E-006</v>
      </c>
      <c r="R75" s="43" t="n">
        <f aca="false">IF(Matrice_OD!Q75&lt;=Param!$B$2,3_Huff!Q75*3_Huff!Q$139*1_Friction!Q75,0)</f>
        <v>1.72454247719558E-005</v>
      </c>
      <c r="S75" s="43" t="n">
        <f aca="false">IF(Matrice_OD!R75&lt;=Param!$B$2,3_Huff!R75*3_Huff!R$139*1_Friction!R75,0)</f>
        <v>2.28727831941937E-006</v>
      </c>
      <c r="T75" s="43" t="n">
        <f aca="false">IF(Matrice_OD!S75&lt;=Param!$B$2,3_Huff!S75*3_Huff!S$139*1_Friction!S75,0)</f>
        <v>1.68847550460768E-006</v>
      </c>
      <c r="U75" s="43" t="n">
        <f aca="false">IF(Matrice_OD!T75&lt;=Param!$B$2,3_Huff!T75*3_Huff!T$139*1_Friction!T75,0)</f>
        <v>1.741571483622E-005</v>
      </c>
      <c r="V75" s="43" t="n">
        <f aca="false">IF(Matrice_OD!U75&lt;=Param!$B$2,3_Huff!U75*3_Huff!U$139*1_Friction!U75,0)</f>
        <v>1.71009055597668E-006</v>
      </c>
      <c r="W75" s="43" t="n">
        <f aca="false">IF(Matrice_OD!V75&lt;=Param!$B$2,3_Huff!V75*3_Huff!V$139*1_Friction!V75,0)</f>
        <v>3.66889524811923E-005</v>
      </c>
      <c r="X75" s="43" t="n">
        <f aca="false">IF(Matrice_OD!W75&lt;=Param!$B$2,3_Huff!W75*3_Huff!W$139*1_Friction!W75,0)</f>
        <v>5.93060900559778E-006</v>
      </c>
      <c r="Y75" s="43" t="n">
        <f aca="false">IF(Matrice_OD!X75&lt;=Param!$B$2,3_Huff!X75*3_Huff!X$139*1_Friction!X75,0)</f>
        <v>7.81068645263122E-006</v>
      </c>
      <c r="Z75" s="43" t="n">
        <f aca="false">IF(Matrice_OD!Y75&lt;=Param!$B$2,3_Huff!Y75*3_Huff!Y$139*1_Friction!Y75,0)</f>
        <v>5.2173914866386E-006</v>
      </c>
      <c r="AA75" s="43" t="n">
        <f aca="false">IF(Matrice_OD!Z75&lt;=Param!$B$2,3_Huff!Z75*3_Huff!Z$139*1_Friction!Z75,0)</f>
        <v>1.28321814321434E-005</v>
      </c>
      <c r="AB75" s="43" t="n">
        <f aca="false">IF(Matrice_OD!AA75&lt;=Param!$B$2,3_Huff!AA75*3_Huff!AA$139*1_Friction!AA75,0)</f>
        <v>2.22623509219392E-005</v>
      </c>
      <c r="AC75" s="43" t="n">
        <f aca="false">IF(Matrice_OD!AB75&lt;=Param!$B$2,3_Huff!AB75*3_Huff!AB$139*1_Friction!AB75,0)</f>
        <v>9.28660790955997E-006</v>
      </c>
      <c r="AD75" s="43" t="n">
        <f aca="false">IF(Matrice_OD!AC75&lt;=Param!$B$2,3_Huff!AC75*3_Huff!AC$139*1_Friction!AC75,0)</f>
        <v>0</v>
      </c>
      <c r="AE75" s="43" t="n">
        <f aca="false">IF(Matrice_OD!AD75&lt;=Param!$B$2,3_Huff!AD75*3_Huff!AD$139*1_Friction!AD75,0)</f>
        <v>0</v>
      </c>
      <c r="AF75" s="43" t="n">
        <f aca="false">IF(Matrice_OD!AE75&lt;=Param!$B$2,3_Huff!AE75*3_Huff!AE$139*1_Friction!AE75,0)</f>
        <v>0</v>
      </c>
      <c r="AG75" s="43" t="n">
        <f aca="false">IF(Matrice_OD!AF75&lt;=Param!$B$2,3_Huff!AF75*3_Huff!AF$139*1_Friction!AF75,0)</f>
        <v>0</v>
      </c>
      <c r="AH75" s="43" t="n">
        <f aca="false">IF(Matrice_OD!AG75&lt;=Param!$B$2,3_Huff!AG75*3_Huff!AG$139*1_Friction!AG75,0)</f>
        <v>0</v>
      </c>
      <c r="AI75" s="43" t="n">
        <f aca="false">IF(Matrice_OD!AH75&lt;=Param!$B$2,3_Huff!AH75*3_Huff!AH$139*1_Friction!AH75,0)</f>
        <v>5.05234855388946E-006</v>
      </c>
      <c r="AJ75" s="43" t="n">
        <f aca="false">IF(Matrice_OD!AI75&lt;=Param!$B$2,3_Huff!AI75*3_Huff!AI$139*1_Friction!AI75,0)</f>
        <v>8.08378442456857E-006</v>
      </c>
      <c r="AK75" s="43" t="n">
        <f aca="false">IF(Matrice_OD!AJ75&lt;=Param!$B$2,3_Huff!AJ75*3_Huff!AJ$139*1_Friction!AJ75,0)</f>
        <v>1.11522227029448E-005</v>
      </c>
      <c r="AL75" s="43" t="n">
        <f aca="false">IF(Matrice_OD!AK75&lt;=Param!$B$2,3_Huff!AK75*3_Huff!AK$139*1_Friction!AK75,0)</f>
        <v>0</v>
      </c>
      <c r="AM75" s="0" t="n">
        <f aca="false">IF(Matrice_OD!AL75&lt;=Param!$B$2,3_Huff!AL75*3_Huff!AL$139*1_Friction!AL75,0)</f>
        <v>0</v>
      </c>
      <c r="AN75" s="0" t="n">
        <f aca="false">IF(Matrice_OD!AM75&lt;=Param!$B$2,3_Huff!AM75*3_Huff!AM$139*1_Friction!AM75,0)</f>
        <v>7.68171983779155E-006</v>
      </c>
      <c r="AO75" s="0" t="n">
        <f aca="false">IF(Matrice_OD!AN75&lt;=Param!$B$2,3_Huff!AN75*3_Huff!AN$139*1_Friction!AN75,0)</f>
        <v>0</v>
      </c>
      <c r="AP75" s="49" t="n">
        <f aca="false">SUM(D75:AO75)</f>
        <v>0.000229204263409232</v>
      </c>
      <c r="AQ75" s="43" t="n">
        <f aca="false">AP75*1000</f>
        <v>0.229204263409232</v>
      </c>
      <c r="AR75" s="43" t="n">
        <f aca="false">RANK(AP75,AP$2:AP$136,0)</f>
        <v>41</v>
      </c>
      <c r="AS75" s="43" t="n">
        <f aca="false">COUNTIF(Matrice_OD!$C75:$AN75,"&lt;="&amp;Param!$B$2)</f>
        <v>30</v>
      </c>
    </row>
    <row r="76" customFormat="false" ht="15" hidden="false" customHeight="true" outlineLevel="0" collapsed="false">
      <c r="A76" s="0" t="s">
        <v>250</v>
      </c>
      <c r="B76" s="0" t="s">
        <v>251</v>
      </c>
      <c r="C76" s="0" t="n">
        <f aca="false">Demande!C76</f>
        <v>9692</v>
      </c>
      <c r="D76" s="43" t="n">
        <f aca="false">IF(Matrice_OD!C76&lt;=Param!$B$2,3_Huff!C76*3_Huff!C$139*1_Friction!C76,0)</f>
        <v>4.18206429156211E-006</v>
      </c>
      <c r="E76" s="43" t="n">
        <f aca="false">IF(Matrice_OD!D76&lt;=Param!$B$2,3_Huff!D76*3_Huff!D$139*1_Friction!D76,0)</f>
        <v>3.19506410914363E-006</v>
      </c>
      <c r="F76" s="43" t="n">
        <f aca="false">IF(Matrice_OD!E76&lt;=Param!$B$2,3_Huff!E76*3_Huff!E$139*1_Friction!E76,0)</f>
        <v>3.27469804864367E-005</v>
      </c>
      <c r="G76" s="43" t="n">
        <f aca="false">IF(Matrice_OD!F76&lt;=Param!$B$2,3_Huff!F76*3_Huff!F$139*1_Friction!F76,0)</f>
        <v>5.98763334611727E-006</v>
      </c>
      <c r="H76" s="43" t="n">
        <f aca="false">IF(Matrice_OD!G76&lt;=Param!$B$2,3_Huff!G76*3_Huff!G$139*1_Friction!G76,0)</f>
        <v>1.61164603647642E-005</v>
      </c>
      <c r="I76" s="43" t="n">
        <f aca="false">IF(Matrice_OD!H76&lt;=Param!$B$2,3_Huff!H76*3_Huff!H$139*1_Friction!H76,0)</f>
        <v>4.48902372576503E-006</v>
      </c>
      <c r="J76" s="43" t="n">
        <f aca="false">IF(Matrice_OD!I76&lt;=Param!$B$2,3_Huff!I76*3_Huff!I$139*1_Friction!I76,0)</f>
        <v>9.0760051193081E-006</v>
      </c>
      <c r="K76" s="43" t="n">
        <f aca="false">IF(Matrice_OD!J76&lt;=Param!$B$2,3_Huff!J76*3_Huff!J$139*1_Friction!J76,0)</f>
        <v>7.11763255861564E-006</v>
      </c>
      <c r="L76" s="43" t="n">
        <f aca="false">IF(Matrice_OD!K76&lt;=Param!$B$2,3_Huff!K76*3_Huff!K$139*1_Friction!K76,0)</f>
        <v>4.4495442249824E-006</v>
      </c>
      <c r="M76" s="43" t="n">
        <f aca="false">IF(Matrice_OD!L76&lt;=Param!$B$2,3_Huff!L76*3_Huff!L$139*1_Friction!L76,0)</f>
        <v>4.57440443336003E-006</v>
      </c>
      <c r="N76" s="43" t="n">
        <f aca="false">IF(Matrice_OD!M76&lt;=Param!$B$2,3_Huff!M76*3_Huff!M$139*1_Friction!M76,0)</f>
        <v>2.60661015917183E-005</v>
      </c>
      <c r="O76" s="43" t="n">
        <f aca="false">IF(Matrice_OD!N76&lt;=Param!$B$2,3_Huff!N76*3_Huff!N$139*1_Friction!N76,0)</f>
        <v>3.39734961759503E-006</v>
      </c>
      <c r="P76" s="43" t="n">
        <f aca="false">IF(Matrice_OD!O76&lt;=Param!$B$2,3_Huff!O76*3_Huff!O$139*1_Friction!O76,0)</f>
        <v>1.05151342674491E-005</v>
      </c>
      <c r="Q76" s="43" t="n">
        <f aca="false">IF(Matrice_OD!P76&lt;=Param!$B$2,3_Huff!P76*3_Huff!P$139*1_Friction!P76,0)</f>
        <v>5.04287301512939E-006</v>
      </c>
      <c r="R76" s="43" t="n">
        <f aca="false">IF(Matrice_OD!Q76&lt;=Param!$B$2,3_Huff!Q76*3_Huff!Q$139*1_Friction!Q76,0)</f>
        <v>4.3409537542027E-005</v>
      </c>
      <c r="S76" s="43" t="n">
        <f aca="false">IF(Matrice_OD!R76&lt;=Param!$B$2,3_Huff!R76*3_Huff!R$139*1_Friction!R76,0)</f>
        <v>5.77565888977122E-006</v>
      </c>
      <c r="T76" s="43" t="n">
        <f aca="false">IF(Matrice_OD!S76&lt;=Param!$B$2,3_Huff!S76*3_Huff!S$139*1_Friction!S76,0)</f>
        <v>4.29740196792408E-006</v>
      </c>
      <c r="U76" s="43" t="n">
        <f aca="false">IF(Matrice_OD!T76&lt;=Param!$B$2,3_Huff!T76*3_Huff!T$139*1_Friction!T76,0)</f>
        <v>1.15514990300975E-005</v>
      </c>
      <c r="V76" s="43" t="n">
        <f aca="false">IF(Matrice_OD!U76&lt;=Param!$B$2,3_Huff!U76*3_Huff!U$139*1_Friction!U76,0)</f>
        <v>5.61695493735659E-007</v>
      </c>
      <c r="W76" s="43" t="n">
        <f aca="false">IF(Matrice_OD!V76&lt;=Param!$B$2,3_Huff!V76*3_Huff!V$139*1_Friction!V76,0)</f>
        <v>7.58080656200657E-006</v>
      </c>
      <c r="X76" s="43" t="n">
        <f aca="false">IF(Matrice_OD!W76&lt;=Param!$B$2,3_Huff!W76*3_Huff!W$139*1_Friction!W76,0)</f>
        <v>1.14443426472002E-006</v>
      </c>
      <c r="Y76" s="43" t="n">
        <f aca="false">IF(Matrice_OD!X76&lt;=Param!$B$2,3_Huff!X76*3_Huff!X$139*1_Friction!X76,0)</f>
        <v>1.50206632353026E-006</v>
      </c>
      <c r="Z76" s="43" t="n">
        <f aca="false">IF(Matrice_OD!Y76&lt;=Param!$B$2,3_Huff!Y76*3_Huff!Y$139*1_Friction!Y76,0)</f>
        <v>1.00272564092256E-006</v>
      </c>
      <c r="AA76" s="43" t="n">
        <f aca="false">IF(Matrice_OD!Z76&lt;=Param!$B$2,3_Huff!Z76*3_Huff!Z$139*1_Friction!Z76,0)</f>
        <v>2.44397434959246E-006</v>
      </c>
      <c r="AB76" s="43" t="n">
        <f aca="false">IF(Matrice_OD!AA76&lt;=Param!$B$2,3_Huff!AA76*3_Huff!AA$139*1_Friction!AA76,0)</f>
        <v>4.05232678632353E-006</v>
      </c>
      <c r="AC76" s="43" t="n">
        <f aca="false">IF(Matrice_OD!AB76&lt;=Param!$B$2,3_Huff!AB76*3_Huff!AB$139*1_Friction!AB76,0)</f>
        <v>1.65230944397006E-006</v>
      </c>
      <c r="AD76" s="43" t="n">
        <f aca="false">IF(Matrice_OD!AC76&lt;=Param!$B$2,3_Huff!AC76*3_Huff!AC$139*1_Friction!AC76,0)</f>
        <v>0</v>
      </c>
      <c r="AE76" s="43" t="n">
        <f aca="false">IF(Matrice_OD!AD76&lt;=Param!$B$2,3_Huff!AD76*3_Huff!AD$139*1_Friction!AD76,0)</f>
        <v>0</v>
      </c>
      <c r="AF76" s="43" t="n">
        <f aca="false">IF(Matrice_OD!AE76&lt;=Param!$B$2,3_Huff!AE76*3_Huff!AE$139*1_Friction!AE76,0)</f>
        <v>0</v>
      </c>
      <c r="AG76" s="43" t="n">
        <f aca="false">IF(Matrice_OD!AF76&lt;=Param!$B$2,3_Huff!AF76*3_Huff!AF$139*1_Friction!AF76,0)</f>
        <v>0</v>
      </c>
      <c r="AH76" s="43" t="n">
        <f aca="false">IF(Matrice_OD!AG76&lt;=Param!$B$2,3_Huff!AG76*3_Huff!AG$139*1_Friction!AG76,0)</f>
        <v>0</v>
      </c>
      <c r="AI76" s="43" t="n">
        <f aca="false">IF(Matrice_OD!AH76&lt;=Param!$B$2,3_Huff!AH76*3_Huff!AH$139*1_Friction!AH76,0)</f>
        <v>1.30905189512784E-005</v>
      </c>
      <c r="AJ76" s="43" t="n">
        <f aca="false">IF(Matrice_OD!AI76&lt;=Param!$B$2,3_Huff!AI76*3_Huff!AI$139*1_Friction!AI76,0)</f>
        <v>5.14177534788021E-006</v>
      </c>
      <c r="AK76" s="43" t="n">
        <f aca="false">IF(Matrice_OD!AJ76&lt;=Param!$B$2,3_Huff!AJ76*3_Huff!AJ$139*1_Friction!AJ76,0)</f>
        <v>2.08850211244991E-006</v>
      </c>
      <c r="AL76" s="43" t="n">
        <f aca="false">IF(Matrice_OD!AK76&lt;=Param!$B$2,3_Huff!AK76*3_Huff!AK$139*1_Friction!AK76,0)</f>
        <v>0</v>
      </c>
      <c r="AM76" s="0" t="n">
        <f aca="false">IF(Matrice_OD!AL76&lt;=Param!$B$2,3_Huff!AL76*3_Huff!AL$139*1_Friction!AL76,0)</f>
        <v>0</v>
      </c>
      <c r="AN76" s="0" t="n">
        <f aca="false">IF(Matrice_OD!AM76&lt;=Param!$B$2,3_Huff!AM76*3_Huff!AM$139*1_Friction!AM76,0)</f>
        <v>1.04307516109137E-005</v>
      </c>
      <c r="AO76" s="0" t="n">
        <f aca="false">IF(Matrice_OD!AN76&lt;=Param!$B$2,3_Huff!AN76*3_Huff!AN$139*1_Friction!AN76,0)</f>
        <v>0</v>
      </c>
      <c r="AP76" s="48" t="n">
        <f aca="false">SUM(D76:AO76)</f>
        <v>0.00025268225546909</v>
      </c>
      <c r="AQ76" s="43" t="n">
        <f aca="false">AP76*1000</f>
        <v>0.25268225546909</v>
      </c>
      <c r="AR76" s="43" t="n">
        <f aca="false">RANK(AP76,AP$2:AP$136,0)</f>
        <v>35</v>
      </c>
      <c r="AS76" s="43" t="n">
        <f aca="false">COUNTIF(Matrice_OD!$C76:$AN76,"&lt;="&amp;Param!$B$2)</f>
        <v>30</v>
      </c>
    </row>
    <row r="77" customFormat="false" ht="15" hidden="false" customHeight="true" outlineLevel="0" collapsed="false">
      <c r="A77" s="0" t="s">
        <v>252</v>
      </c>
      <c r="B77" s="0" t="s">
        <v>253</v>
      </c>
      <c r="C77" s="0" t="n">
        <f aca="false">Demande!C77</f>
        <v>13766</v>
      </c>
      <c r="D77" s="43" t="n">
        <f aca="false">IF(Matrice_OD!C77&lt;=Param!$B$2,3_Huff!C77*3_Huff!C$139*1_Friction!C77,0)</f>
        <v>1.53037702004774E-006</v>
      </c>
      <c r="E77" s="43" t="n">
        <f aca="false">IF(Matrice_OD!D77&lt;=Param!$B$2,3_Huff!D77*3_Huff!D$139*1_Friction!D77,0)</f>
        <v>3.0073173377539E-006</v>
      </c>
      <c r="F77" s="43" t="n">
        <f aca="false">IF(Matrice_OD!E77&lt;=Param!$B$2,3_Huff!E77*3_Huff!E$139*1_Friction!E77,0)</f>
        <v>3.06962352967347E-005</v>
      </c>
      <c r="G77" s="43" t="n">
        <f aca="false">IF(Matrice_OD!F77&lt;=Param!$B$2,3_Huff!F77*3_Huff!F$139*1_Friction!F77,0)</f>
        <v>5.61624940914655E-006</v>
      </c>
      <c r="H77" s="43" t="n">
        <f aca="false">IF(Matrice_OD!G77&lt;=Param!$B$2,3_Huff!G77*3_Huff!G$139*1_Friction!G77,0)</f>
        <v>1.50843338569406E-005</v>
      </c>
      <c r="I77" s="43" t="n">
        <f aca="false">IF(Matrice_OD!H77&lt;=Param!$B$2,3_Huff!H77*3_Huff!H$139*1_Friction!H77,0)</f>
        <v>4.23035551002562E-006</v>
      </c>
      <c r="J77" s="43" t="n">
        <f aca="false">IF(Matrice_OD!I77&lt;=Param!$B$2,3_Huff!I77*3_Huff!I$139*1_Friction!I77,0)</f>
        <v>8.52249895689506E-006</v>
      </c>
      <c r="K77" s="43" t="n">
        <f aca="false">IF(Matrice_OD!J77&lt;=Param!$B$2,3_Huff!J77*3_Huff!J$139*1_Friction!J77,0)</f>
        <v>6.66953174965366E-006</v>
      </c>
      <c r="L77" s="43" t="n">
        <f aca="false">IF(Matrice_OD!K77&lt;=Param!$B$2,3_Huff!K77*3_Huff!K$139*1_Friction!K77,0)</f>
        <v>4.16754355471655E-006</v>
      </c>
      <c r="M77" s="43" t="n">
        <f aca="false">IF(Matrice_OD!L77&lt;=Param!$B$2,3_Huff!L77*3_Huff!L$139*1_Friction!L77,0)</f>
        <v>4.29209720359105E-006</v>
      </c>
      <c r="N77" s="43" t="n">
        <f aca="false">IF(Matrice_OD!M77&lt;=Param!$B$2,3_Huff!M77*3_Huff!M$139*1_Friction!M77,0)</f>
        <v>2.45407406718348E-005</v>
      </c>
      <c r="O77" s="43" t="n">
        <f aca="false">IF(Matrice_OD!N77&lt;=Param!$B$2,3_Huff!N77*3_Huff!N$139*1_Friction!N77,0)</f>
        <v>3.18685456347414E-006</v>
      </c>
      <c r="P77" s="43" t="n">
        <f aca="false">IF(Matrice_OD!O77&lt;=Param!$B$2,3_Huff!O77*3_Huff!O$139*1_Friction!O77,0)</f>
        <v>9.85710130458291E-006</v>
      </c>
      <c r="Q77" s="43" t="n">
        <f aca="false">IF(Matrice_OD!P77&lt;=Param!$B$2,3_Huff!P77*3_Huff!P$139*1_Friction!P77,0)</f>
        <v>4.72628585715829E-006</v>
      </c>
      <c r="R77" s="43" t="n">
        <f aca="false">IF(Matrice_OD!Q77&lt;=Param!$B$2,3_Huff!Q77*3_Huff!Q$139*1_Friction!Q77,0)</f>
        <v>4.06516218998994E-005</v>
      </c>
      <c r="S77" s="43" t="n">
        <f aca="false">IF(Matrice_OD!R77&lt;=Param!$B$2,3_Huff!R77*3_Huff!R$139*1_Friction!R77,0)</f>
        <v>5.40705420613867E-006</v>
      </c>
      <c r="T77" s="43" t="n">
        <f aca="false">IF(Matrice_OD!S77&lt;=Param!$B$2,3_Huff!S77*3_Huff!S$139*1_Friction!S77,0)</f>
        <v>4.02047680542732E-006</v>
      </c>
      <c r="U77" s="43" t="n">
        <f aca="false">IF(Matrice_OD!T77&lt;=Param!$B$2,3_Huff!T77*3_Huff!T$139*1_Friction!T77,0)</f>
        <v>1.29275830355672E-005</v>
      </c>
      <c r="V77" s="43" t="n">
        <f aca="false">IF(Matrice_OD!U77&lt;=Param!$B$2,3_Huff!U77*3_Huff!U$139*1_Friction!U77,0)</f>
        <v>2.87134489756597E-006</v>
      </c>
      <c r="W77" s="43" t="n">
        <f aca="false">IF(Matrice_OD!V77&lt;=Param!$B$2,3_Huff!V77*3_Huff!V$139*1_Friction!V77,0)</f>
        <v>9.95570874376363E-006</v>
      </c>
      <c r="X77" s="43" t="n">
        <f aca="false">IF(Matrice_OD!W77&lt;=Param!$B$2,3_Huff!W77*3_Huff!W$139*1_Friction!W77,0)</f>
        <v>1.51832107409504E-006</v>
      </c>
      <c r="Y77" s="43" t="n">
        <f aca="false">IF(Matrice_OD!X77&lt;=Param!$B$2,3_Huff!X77*3_Huff!X$139*1_Friction!X77,0)</f>
        <v>1.9938237548519E-006</v>
      </c>
      <c r="Z77" s="43" t="n">
        <f aca="false">IF(Matrice_OD!Y77&lt;=Param!$B$2,3_Huff!Y77*3_Huff!Y$139*1_Friction!Y77,0)</f>
        <v>1.33113059687285E-006</v>
      </c>
      <c r="AA77" s="43" t="n">
        <f aca="false">IF(Matrice_OD!Z77&lt;=Param!$B$2,3_Huff!Z77*3_Huff!Z$139*1_Friction!Z77,0)</f>
        <v>3.24883816254166E-006</v>
      </c>
      <c r="AB77" s="43" t="n">
        <f aca="false">IF(Matrice_OD!AA77&lt;=Param!$B$2,3_Huff!AA77*3_Huff!AA$139*1_Friction!AA77,0)</f>
        <v>5.42375844330449E-006</v>
      </c>
      <c r="AC77" s="43" t="n">
        <f aca="false">IF(Matrice_OD!AB77&lt;=Param!$B$2,3_Huff!AB77*3_Huff!AB$139*1_Friction!AB77,0)</f>
        <v>2.22197751110522E-006</v>
      </c>
      <c r="AD77" s="43" t="n">
        <f aca="false">IF(Matrice_OD!AC77&lt;=Param!$B$2,3_Huff!AC77*3_Huff!AC$139*1_Friction!AC77,0)</f>
        <v>0</v>
      </c>
      <c r="AE77" s="43" t="n">
        <f aca="false">IF(Matrice_OD!AD77&lt;=Param!$B$2,3_Huff!AD77*3_Huff!AD$139*1_Friction!AD77,0)</f>
        <v>0</v>
      </c>
      <c r="AF77" s="43" t="n">
        <f aca="false">IF(Matrice_OD!AE77&lt;=Param!$B$2,3_Huff!AE77*3_Huff!AE$139*1_Friction!AE77,0)</f>
        <v>0</v>
      </c>
      <c r="AG77" s="43" t="n">
        <f aca="false">IF(Matrice_OD!AF77&lt;=Param!$B$2,3_Huff!AF77*3_Huff!AF$139*1_Friction!AF77,0)</f>
        <v>0</v>
      </c>
      <c r="AH77" s="43" t="n">
        <f aca="false">IF(Matrice_OD!AG77&lt;=Param!$B$2,3_Huff!AG77*3_Huff!AG$139*1_Friction!AG77,0)</f>
        <v>0</v>
      </c>
      <c r="AI77" s="43" t="n">
        <f aca="false">IF(Matrice_OD!AH77&lt;=Param!$B$2,3_Huff!AH77*3_Huff!AH$139*1_Friction!AH77,0)</f>
        <v>1.22243918078498E-005</v>
      </c>
      <c r="AJ77" s="43" t="n">
        <f aca="false">IF(Matrice_OD!AI77&lt;=Param!$B$2,3_Huff!AI77*3_Huff!AI$139*1_Friction!AI77,0)</f>
        <v>5.77692237820805E-006</v>
      </c>
      <c r="AK77" s="43" t="n">
        <f aca="false">IF(Matrice_OD!AJ77&lt;=Param!$B$2,3_Huff!AJ77*3_Huff!AJ$139*1_Friction!AJ77,0)</f>
        <v>2.78336622738215E-006</v>
      </c>
      <c r="AL77" s="43" t="n">
        <f aca="false">IF(Matrice_OD!AK77&lt;=Param!$B$2,3_Huff!AK77*3_Huff!AK$139*1_Friction!AK77,0)</f>
        <v>0</v>
      </c>
      <c r="AM77" s="0" t="n">
        <f aca="false">IF(Matrice_OD!AL77&lt;=Param!$B$2,3_Huff!AL77*3_Huff!AL$139*1_Friction!AL77,0)</f>
        <v>0</v>
      </c>
      <c r="AN77" s="0" t="n">
        <f aca="false">IF(Matrice_OD!AM77&lt;=Param!$B$2,3_Huff!AM77*3_Huff!AM$139*1_Friction!AM77,0)</f>
        <v>3.72688253475842E-006</v>
      </c>
      <c r="AO77" s="0" t="n">
        <f aca="false">IF(Matrice_OD!AN77&lt;=Param!$B$2,3_Huff!AN77*3_Huff!AN$139*1_Friction!AN77,0)</f>
        <v>0</v>
      </c>
      <c r="AP77" s="49" t="n">
        <f aca="false">SUM(D77:AO77)</f>
        <v>0.000242210724371888</v>
      </c>
      <c r="AQ77" s="43" t="n">
        <f aca="false">AP77*1000</f>
        <v>0.242210724371888</v>
      </c>
      <c r="AR77" s="43" t="n">
        <f aca="false">RANK(AP77,AP$2:AP$136,0)</f>
        <v>37</v>
      </c>
      <c r="AS77" s="43" t="n">
        <f aca="false">COUNTIF(Matrice_OD!$C77:$AN77,"&lt;="&amp;Param!$B$2)</f>
        <v>30</v>
      </c>
    </row>
    <row r="78" customFormat="false" ht="15" hidden="false" customHeight="true" outlineLevel="0" collapsed="false">
      <c r="A78" s="0" t="s">
        <v>254</v>
      </c>
      <c r="B78" s="0" t="s">
        <v>255</v>
      </c>
      <c r="C78" s="0" t="n">
        <f aca="false">Demande!C78</f>
        <v>37064</v>
      </c>
      <c r="D78" s="43" t="n">
        <f aca="false">IF(Matrice_OD!C78&lt;=Param!$B$2,3_Huff!C78*3_Huff!C$139*1_Friction!C78,0)</f>
        <v>3.34780072501714E-006</v>
      </c>
      <c r="E78" s="43" t="n">
        <f aca="false">IF(Matrice_OD!D78&lt;=Param!$B$2,3_Huff!D78*3_Huff!D$139*1_Friction!D78,0)</f>
        <v>5.46982035912955E-006</v>
      </c>
      <c r="F78" s="43" t="n">
        <f aca="false">IF(Matrice_OD!E78&lt;=Param!$B$2,3_Huff!E78*3_Huff!E$139*1_Friction!E78,0)</f>
        <v>5.84581867417182E-005</v>
      </c>
      <c r="G78" s="43" t="n">
        <f aca="false">IF(Matrice_OD!F78&lt;=Param!$B$2,3_Huff!F78*3_Huff!F$139*1_Friction!F78,0)</f>
        <v>1.06012223695995E-005</v>
      </c>
      <c r="H78" s="43" t="n">
        <f aca="false">IF(Matrice_OD!G78&lt;=Param!$B$2,3_Huff!G78*3_Huff!G$139*1_Friction!G78,0)</f>
        <v>2.93368761338509E-005</v>
      </c>
      <c r="I78" s="43" t="n">
        <f aca="false">IF(Matrice_OD!H78&lt;=Param!$B$2,3_Huff!H78*3_Huff!H$139*1_Friction!H78,0)</f>
        <v>7.48252544295167E-006</v>
      </c>
      <c r="J78" s="43" t="n">
        <f aca="false">IF(Matrice_OD!I78&lt;=Param!$B$2,3_Huff!I78*3_Huff!I$139*1_Friction!I78,0)</f>
        <v>1.60237849472814E-005</v>
      </c>
      <c r="K78" s="43" t="n">
        <f aca="false">IF(Matrice_OD!J78&lt;=Param!$B$2,3_Huff!J78*3_Huff!J$139*1_Friction!J78,0)</f>
        <v>1.27710173612907E-005</v>
      </c>
      <c r="L78" s="43" t="n">
        <f aca="false">IF(Matrice_OD!K78&lt;=Param!$B$2,3_Huff!K78*3_Huff!K$139*1_Friction!K78,0)</f>
        <v>8.02581897799643E-006</v>
      </c>
      <c r="M78" s="43" t="n">
        <f aca="false">IF(Matrice_OD!L78&lt;=Param!$B$2,3_Huff!L78*3_Huff!L$139*1_Friction!L78,0)</f>
        <v>8.06459320090147E-006</v>
      </c>
      <c r="N78" s="43" t="n">
        <f aca="false">IF(Matrice_OD!M78&lt;=Param!$B$2,3_Huff!M78*3_Huff!M$139*1_Friction!M78,0)</f>
        <v>4.44746645747503E-005</v>
      </c>
      <c r="O78" s="43" t="n">
        <f aca="false">IF(Matrice_OD!N78&lt;=Param!$B$2,3_Huff!N78*3_Huff!N$139*1_Friction!N78,0)</f>
        <v>6.01270882639179E-006</v>
      </c>
      <c r="P78" s="43" t="n">
        <f aca="false">IF(Matrice_OD!O78&lt;=Param!$B$2,3_Huff!O78*3_Huff!O$139*1_Friction!O78,0)</f>
        <v>1.87596274945726E-005</v>
      </c>
      <c r="Q78" s="43" t="n">
        <f aca="false">IF(Matrice_OD!P78&lt;=Param!$B$2,3_Huff!P78*3_Huff!P$139*1_Friction!P78,0)</f>
        <v>9.02149538536542E-006</v>
      </c>
      <c r="R78" s="43" t="n">
        <f aca="false">IF(Matrice_OD!Q78&lt;=Param!$B$2,3_Huff!Q78*3_Huff!Q$139*1_Friction!Q78,0)</f>
        <v>7.85088554188695E-005</v>
      </c>
      <c r="S78" s="43" t="n">
        <f aca="false">IF(Matrice_OD!R78&lt;=Param!$B$2,3_Huff!R78*3_Huff!R$139*1_Friction!R78,0)</f>
        <v>1.04871335913128E-005</v>
      </c>
      <c r="T78" s="43" t="n">
        <f aca="false">IF(Matrice_OD!S78&lt;=Param!$B$2,3_Huff!S78*3_Huff!S$139*1_Friction!S78,0)</f>
        <v>7.86560989660254E-006</v>
      </c>
      <c r="U78" s="43" t="n">
        <f aca="false">IF(Matrice_OD!T78&lt;=Param!$B$2,3_Huff!T78*3_Huff!T$139*1_Friction!T78,0)</f>
        <v>7.38886041522538E-006</v>
      </c>
      <c r="V78" s="43" t="n">
        <f aca="false">IF(Matrice_OD!U78&lt;=Param!$B$2,3_Huff!U78*3_Huff!U$139*1_Friction!U78,0)</f>
        <v>3.51610578366697E-007</v>
      </c>
      <c r="W78" s="43" t="n">
        <f aca="false">IF(Matrice_OD!V78&lt;=Param!$B$2,3_Huff!V78*3_Huff!V$139*1_Friction!V78,0)</f>
        <v>4.02416167043579E-006</v>
      </c>
      <c r="X78" s="43" t="n">
        <f aca="false">IF(Matrice_OD!W78&lt;=Param!$B$2,3_Huff!W78*3_Huff!W$139*1_Friction!W78,0)</f>
        <v>6.01186579581711E-007</v>
      </c>
      <c r="Y78" s="43" t="n">
        <f aca="false">IF(Matrice_OD!X78&lt;=Param!$B$2,3_Huff!X78*3_Huff!X$139*1_Friction!X78,0)</f>
        <v>7.88583852414853E-007</v>
      </c>
      <c r="Z78" s="43" t="n">
        <f aca="false">IF(Matrice_OD!Y78&lt;=Param!$B$2,3_Huff!Y78*3_Huff!Y$139*1_Friction!Y78,0)</f>
        <v>5.26373093287232E-007</v>
      </c>
      <c r="AA78" s="43" t="n">
        <f aca="false">IF(Matrice_OD!Z78&lt;=Param!$B$2,3_Huff!Z78*3_Huff!Z$139*1_Friction!Z78,0)</f>
        <v>1.28092487941767E-006</v>
      </c>
      <c r="AB78" s="43" t="n">
        <f aca="false">IF(Matrice_OD!AA78&lt;=Param!$B$2,3_Huff!AA78*3_Huff!AA$139*1_Friction!AA78,0)</f>
        <v>2.1072145763672E-006</v>
      </c>
      <c r="AC78" s="43" t="n">
        <f aca="false">IF(Matrice_OD!AB78&lt;=Param!$B$2,3_Huff!AB78*3_Huff!AB$139*1_Friction!AB78,0)</f>
        <v>8.55800480743097E-007</v>
      </c>
      <c r="AD78" s="43" t="n">
        <f aca="false">IF(Matrice_OD!AC78&lt;=Param!$B$2,3_Huff!AC78*3_Huff!AC$139*1_Friction!AC78,0)</f>
        <v>0</v>
      </c>
      <c r="AE78" s="43" t="n">
        <f aca="false">IF(Matrice_OD!AD78&lt;=Param!$B$2,3_Huff!AD78*3_Huff!AD$139*1_Friction!AD78,0)</f>
        <v>0</v>
      </c>
      <c r="AF78" s="43" t="n">
        <f aca="false">IF(Matrice_OD!AE78&lt;=Param!$B$2,3_Huff!AE78*3_Huff!AE$139*1_Friction!AE78,0)</f>
        <v>0</v>
      </c>
      <c r="AG78" s="43" t="n">
        <f aca="false">IF(Matrice_OD!AF78&lt;=Param!$B$2,3_Huff!AF78*3_Huff!AF$139*1_Friction!AF78,0)</f>
        <v>0</v>
      </c>
      <c r="AH78" s="43" t="n">
        <f aca="false">IF(Matrice_OD!AG78&lt;=Param!$B$2,3_Huff!AG78*3_Huff!AG$139*1_Friction!AG78,0)</f>
        <v>0</v>
      </c>
      <c r="AI78" s="43" t="n">
        <f aca="false">IF(Matrice_OD!AH78&lt;=Param!$B$2,3_Huff!AH78*3_Huff!AH$139*1_Friction!AH78,0)</f>
        <v>2.45499854635063E-005</v>
      </c>
      <c r="AJ78" s="43" t="n">
        <f aca="false">IF(Matrice_OD!AI78&lt;=Param!$B$2,3_Huff!AI78*3_Huff!AI$139*1_Friction!AI78,0)</f>
        <v>3.27250681538169E-006</v>
      </c>
      <c r="AK78" s="43" t="n">
        <f aca="false">IF(Matrice_OD!AJ78&lt;=Param!$B$2,3_Huff!AJ78*3_Huff!AJ$139*1_Friction!AJ78,0)</f>
        <v>1.09140834405087E-006</v>
      </c>
      <c r="AL78" s="43" t="n">
        <f aca="false">IF(Matrice_OD!AK78&lt;=Param!$B$2,3_Huff!AK78*3_Huff!AK$139*1_Friction!AK78,0)</f>
        <v>0</v>
      </c>
      <c r="AM78" s="0" t="n">
        <f aca="false">IF(Matrice_OD!AL78&lt;=Param!$B$2,3_Huff!AL78*3_Huff!AL$139*1_Friction!AL78,0)</f>
        <v>0</v>
      </c>
      <c r="AN78" s="0" t="n">
        <f aca="false">IF(Matrice_OD!AM78&lt;=Param!$B$2,3_Huff!AM78*3_Huff!AM$139*1_Friction!AM78,0)</f>
        <v>8.37449392280036E-006</v>
      </c>
      <c r="AO78" s="0" t="n">
        <f aca="false">IF(Matrice_OD!AN78&lt;=Param!$B$2,3_Huff!AN78*3_Huff!AN$139*1_Friction!AN78,0)</f>
        <v>0</v>
      </c>
      <c r="AP78" s="48" t="n">
        <f aca="false">SUM(D78:AO78)</f>
        <v>0.000389924852119181</v>
      </c>
      <c r="AQ78" s="43" t="n">
        <f aca="false">AP78*1000</f>
        <v>0.389924852119181</v>
      </c>
      <c r="AR78" s="43" t="n">
        <f aca="false">RANK(AP78,AP$2:AP$136,0)</f>
        <v>18</v>
      </c>
      <c r="AS78" s="43" t="n">
        <f aca="false">COUNTIF(Matrice_OD!$C78:$AN78,"&lt;="&amp;Param!$B$2)</f>
        <v>30</v>
      </c>
    </row>
    <row r="79" customFormat="false" ht="15" hidden="false" customHeight="true" outlineLevel="0" collapsed="false">
      <c r="A79" s="0" t="s">
        <v>256</v>
      </c>
      <c r="B79" s="0" t="s">
        <v>257</v>
      </c>
      <c r="C79" s="0" t="n">
        <f aca="false">Demande!C79</f>
        <v>10413</v>
      </c>
      <c r="D79" s="43" t="n">
        <f aca="false">IF(Matrice_OD!C79&lt;=Param!$B$2,3_Huff!C79*3_Huff!C$139*1_Friction!C79,0)</f>
        <v>5.49063216032813E-006</v>
      </c>
      <c r="E79" s="43" t="n">
        <f aca="false">IF(Matrice_OD!D79&lt;=Param!$B$2,3_Huff!D79*3_Huff!D$139*1_Friction!D79,0)</f>
        <v>4.44959269252517E-007</v>
      </c>
      <c r="F79" s="43" t="n">
        <f aca="false">IF(Matrice_OD!E79&lt;=Param!$B$2,3_Huff!E79*3_Huff!E$139*1_Friction!E79,0)</f>
        <v>4.16739942779943E-006</v>
      </c>
      <c r="G79" s="43" t="n">
        <f aca="false">IF(Matrice_OD!F79&lt;=Param!$B$2,3_Huff!F79*3_Huff!F$139*1_Friction!F79,0)</f>
        <v>7.75232072450362E-007</v>
      </c>
      <c r="H79" s="43" t="n">
        <f aca="false">IF(Matrice_OD!G79&lt;=Param!$B$2,3_Huff!G79*3_Huff!G$139*1_Friction!G79,0)</f>
        <v>1.96891442074624E-006</v>
      </c>
      <c r="I79" s="43" t="n">
        <f aca="false">IF(Matrice_OD!H79&lt;=Param!$B$2,3_Huff!H79*3_Huff!H$139*1_Friction!H79,0)</f>
        <v>6.59479535054352E-007</v>
      </c>
      <c r="J79" s="43" t="n">
        <f aca="false">IF(Matrice_OD!I79&lt;=Param!$B$2,3_Huff!I79*3_Huff!I$139*1_Friction!I79,0)</f>
        <v>1.18509911280018E-006</v>
      </c>
      <c r="K79" s="43" t="n">
        <f aca="false">IF(Matrice_OD!J79&lt;=Param!$B$2,3_Huff!J79*3_Huff!J$139*1_Friction!J79,0)</f>
        <v>8.97165147192948E-007</v>
      </c>
      <c r="L79" s="43" t="n">
        <f aca="false">IF(Matrice_OD!K79&lt;=Param!$B$2,3_Huff!K79*3_Huff!K$139*1_Friction!K79,0)</f>
        <v>5.54098248216174E-007</v>
      </c>
      <c r="M79" s="43" t="n">
        <f aca="false">IF(Matrice_OD!L79&lt;=Param!$B$2,3_Huff!L79*3_Huff!L$139*1_Friction!L79,0)</f>
        <v>5.97573037070043E-007</v>
      </c>
      <c r="N79" s="43" t="n">
        <f aca="false">IF(Matrice_OD!M79&lt;=Param!$B$2,3_Huff!M79*3_Huff!M$139*1_Friction!M79,0)</f>
        <v>3.65564632833854E-006</v>
      </c>
      <c r="O79" s="43" t="n">
        <f aca="false">IF(Matrice_OD!N79&lt;=Param!$B$2,3_Huff!N79*3_Huff!N$139*1_Friction!N79,0)</f>
        <v>4.40705207987284E-007</v>
      </c>
      <c r="P79" s="43" t="n">
        <f aca="false">IF(Matrice_OD!O79&lt;=Param!$B$2,3_Huff!O79*3_Huff!O$139*1_Friction!O79,0)</f>
        <v>1.33987091823755E-006</v>
      </c>
      <c r="Q79" s="43" t="n">
        <f aca="false">IF(Matrice_OD!P79&lt;=Param!$B$2,3_Huff!P79*3_Huff!P$139*1_Friction!P79,0)</f>
        <v>6.38898617590011E-007</v>
      </c>
      <c r="R79" s="43" t="n">
        <f aca="false">IF(Matrice_OD!Q79&lt;=Param!$B$2,3_Huff!Q79*3_Huff!Q$139*1_Friction!Q79,0)</f>
        <v>5.38166249529994E-006</v>
      </c>
      <c r="S79" s="43" t="n">
        <f aca="false">IF(Matrice_OD!R79&lt;=Param!$B$2,3_Huff!R79*3_Huff!R$139*1_Friction!R79,0)</f>
        <v>7.1011726105243E-007</v>
      </c>
      <c r="T79" s="43" t="n">
        <f aca="false">IF(Matrice_OD!S79&lt;=Param!$B$2,3_Huff!S79*3_Huff!S$139*1_Friction!S79,0)</f>
        <v>5.19008785386125E-007</v>
      </c>
      <c r="U79" s="43" t="n">
        <f aca="false">IF(Matrice_OD!T79&lt;=Param!$B$2,3_Huff!T79*3_Huff!T$139*1_Friction!T79,0)</f>
        <v>2.65117795218637E-005</v>
      </c>
      <c r="V79" s="43" t="n">
        <f aca="false">IF(Matrice_OD!U79&lt;=Param!$B$2,3_Huff!U79*3_Huff!U$139*1_Friction!U79,0)</f>
        <v>4.5992519538668E-007</v>
      </c>
      <c r="W79" s="43" t="n">
        <f aca="false">IF(Matrice_OD!V79&lt;=Param!$B$2,3_Huff!V79*3_Huff!V$139*1_Friction!V79,0)</f>
        <v>6.65736499524016E-006</v>
      </c>
      <c r="X79" s="43" t="n">
        <f aca="false">IF(Matrice_OD!W79&lt;=Param!$B$2,3_Huff!W79*3_Huff!W$139*1_Friction!W79,0)</f>
        <v>9.5821538318864E-007</v>
      </c>
      <c r="Y79" s="43" t="n">
        <f aca="false">IF(Matrice_OD!X79&lt;=Param!$B$2,3_Huff!X79*3_Huff!X$139*1_Friction!X79,0)</f>
        <v>1.25460346377093E-006</v>
      </c>
      <c r="Z79" s="43" t="n">
        <f aca="false">IF(Matrice_OD!Y79&lt;=Param!$B$2,3_Huff!Y79*3_Huff!Y$139*1_Friction!Y79,0)</f>
        <v>8.3715849965051E-007</v>
      </c>
      <c r="AA79" s="43" t="n">
        <f aca="false">IF(Matrice_OD!Z79&lt;=Param!$B$2,3_Huff!Z79*3_Huff!Z$139*1_Friction!Z79,0)</f>
        <v>2.02740763731147E-006</v>
      </c>
      <c r="AB79" s="43" t="n">
        <f aca="false">IF(Matrice_OD!AA79&lt;=Param!$B$2,3_Huff!AA79*3_Huff!AA$139*1_Friction!AA79,0)</f>
        <v>3.25569127731794E-006</v>
      </c>
      <c r="AC79" s="43" t="n">
        <f aca="false">IF(Matrice_OD!AB79&lt;=Param!$B$2,3_Huff!AB79*3_Huff!AB$139*1_Friction!AB79,0)</f>
        <v>1.30625916521503E-006</v>
      </c>
      <c r="AD79" s="43" t="n">
        <f aca="false">IF(Matrice_OD!AC79&lt;=Param!$B$2,3_Huff!AC79*3_Huff!AC$139*1_Friction!AC79,0)</f>
        <v>0</v>
      </c>
      <c r="AE79" s="43" t="n">
        <f aca="false">IF(Matrice_OD!AD79&lt;=Param!$B$2,3_Huff!AD79*3_Huff!AD$139*1_Friction!AD79,0)</f>
        <v>0</v>
      </c>
      <c r="AF79" s="43" t="n">
        <f aca="false">IF(Matrice_OD!AE79&lt;=Param!$B$2,3_Huff!AE79*3_Huff!AE$139*1_Friction!AE79,0)</f>
        <v>0</v>
      </c>
      <c r="AG79" s="43" t="n">
        <f aca="false">IF(Matrice_OD!AF79&lt;=Param!$B$2,3_Huff!AF79*3_Huff!AF$139*1_Friction!AF79,0)</f>
        <v>0</v>
      </c>
      <c r="AH79" s="43" t="n">
        <f aca="false">IF(Matrice_OD!AG79&lt;=Param!$B$2,3_Huff!AG79*3_Huff!AG$139*1_Friction!AG79,0)</f>
        <v>0</v>
      </c>
      <c r="AI79" s="43" t="n">
        <f aca="false">IF(Matrice_OD!AH79&lt;=Param!$B$2,3_Huff!AH79*3_Huff!AH$139*1_Friction!AH79,0)</f>
        <v>1.50421183764501E-006</v>
      </c>
      <c r="AJ79" s="43" t="n">
        <f aca="false">IF(Matrice_OD!AI79&lt;=Param!$B$2,3_Huff!AI79*3_Huff!AI$139*1_Friction!AI79,0)</f>
        <v>1.32433536569568E-005</v>
      </c>
      <c r="AK79" s="43" t="n">
        <f aca="false">IF(Matrice_OD!AJ79&lt;=Param!$B$2,3_Huff!AJ79*3_Huff!AJ$139*1_Friction!AJ79,0)</f>
        <v>1.71198788429256E-006</v>
      </c>
      <c r="AL79" s="43" t="n">
        <f aca="false">IF(Matrice_OD!AK79&lt;=Param!$B$2,3_Huff!AK79*3_Huff!AK$139*1_Friction!AK79,0)</f>
        <v>0</v>
      </c>
      <c r="AM79" s="0" t="n">
        <f aca="false">IF(Matrice_OD!AL79&lt;=Param!$B$2,3_Huff!AL79*3_Huff!AL$139*1_Friction!AL79,0)</f>
        <v>0</v>
      </c>
      <c r="AN79" s="0" t="n">
        <f aca="false">IF(Matrice_OD!AM79&lt;=Param!$B$2,3_Huff!AM79*3_Huff!AM$139*1_Friction!AM79,0)</f>
        <v>1.46440007333218E-005</v>
      </c>
      <c r="AO79" s="0" t="n">
        <f aca="false">IF(Matrice_OD!AN79&lt;=Param!$B$2,3_Huff!AN79*3_Huff!AN$139*1_Friction!AN79,0)</f>
        <v>0</v>
      </c>
      <c r="AP79" s="49" t="n">
        <f aca="false">SUM(D79:AO79)</f>
        <v>0.000103798421295964</v>
      </c>
      <c r="AQ79" s="43" t="n">
        <f aca="false">AP79*1000</f>
        <v>0.103798421295964</v>
      </c>
      <c r="AR79" s="43" t="n">
        <f aca="false">RANK(AP79,AP$2:AP$136,0)</f>
        <v>68</v>
      </c>
      <c r="AS79" s="43" t="n">
        <f aca="false">COUNTIF(Matrice_OD!$C79:$AN79,"&lt;="&amp;Param!$B$2)</f>
        <v>30</v>
      </c>
    </row>
    <row r="80" customFormat="false" ht="15" hidden="false" customHeight="true" outlineLevel="0" collapsed="false">
      <c r="A80" s="0" t="s">
        <v>258</v>
      </c>
      <c r="B80" s="0" t="s">
        <v>259</v>
      </c>
      <c r="C80" s="0" t="n">
        <f aca="false">Demande!C80</f>
        <v>14097</v>
      </c>
      <c r="D80" s="43" t="n">
        <f aca="false">IF(Matrice_OD!C80&lt;=Param!$B$2,3_Huff!C80*3_Huff!C$139*1_Friction!C80,0)</f>
        <v>1.60356220285701E-006</v>
      </c>
      <c r="E80" s="43" t="n">
        <f aca="false">IF(Matrice_OD!D80&lt;=Param!$B$2,3_Huff!D80*3_Huff!D$139*1_Friction!D80,0)</f>
        <v>5.59237470937526E-007</v>
      </c>
      <c r="F80" s="43" t="n">
        <f aca="false">IF(Matrice_OD!E80&lt;=Param!$B$2,3_Huff!E80*3_Huff!E$139*1_Friction!E80,0)</f>
        <v>5.33838356082736E-006</v>
      </c>
      <c r="G80" s="43" t="n">
        <f aca="false">IF(Matrice_OD!F80&lt;=Param!$B$2,3_Huff!F80*3_Huff!F$139*1_Friction!F80,0)</f>
        <v>9.90737610631884E-007</v>
      </c>
      <c r="H80" s="43" t="n">
        <f aca="false">IF(Matrice_OD!G80&lt;=Param!$B$2,3_Huff!G80*3_Huff!G$139*1_Friction!G80,0)</f>
        <v>2.5476359175117E-006</v>
      </c>
      <c r="I80" s="43" t="n">
        <f aca="false">IF(Matrice_OD!H80&lt;=Param!$B$2,3_Huff!H80*3_Huff!H$139*1_Friction!H80,0)</f>
        <v>8.19326649314142E-007</v>
      </c>
      <c r="J80" s="43" t="n">
        <f aca="false">IF(Matrice_OD!I80&lt;=Param!$B$2,3_Huff!I80*3_Huff!I$139*1_Friction!I80,0)</f>
        <v>1.51006594092039E-006</v>
      </c>
      <c r="K80" s="43" t="n">
        <f aca="false">IF(Matrice_OD!J80&lt;=Param!$B$2,3_Huff!J80*3_Huff!J$139*1_Friction!J80,0)</f>
        <v>1.15314535232633E-006</v>
      </c>
      <c r="L80" s="43" t="n">
        <f aca="false">IF(Matrice_OD!K80&lt;=Param!$B$2,3_Huff!K80*3_Huff!K$139*1_Friction!K80,0)</f>
        <v>7.1308207999058E-007</v>
      </c>
      <c r="M80" s="43" t="n">
        <f aca="false">IF(Matrice_OD!L80&lt;=Param!$B$2,3_Huff!L80*3_Huff!L$139*1_Friction!L80,0)</f>
        <v>7.61226869426273E-007</v>
      </c>
      <c r="N80" s="43" t="n">
        <f aca="false">IF(Matrice_OD!M80&lt;=Param!$B$2,3_Huff!M80*3_Huff!M$139*1_Friction!M80,0)</f>
        <v>4.58765233312243E-006</v>
      </c>
      <c r="O80" s="43" t="n">
        <f aca="false">IF(Matrice_OD!N80&lt;=Param!$B$2,3_Huff!N80*3_Huff!N$139*1_Friction!N80,0)</f>
        <v>5.62986031614586E-007</v>
      </c>
      <c r="P80" s="43" t="n">
        <f aca="false">IF(Matrice_OD!O80&lt;=Param!$B$2,3_Huff!O80*3_Huff!O$139*1_Friction!O80,0)</f>
        <v>1.71818091830764E-006</v>
      </c>
      <c r="Q80" s="43" t="n">
        <f aca="false">IF(Matrice_OD!P80&lt;=Param!$B$2,3_Huff!P80*3_Huff!P$139*1_Friction!P80,0)</f>
        <v>8.19200157701653E-007</v>
      </c>
      <c r="R80" s="43" t="n">
        <f aca="false">IF(Matrice_OD!Q80&lt;=Param!$B$2,3_Huff!Q80*3_Huff!Q$139*1_Friction!Q80,0)</f>
        <v>6.94170717829867E-006</v>
      </c>
      <c r="S80" s="43" t="n">
        <f aca="false">IF(Matrice_OD!R80&lt;=Param!$B$2,3_Huff!R80*3_Huff!R$139*1_Friction!R80,0)</f>
        <v>9.17590667011976E-007</v>
      </c>
      <c r="T80" s="43" t="n">
        <f aca="false">IF(Matrice_OD!S80&lt;=Param!$B$2,3_Huff!S80*3_Huff!S$139*1_Friction!S80,0)</f>
        <v>6.73209322600644E-007</v>
      </c>
      <c r="U80" s="43" t="n">
        <f aca="false">IF(Matrice_OD!T80&lt;=Param!$B$2,3_Huff!T80*3_Huff!T$139*1_Friction!T80,0)</f>
        <v>1.79602045755589E-005</v>
      </c>
      <c r="V80" s="43" t="n">
        <f aca="false">IF(Matrice_OD!U80&lt;=Param!$B$2,3_Huff!U80*3_Huff!U$139*1_Friction!U80,0)</f>
        <v>1.1340244445606E-006</v>
      </c>
      <c r="W80" s="43" t="n">
        <f aca="false">IF(Matrice_OD!V80&lt;=Param!$B$2,3_Huff!V80*3_Huff!V$139*1_Friction!V80,0)</f>
        <v>3.46221691714995E-005</v>
      </c>
      <c r="X80" s="43" t="n">
        <f aca="false">IF(Matrice_OD!W80&lt;=Param!$B$2,3_Huff!W80*3_Huff!W$139*1_Friction!W80,0)</f>
        <v>5.4498918522041E-006</v>
      </c>
      <c r="Y80" s="43" t="n">
        <f aca="false">IF(Matrice_OD!X80&lt;=Param!$B$2,3_Huff!X80*3_Huff!X$139*1_Friction!X80,0)</f>
        <v>7.16783285678249E-006</v>
      </c>
      <c r="Z80" s="43" t="n">
        <f aca="false">IF(Matrice_OD!Y80&lt;=Param!$B$2,3_Huff!Y80*3_Huff!Y$139*1_Friction!Y80,0)</f>
        <v>4.78679503073367E-006</v>
      </c>
      <c r="AA80" s="43" t="n">
        <f aca="false">IF(Matrice_OD!Z80&lt;=Param!$B$2,3_Huff!Z80*3_Huff!Z$139*1_Friction!Z80,0)</f>
        <v>1.17310433174919E-005</v>
      </c>
      <c r="AB80" s="43" t="n">
        <f aca="false">IF(Matrice_OD!AA80&lt;=Param!$B$2,3_Huff!AA80*3_Huff!AA$139*1_Friction!AA80,0)</f>
        <v>1.99908322568946E-005</v>
      </c>
      <c r="AC80" s="43" t="n">
        <f aca="false">IF(Matrice_OD!AB80&lt;=Param!$B$2,3_Huff!AB80*3_Huff!AB$139*1_Friction!AB80,0)</f>
        <v>8.26422242473508E-006</v>
      </c>
      <c r="AD80" s="43" t="n">
        <f aca="false">IF(Matrice_OD!AC80&lt;=Param!$B$2,3_Huff!AC80*3_Huff!AC$139*1_Friction!AC80,0)</f>
        <v>0</v>
      </c>
      <c r="AE80" s="43" t="n">
        <f aca="false">IF(Matrice_OD!AD80&lt;=Param!$B$2,3_Huff!AD80*3_Huff!AD$139*1_Friction!AD80,0)</f>
        <v>0</v>
      </c>
      <c r="AF80" s="43" t="n">
        <f aca="false">IF(Matrice_OD!AE80&lt;=Param!$B$2,3_Huff!AE80*3_Huff!AE$139*1_Friction!AE80,0)</f>
        <v>0</v>
      </c>
      <c r="AG80" s="43" t="n">
        <f aca="false">IF(Matrice_OD!AF80&lt;=Param!$B$2,3_Huff!AF80*3_Huff!AF$139*1_Friction!AF80,0)</f>
        <v>0</v>
      </c>
      <c r="AH80" s="43" t="n">
        <f aca="false">IF(Matrice_OD!AG80&lt;=Param!$B$2,3_Huff!AG80*3_Huff!AG$139*1_Friction!AG80,0)</f>
        <v>0</v>
      </c>
      <c r="AI80" s="43" t="n">
        <f aca="false">IF(Matrice_OD!AH80&lt;=Param!$B$2,3_Huff!AH80*3_Huff!AH$139*1_Friction!AH80,0)</f>
        <v>1.97196377536232E-006</v>
      </c>
      <c r="AJ80" s="43" t="n">
        <f aca="false">IF(Matrice_OD!AI80&lt;=Param!$B$2,3_Huff!AI80*3_Huff!AI$139*1_Friction!AI80,0)</f>
        <v>8.26529439974839E-006</v>
      </c>
      <c r="AK80" s="43" t="n">
        <f aca="false">IF(Matrice_OD!AJ80&lt;=Param!$B$2,3_Huff!AJ80*3_Huff!AJ$139*1_Friction!AJ80,0)</f>
        <v>1.01274843438185E-005</v>
      </c>
      <c r="AL80" s="43" t="n">
        <f aca="false">IF(Matrice_OD!AK80&lt;=Param!$B$2,3_Huff!AK80*3_Huff!AK$139*1_Friction!AK80,0)</f>
        <v>0</v>
      </c>
      <c r="AM80" s="0" t="n">
        <f aca="false">IF(Matrice_OD!AL80&lt;=Param!$B$2,3_Huff!AL80*3_Huff!AL$139*1_Friction!AL80,0)</f>
        <v>0</v>
      </c>
      <c r="AN80" s="0" t="n">
        <f aca="false">IF(Matrice_OD!AM80&lt;=Param!$B$2,3_Huff!AM80*3_Huff!AM$139*1_Friction!AM80,0)</f>
        <v>3.85520476777542E-006</v>
      </c>
      <c r="AO80" s="0" t="n">
        <f aca="false">IF(Matrice_OD!AN80&lt;=Param!$B$2,3_Huff!AN80*3_Huff!AN$139*1_Friction!AN80,0)</f>
        <v>0</v>
      </c>
      <c r="AP80" s="48" t="n">
        <f aca="false">SUM(D80:AO80)</f>
        <v>0.000167543893480566</v>
      </c>
      <c r="AQ80" s="43" t="n">
        <f aca="false">AP80*1000</f>
        <v>0.167543893480566</v>
      </c>
      <c r="AR80" s="43" t="n">
        <f aca="false">RANK(AP80,AP$2:AP$136,0)</f>
        <v>51</v>
      </c>
      <c r="AS80" s="43" t="n">
        <f aca="false">COUNTIF(Matrice_OD!$C80:$AN80,"&lt;="&amp;Param!$B$2)</f>
        <v>30</v>
      </c>
    </row>
    <row r="81" customFormat="false" ht="15" hidden="false" customHeight="true" outlineLevel="0" collapsed="false">
      <c r="A81" s="0" t="s">
        <v>260</v>
      </c>
      <c r="B81" s="0" t="s">
        <v>261</v>
      </c>
      <c r="C81" s="0" t="n">
        <f aca="false">Demande!C81</f>
        <v>30114</v>
      </c>
      <c r="D81" s="43" t="n">
        <f aca="false">IF(Matrice_OD!C81&lt;=Param!$B$2,3_Huff!C81*3_Huff!C$139*1_Friction!C81,0)</f>
        <v>1.74510101352143E-005</v>
      </c>
      <c r="E81" s="43" t="n">
        <f aca="false">IF(Matrice_OD!D81&lt;=Param!$B$2,3_Huff!D81*3_Huff!D$139*1_Friction!D81,0)</f>
        <v>8.23643863603145E-007</v>
      </c>
      <c r="F81" s="43" t="n">
        <f aca="false">IF(Matrice_OD!E81&lt;=Param!$B$2,3_Huff!E81*3_Huff!E$139*1_Friction!E81,0)</f>
        <v>7.67093647060451E-006</v>
      </c>
      <c r="G81" s="43" t="n">
        <f aca="false">IF(Matrice_OD!F81&lt;=Param!$B$2,3_Huff!F81*3_Huff!F$139*1_Friction!F81,0)</f>
        <v>1.35115804220132E-006</v>
      </c>
      <c r="H81" s="43" t="n">
        <f aca="false">IF(Matrice_OD!G81&lt;=Param!$B$2,3_Huff!G81*3_Huff!G$139*1_Friction!G81,0)</f>
        <v>3.65012201421862E-006</v>
      </c>
      <c r="I81" s="43" t="n">
        <f aca="false">IF(Matrice_OD!H81&lt;=Param!$B$2,3_Huff!H81*3_Huff!H$139*1_Friction!H81,0)</f>
        <v>7.3451435022384E-007</v>
      </c>
      <c r="J81" s="43" t="n">
        <f aca="false">IF(Matrice_OD!I81&lt;=Param!$B$2,3_Huff!I81*3_Huff!I$139*1_Friction!I81,0)</f>
        <v>1.69465689554195E-006</v>
      </c>
      <c r="K81" s="43" t="n">
        <f aca="false">IF(Matrice_OD!J81&lt;=Param!$B$2,3_Huff!J81*3_Huff!J$139*1_Friction!J81,0)</f>
        <v>1.32997659354061E-006</v>
      </c>
      <c r="L81" s="43" t="n">
        <f aca="false">IF(Matrice_OD!K81&lt;=Param!$B$2,3_Huff!K81*3_Huff!K$139*1_Friction!K81,0)</f>
        <v>8.22586150857259E-007</v>
      </c>
      <c r="M81" s="43" t="n">
        <f aca="false">IF(Matrice_OD!L81&lt;=Param!$B$2,3_Huff!L81*3_Huff!L$139*1_Friction!L81,0)</f>
        <v>7.85652324818322E-007</v>
      </c>
      <c r="N81" s="43" t="n">
        <f aca="false">IF(Matrice_OD!M81&lt;=Param!$B$2,3_Huff!M81*3_Huff!M$139*1_Friction!M81,0)</f>
        <v>4.08091087212003E-006</v>
      </c>
      <c r="O81" s="43" t="n">
        <f aca="false">IF(Matrice_OD!N81&lt;=Param!$B$2,3_Huff!N81*3_Huff!N$139*1_Friction!N81,0)</f>
        <v>5.62862038907403E-007</v>
      </c>
      <c r="P81" s="43" t="n">
        <f aca="false">IF(Matrice_OD!O81&lt;=Param!$B$2,3_Huff!O81*3_Huff!O$139*1_Friction!O81,0)</f>
        <v>1.76797188722437E-006</v>
      </c>
      <c r="Q81" s="43" t="n">
        <f aca="false">IF(Matrice_OD!P81&lt;=Param!$B$2,3_Huff!P81*3_Huff!P$139*1_Friction!P81,0)</f>
        <v>8.42270905738141E-007</v>
      </c>
      <c r="R81" s="43" t="n">
        <f aca="false">IF(Matrice_OD!Q81&lt;=Param!$B$2,3_Huff!Q81*3_Huff!Q$139*1_Friction!Q81,0)</f>
        <v>7.11853427485617E-006</v>
      </c>
      <c r="S81" s="43" t="n">
        <f aca="false">IF(Matrice_OD!R81&lt;=Param!$B$2,3_Huff!R81*3_Huff!R$139*1_Friction!R81,0)</f>
        <v>9.39994211928346E-007</v>
      </c>
      <c r="T81" s="43" t="n">
        <f aca="false">IF(Matrice_OD!S81&lt;=Param!$B$2,3_Huff!S81*3_Huff!S$139*1_Friction!S81,0)</f>
        <v>6.88115241538147E-007</v>
      </c>
      <c r="U81" s="43" t="n">
        <f aca="false">IF(Matrice_OD!T81&lt;=Param!$B$2,3_Huff!T81*3_Huff!T$139*1_Friction!T81,0)</f>
        <v>1.43573450413185E-005</v>
      </c>
      <c r="V81" s="43" t="n">
        <f aca="false">IF(Matrice_OD!U81&lt;=Param!$B$2,3_Huff!U81*3_Huff!U$139*1_Friction!U81,0)</f>
        <v>1.2262613845147E-007</v>
      </c>
      <c r="W81" s="43" t="n">
        <f aca="false">IF(Matrice_OD!V81&lt;=Param!$B$2,3_Huff!V81*3_Huff!V$139*1_Friction!V81,0)</f>
        <v>1.87327027239965E-006</v>
      </c>
      <c r="X81" s="43" t="n">
        <f aca="false">IF(Matrice_OD!W81&lt;=Param!$B$2,3_Huff!W81*3_Huff!W$139*1_Friction!W81,0)</f>
        <v>2.5960509508543E-007</v>
      </c>
      <c r="Y81" s="43" t="n">
        <f aca="false">IF(Matrice_OD!X81&lt;=Param!$B$2,3_Huff!X81*3_Huff!X$139*1_Friction!X81,0)</f>
        <v>3.39249273001578E-007</v>
      </c>
      <c r="Z81" s="43" t="n">
        <f aca="false">IF(Matrice_OD!Y81&lt;=Param!$B$2,3_Huff!Y81*3_Huff!Y$139*1_Friction!Y81,0)</f>
        <v>2.26670961846171E-007</v>
      </c>
      <c r="AA81" s="43" t="n">
        <f aca="false">IF(Matrice_OD!Z81&lt;=Param!$B$2,3_Huff!Z81*3_Huff!Z$139*1_Friction!Z81,0)</f>
        <v>5.46164970907401E-007</v>
      </c>
      <c r="AB81" s="43" t="n">
        <f aca="false">IF(Matrice_OD!AA81&lt;=Param!$B$2,3_Huff!AA81*3_Huff!AA$139*1_Friction!AA81,0)</f>
        <v>8.53598386144479E-007</v>
      </c>
      <c r="AC81" s="43" t="n">
        <f aca="false">IF(Matrice_OD!AB81&lt;=Param!$B$2,3_Huff!AB81*3_Huff!AB$139*1_Friction!AB81,0)</f>
        <v>3.38714157546816E-007</v>
      </c>
      <c r="AD81" s="43" t="n">
        <f aca="false">IF(Matrice_OD!AC81&lt;=Param!$B$2,3_Huff!AC81*3_Huff!AC$139*1_Friction!AC81,0)</f>
        <v>0</v>
      </c>
      <c r="AE81" s="43" t="n">
        <f aca="false">IF(Matrice_OD!AD81&lt;=Param!$B$2,3_Huff!AD81*3_Huff!AD$139*1_Friction!AD81,0)</f>
        <v>0</v>
      </c>
      <c r="AF81" s="43" t="n">
        <f aca="false">IF(Matrice_OD!AE81&lt;=Param!$B$2,3_Huff!AE81*3_Huff!AE$139*1_Friction!AE81,0)</f>
        <v>0</v>
      </c>
      <c r="AG81" s="43" t="n">
        <f aca="false">IF(Matrice_OD!AF81&lt;=Param!$B$2,3_Huff!AF81*3_Huff!AF$139*1_Friction!AF81,0)</f>
        <v>0</v>
      </c>
      <c r="AH81" s="43" t="n">
        <f aca="false">IF(Matrice_OD!AG81&lt;=Param!$B$2,3_Huff!AG81*3_Huff!AG$139*1_Friction!AG81,0)</f>
        <v>0</v>
      </c>
      <c r="AI81" s="43" t="n">
        <f aca="false">IF(Matrice_OD!AH81&lt;=Param!$B$2,3_Huff!AH81*3_Huff!AH$139*1_Friction!AH81,0)</f>
        <v>2.00318655277212E-006</v>
      </c>
      <c r="AJ81" s="43" t="n">
        <f aca="false">IF(Matrice_OD!AI81&lt;=Param!$B$2,3_Huff!AI81*3_Huff!AI$139*1_Friction!AI81,0)</f>
        <v>7.32952120160563E-006</v>
      </c>
      <c r="AK81" s="43" t="n">
        <f aca="false">IF(Matrice_OD!AJ81&lt;=Param!$B$2,3_Huff!AJ81*3_Huff!AJ$139*1_Friction!AJ81,0)</f>
        <v>4.56853319251456E-007</v>
      </c>
      <c r="AL81" s="43" t="n">
        <f aca="false">IF(Matrice_OD!AK81&lt;=Param!$B$2,3_Huff!AK81*3_Huff!AK$139*1_Friction!AK81,0)</f>
        <v>0</v>
      </c>
      <c r="AM81" s="0" t="n">
        <f aca="false">IF(Matrice_OD!AL81&lt;=Param!$B$2,3_Huff!AL81*3_Huff!AL$139*1_Friction!AL81,0)</f>
        <v>0</v>
      </c>
      <c r="AN81" s="0" t="n">
        <f aca="false">IF(Matrice_OD!AM81&lt;=Param!$B$2,3_Huff!AM81*3_Huff!AM$139*1_Friction!AM81,0)</f>
        <v>4.73098039499158E-005</v>
      </c>
      <c r="AO81" s="0" t="n">
        <f aca="false">IF(Matrice_OD!AN81&lt;=Param!$B$2,3_Huff!AN81*3_Huff!AN$139*1_Friction!AN81,0)</f>
        <v>0</v>
      </c>
      <c r="AP81" s="49" t="n">
        <f aca="false">SUM(D81:AO81)</f>
        <v>0.000128331525593383</v>
      </c>
      <c r="AQ81" s="43" t="n">
        <f aca="false">AP81*1000</f>
        <v>0.128331525593383</v>
      </c>
      <c r="AR81" s="43" t="n">
        <f aca="false">RANK(AP81,AP$2:AP$136,0)</f>
        <v>62</v>
      </c>
      <c r="AS81" s="43" t="n">
        <f aca="false">COUNTIF(Matrice_OD!$C81:$AN81,"&lt;="&amp;Param!$B$2)</f>
        <v>30</v>
      </c>
    </row>
    <row r="82" customFormat="false" ht="15" hidden="false" customHeight="true" outlineLevel="0" collapsed="false">
      <c r="A82" s="0" t="s">
        <v>262</v>
      </c>
      <c r="B82" s="0" t="s">
        <v>263</v>
      </c>
      <c r="C82" s="0" t="n">
        <f aca="false">Demande!C82</f>
        <v>41154</v>
      </c>
      <c r="D82" s="43" t="n">
        <f aca="false">IF(Matrice_OD!C82&lt;=Param!$B$2,3_Huff!C82*3_Huff!C$139*1_Friction!C82,0)</f>
        <v>1.54617548973137E-005</v>
      </c>
      <c r="E82" s="43" t="n">
        <f aca="false">IF(Matrice_OD!D82&lt;=Param!$B$2,3_Huff!D82*3_Huff!D$139*1_Friction!D82,0)</f>
        <v>2.28268028683418E-007</v>
      </c>
      <c r="F82" s="43" t="n">
        <f aca="false">IF(Matrice_OD!E82&lt;=Param!$B$2,3_Huff!E82*3_Huff!E$139*1_Friction!E82,0)</f>
        <v>1.99861761525236E-006</v>
      </c>
      <c r="G82" s="43" t="n">
        <f aca="false">IF(Matrice_OD!F82&lt;=Param!$B$2,3_Huff!F82*3_Huff!F$139*1_Friction!F82,0)</f>
        <v>3.50506453500648E-007</v>
      </c>
      <c r="H82" s="43" t="n">
        <f aca="false">IF(Matrice_OD!G82&lt;=Param!$B$2,3_Huff!G82*3_Huff!G$139*1_Friction!G82,0)</f>
        <v>9.27222298657806E-007</v>
      </c>
      <c r="I82" s="43" t="n">
        <f aca="false">IF(Matrice_OD!H82&lt;=Param!$B$2,3_Huff!H82*3_Huff!H$139*1_Friction!H82,0)</f>
        <v>1.82169196677501E-007</v>
      </c>
      <c r="J82" s="43" t="n">
        <f aca="false">IF(Matrice_OD!I82&lt;=Param!$B$2,3_Huff!I82*3_Huff!I$139*1_Friction!I82,0)</f>
        <v>4.18140628022294E-007</v>
      </c>
      <c r="K82" s="43" t="n">
        <f aca="false">IF(Matrice_OD!J82&lt;=Param!$B$2,3_Huff!J82*3_Huff!J$139*1_Friction!J82,0)</f>
        <v>3.24158321206606E-007</v>
      </c>
      <c r="L82" s="43" t="n">
        <f aca="false">IF(Matrice_OD!K82&lt;=Param!$B$2,3_Huff!K82*3_Huff!K$139*1_Friction!K82,0)</f>
        <v>1.98631535428068E-007</v>
      </c>
      <c r="M82" s="43" t="n">
        <f aca="false">IF(Matrice_OD!L82&lt;=Param!$B$2,3_Huff!L82*3_Huff!L$139*1_Friction!L82,0)</f>
        <v>1.89453911683011E-007</v>
      </c>
      <c r="N82" s="43" t="n">
        <f aca="false">IF(Matrice_OD!M82&lt;=Param!$B$2,3_Huff!M82*3_Huff!M$139*1_Friction!M82,0)</f>
        <v>9.82912212052695E-007</v>
      </c>
      <c r="O82" s="43" t="n">
        <f aca="false">IF(Matrice_OD!N82&lt;=Param!$B$2,3_Huff!N82*3_Huff!N$139*1_Friction!N82,0)</f>
        <v>1.33779861240769E-007</v>
      </c>
      <c r="P82" s="43" t="n">
        <f aca="false">IF(Matrice_OD!O82&lt;=Param!$B$2,3_Huff!O82*3_Huff!O$139*1_Friction!O82,0)</f>
        <v>4.19210771192923E-007</v>
      </c>
      <c r="Q82" s="43" t="n">
        <f aca="false">IF(Matrice_OD!P82&lt;=Param!$B$2,3_Huff!P82*3_Huff!P$139*1_Friction!P82,0)</f>
        <v>1.99285677334069E-007</v>
      </c>
      <c r="R82" s="43" t="n">
        <f aca="false">IF(Matrice_OD!Q82&lt;=Param!$B$2,3_Huff!Q82*3_Huff!Q$139*1_Friction!Q82,0)</f>
        <v>1.65941030148631E-006</v>
      </c>
      <c r="S82" s="43" t="n">
        <f aca="false">IF(Matrice_OD!R82&lt;=Param!$B$2,3_Huff!R82*3_Huff!R$139*1_Friction!R82,0)</f>
        <v>2.17998257771962E-007</v>
      </c>
      <c r="T82" s="43" t="n">
        <f aca="false">IF(Matrice_OD!S82&lt;=Param!$B$2,3_Huff!S82*3_Huff!S$139*1_Friction!S82,0)</f>
        <v>1.5782449323504E-007</v>
      </c>
      <c r="U82" s="43" t="n">
        <f aca="false">IF(Matrice_OD!T82&lt;=Param!$B$2,3_Huff!T82*3_Huff!T$139*1_Friction!T82,0)</f>
        <v>1.31238912495359E-006</v>
      </c>
      <c r="V82" s="43" t="n">
        <f aca="false">IF(Matrice_OD!U82&lt;=Param!$B$2,3_Huff!U82*3_Huff!U$139*1_Friction!U82,0)</f>
        <v>0</v>
      </c>
      <c r="W82" s="43" t="n">
        <f aca="false">IF(Matrice_OD!V82&lt;=Param!$B$2,3_Huff!V82*3_Huff!V$139*1_Friction!V82,0)</f>
        <v>0</v>
      </c>
      <c r="X82" s="43" t="n">
        <f aca="false">IF(Matrice_OD!W82&lt;=Param!$B$2,3_Huff!W82*3_Huff!W$139*1_Friction!W82,0)</f>
        <v>0</v>
      </c>
      <c r="Y82" s="43" t="n">
        <f aca="false">IF(Matrice_OD!X82&lt;=Param!$B$2,3_Huff!X82*3_Huff!X$139*1_Friction!X82,0)</f>
        <v>0</v>
      </c>
      <c r="Z82" s="43" t="n">
        <f aca="false">IF(Matrice_OD!Y82&lt;=Param!$B$2,3_Huff!Y82*3_Huff!Y$139*1_Friction!Y82,0)</f>
        <v>0</v>
      </c>
      <c r="AA82" s="43" t="n">
        <f aca="false">IF(Matrice_OD!Z82&lt;=Param!$B$2,3_Huff!Z82*3_Huff!Z$139*1_Friction!Z82,0)</f>
        <v>0</v>
      </c>
      <c r="AB82" s="43" t="n">
        <f aca="false">IF(Matrice_OD!AA82&lt;=Param!$B$2,3_Huff!AA82*3_Huff!AA$139*1_Friction!AA82,0)</f>
        <v>0</v>
      </c>
      <c r="AC82" s="43" t="n">
        <f aca="false">IF(Matrice_OD!AB82&lt;=Param!$B$2,3_Huff!AB82*3_Huff!AB$139*1_Friction!AB82,0)</f>
        <v>0</v>
      </c>
      <c r="AD82" s="43" t="n">
        <f aca="false">IF(Matrice_OD!AC82&lt;=Param!$B$2,3_Huff!AC82*3_Huff!AC$139*1_Friction!AC82,0)</f>
        <v>0</v>
      </c>
      <c r="AE82" s="43" t="n">
        <f aca="false">IF(Matrice_OD!AD82&lt;=Param!$B$2,3_Huff!AD82*3_Huff!AD$139*1_Friction!AD82,0)</f>
        <v>0</v>
      </c>
      <c r="AF82" s="43" t="n">
        <f aca="false">IF(Matrice_OD!AE82&lt;=Param!$B$2,3_Huff!AE82*3_Huff!AE$139*1_Friction!AE82,0)</f>
        <v>0</v>
      </c>
      <c r="AG82" s="43" t="n">
        <f aca="false">IF(Matrice_OD!AF82&lt;=Param!$B$2,3_Huff!AF82*3_Huff!AF$139*1_Friction!AF82,0)</f>
        <v>0</v>
      </c>
      <c r="AH82" s="43" t="n">
        <f aca="false">IF(Matrice_OD!AG82&lt;=Param!$B$2,3_Huff!AG82*3_Huff!AG$139*1_Friction!AG82,0)</f>
        <v>0</v>
      </c>
      <c r="AI82" s="43" t="n">
        <f aca="false">IF(Matrice_OD!AH82&lt;=Param!$B$2,3_Huff!AH82*3_Huff!AH$139*1_Friction!AH82,0)</f>
        <v>4.45474115368758E-007</v>
      </c>
      <c r="AJ82" s="43" t="n">
        <f aca="false">IF(Matrice_OD!AI82&lt;=Param!$B$2,3_Huff!AI82*3_Huff!AI$139*1_Friction!AI82,0)</f>
        <v>7.33710580904287E-007</v>
      </c>
      <c r="AK82" s="43" t="n">
        <f aca="false">IF(Matrice_OD!AJ82&lt;=Param!$B$2,3_Huff!AJ82*3_Huff!AJ$139*1_Friction!AJ82,0)</f>
        <v>0</v>
      </c>
      <c r="AL82" s="43" t="n">
        <f aca="false">IF(Matrice_OD!AK82&lt;=Param!$B$2,3_Huff!AK82*3_Huff!AK$139*1_Friction!AK82,0)</f>
        <v>0</v>
      </c>
      <c r="AM82" s="0" t="n">
        <f aca="false">IF(Matrice_OD!AL82&lt;=Param!$B$2,3_Huff!AL82*3_Huff!AL$139*1_Friction!AL82,0)</f>
        <v>0</v>
      </c>
      <c r="AN82" s="0" t="n">
        <f aca="false">IF(Matrice_OD!AM82&lt;=Param!$B$2,3_Huff!AM82*3_Huff!AM$139*1_Friction!AM82,0)</f>
        <v>3.46423651357151E-005</v>
      </c>
      <c r="AO82" s="0" t="n">
        <f aca="false">IF(Matrice_OD!AN82&lt;=Param!$B$2,3_Huff!AN82*3_Huff!AN$139*1_Friction!AN82,0)</f>
        <v>0</v>
      </c>
      <c r="AP82" s="48" t="n">
        <f aca="false">SUM(D82:AO82)</f>
        <v>6.11832834176809E-005</v>
      </c>
      <c r="AQ82" s="43" t="n">
        <f aca="false">AP82*1000</f>
        <v>0.0611832834176809</v>
      </c>
      <c r="AR82" s="43" t="n">
        <f aca="false">RANK(AP82,AP$2:AP$136,0)</f>
        <v>86</v>
      </c>
      <c r="AS82" s="43" t="n">
        <f aca="false">COUNTIF(Matrice_OD!$C82:$AN82,"&lt;="&amp;Param!$B$2)</f>
        <v>21</v>
      </c>
    </row>
    <row r="83" customFormat="false" ht="15" hidden="false" customHeight="true" outlineLevel="0" collapsed="false">
      <c r="A83" s="0" t="s">
        <v>264</v>
      </c>
      <c r="B83" s="0" t="s">
        <v>265</v>
      </c>
      <c r="C83" s="0" t="n">
        <f aca="false">Demande!C83</f>
        <v>26733</v>
      </c>
      <c r="D83" s="43" t="n">
        <f aca="false">IF(Matrice_OD!C83&lt;=Param!$B$2,3_Huff!C83*3_Huff!C$139*1_Friction!C83,0)</f>
        <v>2.05566044990954E-005</v>
      </c>
      <c r="E83" s="43" t="n">
        <f aca="false">IF(Matrice_OD!D83&lt;=Param!$B$2,3_Huff!D83*3_Huff!D$139*1_Friction!D83,0)</f>
        <v>2.1611644129907E-006</v>
      </c>
      <c r="F83" s="43" t="n">
        <f aca="false">IF(Matrice_OD!E83&lt;=Param!$B$2,3_Huff!E83*3_Huff!E$139*1_Friction!E83,0)</f>
        <v>2.10178831558515E-005</v>
      </c>
      <c r="G83" s="43" t="n">
        <f aca="false">IF(Matrice_OD!F83&lt;=Param!$B$2,3_Huff!F83*3_Huff!F$139*1_Friction!F83,0)</f>
        <v>3.70907531008196E-006</v>
      </c>
      <c r="H83" s="43" t="n">
        <f aca="false">IF(Matrice_OD!G83&lt;=Param!$B$2,3_Huff!G83*3_Huff!G$139*1_Friction!G83,0)</f>
        <v>1.01758323844605E-005</v>
      </c>
      <c r="I83" s="43" t="n">
        <f aca="false">IF(Matrice_OD!H83&lt;=Param!$B$2,3_Huff!H83*3_Huff!H$139*1_Friction!H83,0)</f>
        <v>2.08402226183741E-006</v>
      </c>
      <c r="J83" s="43" t="n">
        <f aca="false">IF(Matrice_OD!I83&lt;=Param!$B$2,3_Huff!I83*3_Huff!I$139*1_Friction!I83,0)</f>
        <v>4.8251603803604E-006</v>
      </c>
      <c r="K83" s="43" t="n">
        <f aca="false">IF(Matrice_OD!J83&lt;=Param!$B$2,3_Huff!J83*3_Huff!J$139*1_Friction!J83,0)</f>
        <v>3.81871656106923E-006</v>
      </c>
      <c r="L83" s="43" t="n">
        <f aca="false">IF(Matrice_OD!K83&lt;=Param!$B$2,3_Huff!K83*3_Huff!K$139*1_Friction!K83,0)</f>
        <v>2.37135243358774E-006</v>
      </c>
      <c r="M83" s="43" t="n">
        <f aca="false">IF(Matrice_OD!L83&lt;=Param!$B$2,3_Huff!L83*3_Huff!L$139*1_Friction!L83,0)</f>
        <v>2.27236012706773E-006</v>
      </c>
      <c r="N83" s="43" t="n">
        <f aca="false">IF(Matrice_OD!M83&lt;=Param!$B$2,3_Huff!M83*3_Huff!M$139*1_Friction!M83,0)</f>
        <v>1.18128982329697E-005</v>
      </c>
      <c r="O83" s="43" t="n">
        <f aca="false">IF(Matrice_OD!N83&lt;=Param!$B$2,3_Huff!N83*3_Huff!N$139*1_Friction!N83,0)</f>
        <v>1.64026475929841E-006</v>
      </c>
      <c r="P83" s="43" t="n">
        <f aca="false">IF(Matrice_OD!O83&lt;=Param!$B$2,3_Huff!O83*3_Huff!O$139*1_Friction!O83,0)</f>
        <v>5.16050190006582E-006</v>
      </c>
      <c r="Q83" s="43" t="n">
        <f aca="false">IF(Matrice_OD!P83&lt;=Param!$B$2,3_Huff!P83*3_Huff!P$139*1_Friction!P83,0)</f>
        <v>2.46797093599482E-006</v>
      </c>
      <c r="R83" s="43" t="n">
        <f aca="false">IF(Matrice_OD!Q83&lt;=Param!$B$2,3_Huff!Q83*3_Huff!Q$139*1_Friction!Q83,0)</f>
        <v>2.102116339949E-005</v>
      </c>
      <c r="S83" s="43" t="n">
        <f aca="false">IF(Matrice_OD!R83&lt;=Param!$B$2,3_Huff!R83*3_Huff!R$139*1_Friction!R83,0)</f>
        <v>2.78559493614972E-006</v>
      </c>
      <c r="T83" s="43" t="n">
        <f aca="false">IF(Matrice_OD!S83&lt;=Param!$B$2,3_Huff!S83*3_Huff!S$139*1_Friction!S83,0)</f>
        <v>2.05466991097761E-006</v>
      </c>
      <c r="U83" s="43" t="n">
        <f aca="false">IF(Matrice_OD!T83&lt;=Param!$B$2,3_Huff!T83*3_Huff!T$139*1_Friction!T83,0)</f>
        <v>3.93389598906288E-006</v>
      </c>
      <c r="V83" s="43" t="n">
        <f aca="false">IF(Matrice_OD!U83&lt;=Param!$B$2,3_Huff!U83*3_Huff!U$139*1_Friction!U83,0)</f>
        <v>1.38899450807511E-008</v>
      </c>
      <c r="W83" s="43" t="n">
        <f aca="false">IF(Matrice_OD!V83&lt;=Param!$B$2,3_Huff!V83*3_Huff!V$139*1_Friction!V83,0)</f>
        <v>2.27728312797318E-007</v>
      </c>
      <c r="X83" s="43" t="n">
        <f aca="false">IF(Matrice_OD!W83&lt;=Param!$B$2,3_Huff!W83*3_Huff!W$139*1_Friction!W83,0)</f>
        <v>3.01102110180489E-008</v>
      </c>
      <c r="Y83" s="43" t="n">
        <f aca="false">IF(Matrice_OD!X83&lt;=Param!$B$2,3_Huff!X83*3_Huff!X$139*1_Friction!X83,0)</f>
        <v>3.92536286210085E-008</v>
      </c>
      <c r="Z83" s="43" t="n">
        <f aca="false">IF(Matrice_OD!Y83&lt;=Param!$B$2,3_Huff!Y83*3_Huff!Y$139*1_Friction!Y83,0)</f>
        <v>2.61721671155712E-008</v>
      </c>
      <c r="AA83" s="43" t="n">
        <f aca="false">IF(Matrice_OD!Z83&lt;=Param!$B$2,3_Huff!Z83*3_Huff!Z$139*1_Friction!Z83,0)</f>
        <v>6.26648116361099E-008</v>
      </c>
      <c r="AB83" s="43" t="n">
        <f aca="false">IF(Matrice_OD!AA83&lt;=Param!$B$2,3_Huff!AA83*3_Huff!AA$139*1_Friction!AA83,0)</f>
        <v>9.50559287917754E-008</v>
      </c>
      <c r="AC83" s="43" t="n">
        <f aca="false">IF(Matrice_OD!AB83&lt;=Param!$B$2,3_Huff!AB83*3_Huff!AB$139*1_Friction!AB83,0)</f>
        <v>3.7060107753386E-008</v>
      </c>
      <c r="AD83" s="43" t="n">
        <f aca="false">IF(Matrice_OD!AC83&lt;=Param!$B$2,3_Huff!AC83*3_Huff!AC$139*1_Friction!AC83,0)</f>
        <v>0</v>
      </c>
      <c r="AE83" s="43" t="n">
        <f aca="false">IF(Matrice_OD!AD83&lt;=Param!$B$2,3_Huff!AD83*3_Huff!AD$139*1_Friction!AD83,0)</f>
        <v>0</v>
      </c>
      <c r="AF83" s="43" t="n">
        <f aca="false">IF(Matrice_OD!AE83&lt;=Param!$B$2,3_Huff!AE83*3_Huff!AE$139*1_Friction!AE83,0)</f>
        <v>0</v>
      </c>
      <c r="AG83" s="43" t="n">
        <f aca="false">IF(Matrice_OD!AF83&lt;=Param!$B$2,3_Huff!AF83*3_Huff!AF$139*1_Friction!AF83,0)</f>
        <v>0</v>
      </c>
      <c r="AH83" s="43" t="n">
        <f aca="false">IF(Matrice_OD!AG83&lt;=Param!$B$2,3_Huff!AG83*3_Huff!AG$139*1_Friction!AG83,0)</f>
        <v>0</v>
      </c>
      <c r="AI83" s="43" t="n">
        <f aca="false">IF(Matrice_OD!AH83&lt;=Param!$B$2,3_Huff!AH83*3_Huff!AH$139*1_Friction!AH83,0)</f>
        <v>6.10888547680711E-006</v>
      </c>
      <c r="AJ83" s="43" t="n">
        <f aca="false">IF(Matrice_OD!AI83&lt;=Param!$B$2,3_Huff!AI83*3_Huff!AI$139*1_Friction!AI83,0)</f>
        <v>2.06719937786568E-006</v>
      </c>
      <c r="AK83" s="43" t="n">
        <f aca="false">IF(Matrice_OD!AJ83&lt;=Param!$B$2,3_Huff!AJ83*3_Huff!AJ$139*1_Friction!AJ83,0)</f>
        <v>5.18044834035228E-008</v>
      </c>
      <c r="AL83" s="43" t="n">
        <f aca="false">IF(Matrice_OD!AK83&lt;=Param!$B$2,3_Huff!AK83*3_Huff!AK$139*1_Friction!AK83,0)</f>
        <v>0</v>
      </c>
      <c r="AM83" s="0" t="n">
        <f aca="false">IF(Matrice_OD!AL83&lt;=Param!$B$2,3_Huff!AL83*3_Huff!AL$139*1_Friction!AL83,0)</f>
        <v>0</v>
      </c>
      <c r="AN83" s="0" t="n">
        <f aca="false">IF(Matrice_OD!AM83&lt;=Param!$B$2,3_Huff!AM83*3_Huff!AM$139*1_Friction!AM83,0)</f>
        <v>5.15131849675884E-005</v>
      </c>
      <c r="AO83" s="0" t="n">
        <f aca="false">IF(Matrice_OD!AN83&lt;=Param!$B$2,3_Huff!AN83*3_Huff!AN$139*1_Friction!AN83,0)</f>
        <v>0</v>
      </c>
      <c r="AP83" s="49" t="n">
        <f aca="false">SUM(D83:AO83)</f>
        <v>0.00018414214100889</v>
      </c>
      <c r="AQ83" s="43" t="n">
        <f aca="false">AP83*1000</f>
        <v>0.18414214100889</v>
      </c>
      <c r="AR83" s="43" t="n">
        <f aca="false">RANK(AP83,AP$2:AP$136,0)</f>
        <v>49</v>
      </c>
      <c r="AS83" s="43" t="n">
        <f aca="false">COUNTIF(Matrice_OD!$C83:$AN83,"&lt;="&amp;Param!$B$2)</f>
        <v>30</v>
      </c>
    </row>
    <row r="84" customFormat="false" ht="15" hidden="false" customHeight="true" outlineLevel="0" collapsed="false">
      <c r="A84" s="0" t="s">
        <v>266</v>
      </c>
      <c r="B84" s="0" t="s">
        <v>267</v>
      </c>
      <c r="C84" s="0" t="n">
        <f aca="false">Demande!C84</f>
        <v>123738</v>
      </c>
      <c r="D84" s="43" t="n">
        <f aca="false">IF(Matrice_OD!C84&lt;=Param!$B$2,3_Huff!C84*3_Huff!C$139*1_Friction!C84,0)</f>
        <v>0</v>
      </c>
      <c r="E84" s="43" t="n">
        <f aca="false">IF(Matrice_OD!D84&lt;=Param!$B$2,3_Huff!D84*3_Huff!D$139*1_Friction!D84,0)</f>
        <v>0</v>
      </c>
      <c r="F84" s="43" t="n">
        <f aca="false">IF(Matrice_OD!E84&lt;=Param!$B$2,3_Huff!E84*3_Huff!E$139*1_Friction!E84,0)</f>
        <v>0</v>
      </c>
      <c r="G84" s="43" t="n">
        <f aca="false">IF(Matrice_OD!F84&lt;=Param!$B$2,3_Huff!F84*3_Huff!F$139*1_Friction!F84,0)</f>
        <v>0</v>
      </c>
      <c r="H84" s="43" t="n">
        <f aca="false">IF(Matrice_OD!G84&lt;=Param!$B$2,3_Huff!G84*3_Huff!G$139*1_Friction!G84,0)</f>
        <v>0</v>
      </c>
      <c r="I84" s="43" t="n">
        <f aca="false">IF(Matrice_OD!H84&lt;=Param!$B$2,3_Huff!H84*3_Huff!H$139*1_Friction!H84,0)</f>
        <v>0</v>
      </c>
      <c r="J84" s="43" t="n">
        <f aca="false">IF(Matrice_OD!I84&lt;=Param!$B$2,3_Huff!I84*3_Huff!I$139*1_Friction!I84,0)</f>
        <v>0</v>
      </c>
      <c r="K84" s="43" t="n">
        <f aca="false">IF(Matrice_OD!J84&lt;=Param!$B$2,3_Huff!J84*3_Huff!J$139*1_Friction!J84,0)</f>
        <v>0</v>
      </c>
      <c r="L84" s="43" t="n">
        <f aca="false">IF(Matrice_OD!K84&lt;=Param!$B$2,3_Huff!K84*3_Huff!K$139*1_Friction!K84,0)</f>
        <v>0</v>
      </c>
      <c r="M84" s="43" t="n">
        <f aca="false">IF(Matrice_OD!L84&lt;=Param!$B$2,3_Huff!L84*3_Huff!L$139*1_Friction!L84,0)</f>
        <v>0</v>
      </c>
      <c r="N84" s="43" t="n">
        <f aca="false">IF(Matrice_OD!M84&lt;=Param!$B$2,3_Huff!M84*3_Huff!M$139*1_Friction!M84,0)</f>
        <v>0</v>
      </c>
      <c r="O84" s="43" t="n">
        <f aca="false">IF(Matrice_OD!N84&lt;=Param!$B$2,3_Huff!N84*3_Huff!N$139*1_Friction!N84,0)</f>
        <v>0</v>
      </c>
      <c r="P84" s="43" t="n">
        <f aca="false">IF(Matrice_OD!O84&lt;=Param!$B$2,3_Huff!O84*3_Huff!O$139*1_Friction!O84,0)</f>
        <v>0</v>
      </c>
      <c r="Q84" s="43" t="n">
        <f aca="false">IF(Matrice_OD!P84&lt;=Param!$B$2,3_Huff!P84*3_Huff!P$139*1_Friction!P84,0)</f>
        <v>0</v>
      </c>
      <c r="R84" s="43" t="n">
        <f aca="false">IF(Matrice_OD!Q84&lt;=Param!$B$2,3_Huff!Q84*3_Huff!Q$139*1_Friction!Q84,0)</f>
        <v>0</v>
      </c>
      <c r="S84" s="43" t="n">
        <f aca="false">IF(Matrice_OD!R84&lt;=Param!$B$2,3_Huff!R84*3_Huff!R$139*1_Friction!R84,0)</f>
        <v>0</v>
      </c>
      <c r="T84" s="43" t="n">
        <f aca="false">IF(Matrice_OD!S84&lt;=Param!$B$2,3_Huff!S84*3_Huff!S$139*1_Friction!S84,0)</f>
        <v>0</v>
      </c>
      <c r="U84" s="43" t="n">
        <f aca="false">IF(Matrice_OD!T84&lt;=Param!$B$2,3_Huff!T84*3_Huff!T$139*1_Friction!T84,0)</f>
        <v>0</v>
      </c>
      <c r="V84" s="43" t="n">
        <f aca="false">IF(Matrice_OD!U84&lt;=Param!$B$2,3_Huff!U84*3_Huff!U$139*1_Friction!U84,0)</f>
        <v>0</v>
      </c>
      <c r="W84" s="43" t="n">
        <f aca="false">IF(Matrice_OD!V84&lt;=Param!$B$2,3_Huff!V84*3_Huff!V$139*1_Friction!V84,0)</f>
        <v>0</v>
      </c>
      <c r="X84" s="43" t="n">
        <f aca="false">IF(Matrice_OD!W84&lt;=Param!$B$2,3_Huff!W84*3_Huff!W$139*1_Friction!W84,0)</f>
        <v>0</v>
      </c>
      <c r="Y84" s="43" t="n">
        <f aca="false">IF(Matrice_OD!X84&lt;=Param!$B$2,3_Huff!X84*3_Huff!X$139*1_Friction!X84,0)</f>
        <v>0</v>
      </c>
      <c r="Z84" s="43" t="n">
        <f aca="false">IF(Matrice_OD!Y84&lt;=Param!$B$2,3_Huff!Y84*3_Huff!Y$139*1_Friction!Y84,0)</f>
        <v>0</v>
      </c>
      <c r="AA84" s="43" t="n">
        <f aca="false">IF(Matrice_OD!Z84&lt;=Param!$B$2,3_Huff!Z84*3_Huff!Z$139*1_Friction!Z84,0)</f>
        <v>0</v>
      </c>
      <c r="AB84" s="43" t="n">
        <f aca="false">IF(Matrice_OD!AA84&lt;=Param!$B$2,3_Huff!AA84*3_Huff!AA$139*1_Friction!AA84,0)</f>
        <v>0</v>
      </c>
      <c r="AC84" s="43" t="n">
        <f aca="false">IF(Matrice_OD!AB84&lt;=Param!$B$2,3_Huff!AB84*3_Huff!AB$139*1_Friction!AB84,0)</f>
        <v>0</v>
      </c>
      <c r="AD84" s="43" t="n">
        <f aca="false">IF(Matrice_OD!AC84&lt;=Param!$B$2,3_Huff!AC84*3_Huff!AC$139*1_Friction!AC84,0)</f>
        <v>9.8923497908468E-006</v>
      </c>
      <c r="AE84" s="43" t="n">
        <f aca="false">IF(Matrice_OD!AD84&lt;=Param!$B$2,3_Huff!AD84*3_Huff!AD$139*1_Friction!AD84,0)</f>
        <v>4.95139302217189E-005</v>
      </c>
      <c r="AF84" s="43" t="n">
        <f aca="false">IF(Matrice_OD!AE84&lt;=Param!$B$2,3_Huff!AE84*3_Huff!AE$139*1_Friction!AE84,0)</f>
        <v>2.99377322070209E-005</v>
      </c>
      <c r="AG84" s="43" t="n">
        <f aca="false">IF(Matrice_OD!AF84&lt;=Param!$B$2,3_Huff!AF84*3_Huff!AF$139*1_Friction!AF84,0)</f>
        <v>2.01006610832306E-005</v>
      </c>
      <c r="AH84" s="43" t="n">
        <f aca="false">IF(Matrice_OD!AG84&lt;=Param!$B$2,3_Huff!AG84*3_Huff!AG$139*1_Friction!AG84,0)</f>
        <v>0</v>
      </c>
      <c r="AI84" s="43" t="n">
        <f aca="false">IF(Matrice_OD!AH84&lt;=Param!$B$2,3_Huff!AH84*3_Huff!AH$139*1_Friction!AH84,0)</f>
        <v>0</v>
      </c>
      <c r="AJ84" s="43" t="n">
        <f aca="false">IF(Matrice_OD!AI84&lt;=Param!$B$2,3_Huff!AI84*3_Huff!AI$139*1_Friction!AI84,0)</f>
        <v>0</v>
      </c>
      <c r="AK84" s="43" t="n">
        <f aca="false">IF(Matrice_OD!AJ84&lt;=Param!$B$2,3_Huff!AJ84*3_Huff!AJ$139*1_Friction!AJ84,0)</f>
        <v>0</v>
      </c>
      <c r="AL84" s="43" t="n">
        <f aca="false">IF(Matrice_OD!AK84&lt;=Param!$B$2,3_Huff!AK84*3_Huff!AK$139*1_Friction!AK84,0)</f>
        <v>7.36223938901196E-005</v>
      </c>
      <c r="AM84" s="0" t="n">
        <f aca="false">IF(Matrice_OD!AL84&lt;=Param!$B$2,3_Huff!AL84*3_Huff!AL$139*1_Friction!AL84,0)</f>
        <v>0.000101363793018754</v>
      </c>
      <c r="AN84" s="0" t="n">
        <f aca="false">IF(Matrice_OD!AM84&lt;=Param!$B$2,3_Huff!AM84*3_Huff!AM$139*1_Friction!AM84,0)</f>
        <v>0</v>
      </c>
      <c r="AO84" s="0" t="n">
        <f aca="false">IF(Matrice_OD!AN84&lt;=Param!$B$2,3_Huff!AN84*3_Huff!AN$139*1_Friction!AN84,0)</f>
        <v>0</v>
      </c>
      <c r="AP84" s="48" t="n">
        <f aca="false">SUM(D84:AO84)</f>
        <v>0.000284430860211691</v>
      </c>
      <c r="AQ84" s="43" t="n">
        <f aca="false">AP84*1000</f>
        <v>0.284430860211691</v>
      </c>
      <c r="AR84" s="43" t="n">
        <f aca="false">RANK(AP84,AP$2:AP$136,0)</f>
        <v>27</v>
      </c>
      <c r="AS84" s="43" t="n">
        <f aca="false">COUNTIF(Matrice_OD!$C84:$AN84,"&lt;="&amp;Param!$B$2)</f>
        <v>6</v>
      </c>
    </row>
    <row r="85" customFormat="false" ht="15" hidden="false" customHeight="true" outlineLevel="0" collapsed="false">
      <c r="A85" s="0" t="s">
        <v>268</v>
      </c>
      <c r="B85" s="0" t="s">
        <v>269</v>
      </c>
      <c r="C85" s="0" t="n">
        <f aca="false">Demande!C85</f>
        <v>46285</v>
      </c>
      <c r="D85" s="43" t="n">
        <f aca="false">IF(Matrice_OD!C85&lt;=Param!$B$2,3_Huff!C85*3_Huff!C$139*1_Friction!C85,0)</f>
        <v>0</v>
      </c>
      <c r="E85" s="43" t="n">
        <f aca="false">IF(Matrice_OD!D85&lt;=Param!$B$2,3_Huff!D85*3_Huff!D$139*1_Friction!D85,0)</f>
        <v>0</v>
      </c>
      <c r="F85" s="43" t="n">
        <f aca="false">IF(Matrice_OD!E85&lt;=Param!$B$2,3_Huff!E85*3_Huff!E$139*1_Friction!E85,0)</f>
        <v>0</v>
      </c>
      <c r="G85" s="43" t="n">
        <f aca="false">IF(Matrice_OD!F85&lt;=Param!$B$2,3_Huff!F85*3_Huff!F$139*1_Friction!F85,0)</f>
        <v>0</v>
      </c>
      <c r="H85" s="43" t="n">
        <f aca="false">IF(Matrice_OD!G85&lt;=Param!$B$2,3_Huff!G85*3_Huff!G$139*1_Friction!G85,0)</f>
        <v>0</v>
      </c>
      <c r="I85" s="43" t="n">
        <f aca="false">IF(Matrice_OD!H85&lt;=Param!$B$2,3_Huff!H85*3_Huff!H$139*1_Friction!H85,0)</f>
        <v>0</v>
      </c>
      <c r="J85" s="43" t="n">
        <f aca="false">IF(Matrice_OD!I85&lt;=Param!$B$2,3_Huff!I85*3_Huff!I$139*1_Friction!I85,0)</f>
        <v>0</v>
      </c>
      <c r="K85" s="43" t="n">
        <f aca="false">IF(Matrice_OD!J85&lt;=Param!$B$2,3_Huff!J85*3_Huff!J$139*1_Friction!J85,0)</f>
        <v>0</v>
      </c>
      <c r="L85" s="43" t="n">
        <f aca="false">IF(Matrice_OD!K85&lt;=Param!$B$2,3_Huff!K85*3_Huff!K$139*1_Friction!K85,0)</f>
        <v>0</v>
      </c>
      <c r="M85" s="43" t="n">
        <f aca="false">IF(Matrice_OD!L85&lt;=Param!$B$2,3_Huff!L85*3_Huff!L$139*1_Friction!L85,0)</f>
        <v>0</v>
      </c>
      <c r="N85" s="43" t="n">
        <f aca="false">IF(Matrice_OD!M85&lt;=Param!$B$2,3_Huff!M85*3_Huff!M$139*1_Friction!M85,0)</f>
        <v>0</v>
      </c>
      <c r="O85" s="43" t="n">
        <f aca="false">IF(Matrice_OD!N85&lt;=Param!$B$2,3_Huff!N85*3_Huff!N$139*1_Friction!N85,0)</f>
        <v>0</v>
      </c>
      <c r="P85" s="43" t="n">
        <f aca="false">IF(Matrice_OD!O85&lt;=Param!$B$2,3_Huff!O85*3_Huff!O$139*1_Friction!O85,0)</f>
        <v>0</v>
      </c>
      <c r="Q85" s="43" t="n">
        <f aca="false">IF(Matrice_OD!P85&lt;=Param!$B$2,3_Huff!P85*3_Huff!P$139*1_Friction!P85,0)</f>
        <v>0</v>
      </c>
      <c r="R85" s="43" t="n">
        <f aca="false">IF(Matrice_OD!Q85&lt;=Param!$B$2,3_Huff!Q85*3_Huff!Q$139*1_Friction!Q85,0)</f>
        <v>0</v>
      </c>
      <c r="S85" s="43" t="n">
        <f aca="false">IF(Matrice_OD!R85&lt;=Param!$B$2,3_Huff!R85*3_Huff!R$139*1_Friction!R85,0)</f>
        <v>0</v>
      </c>
      <c r="T85" s="43" t="n">
        <f aca="false">IF(Matrice_OD!S85&lt;=Param!$B$2,3_Huff!S85*3_Huff!S$139*1_Friction!S85,0)</f>
        <v>0</v>
      </c>
      <c r="U85" s="43" t="n">
        <f aca="false">IF(Matrice_OD!T85&lt;=Param!$B$2,3_Huff!T85*3_Huff!T$139*1_Friction!T85,0)</f>
        <v>0</v>
      </c>
      <c r="V85" s="43" t="n">
        <f aca="false">IF(Matrice_OD!U85&lt;=Param!$B$2,3_Huff!U85*3_Huff!U$139*1_Friction!U85,0)</f>
        <v>0</v>
      </c>
      <c r="W85" s="43" t="n">
        <f aca="false">IF(Matrice_OD!V85&lt;=Param!$B$2,3_Huff!V85*3_Huff!V$139*1_Friction!V85,0)</f>
        <v>0</v>
      </c>
      <c r="X85" s="43" t="n">
        <f aca="false">IF(Matrice_OD!W85&lt;=Param!$B$2,3_Huff!W85*3_Huff!W$139*1_Friction!W85,0)</f>
        <v>0</v>
      </c>
      <c r="Y85" s="43" t="n">
        <f aca="false">IF(Matrice_OD!X85&lt;=Param!$B$2,3_Huff!X85*3_Huff!X$139*1_Friction!X85,0)</f>
        <v>0</v>
      </c>
      <c r="Z85" s="43" t="n">
        <f aca="false">IF(Matrice_OD!Y85&lt;=Param!$B$2,3_Huff!Y85*3_Huff!Y$139*1_Friction!Y85,0)</f>
        <v>0</v>
      </c>
      <c r="AA85" s="43" t="n">
        <f aca="false">IF(Matrice_OD!Z85&lt;=Param!$B$2,3_Huff!Z85*3_Huff!Z$139*1_Friction!Z85,0)</f>
        <v>0</v>
      </c>
      <c r="AB85" s="43" t="n">
        <f aca="false">IF(Matrice_OD!AA85&lt;=Param!$B$2,3_Huff!AA85*3_Huff!AA$139*1_Friction!AA85,0)</f>
        <v>0</v>
      </c>
      <c r="AC85" s="43" t="n">
        <f aca="false">IF(Matrice_OD!AB85&lt;=Param!$B$2,3_Huff!AB85*3_Huff!AB$139*1_Friction!AB85,0)</f>
        <v>0</v>
      </c>
      <c r="AD85" s="43" t="n">
        <f aca="false">IF(Matrice_OD!AC85&lt;=Param!$B$2,3_Huff!AC85*3_Huff!AC$139*1_Friction!AC85,0)</f>
        <v>4.882221503035E-006</v>
      </c>
      <c r="AE85" s="43" t="n">
        <f aca="false">IF(Matrice_OD!AD85&lt;=Param!$B$2,3_Huff!AD85*3_Huff!AD$139*1_Friction!AD85,0)</f>
        <v>2.5124870659077E-005</v>
      </c>
      <c r="AF85" s="43" t="n">
        <f aca="false">IF(Matrice_OD!AE85&lt;=Param!$B$2,3_Huff!AE85*3_Huff!AE$139*1_Friction!AE85,0)</f>
        <v>1.57684771636308E-005</v>
      </c>
      <c r="AG85" s="43" t="n">
        <f aca="false">IF(Matrice_OD!AF85&lt;=Param!$B$2,3_Huff!AF85*3_Huff!AF$139*1_Friction!AF85,0)</f>
        <v>1.05360862857441E-005</v>
      </c>
      <c r="AH85" s="43" t="n">
        <f aca="false">IF(Matrice_OD!AG85&lt;=Param!$B$2,3_Huff!AG85*3_Huff!AG$139*1_Friction!AG85,0)</f>
        <v>0</v>
      </c>
      <c r="AI85" s="43" t="n">
        <f aca="false">IF(Matrice_OD!AH85&lt;=Param!$B$2,3_Huff!AH85*3_Huff!AH$139*1_Friction!AH85,0)</f>
        <v>0</v>
      </c>
      <c r="AJ85" s="43" t="n">
        <f aca="false">IF(Matrice_OD!AI85&lt;=Param!$B$2,3_Huff!AI85*3_Huff!AI$139*1_Friction!AI85,0)</f>
        <v>0</v>
      </c>
      <c r="AK85" s="43" t="n">
        <f aca="false">IF(Matrice_OD!AJ85&lt;=Param!$B$2,3_Huff!AJ85*3_Huff!AJ$139*1_Friction!AJ85,0)</f>
        <v>0</v>
      </c>
      <c r="AL85" s="43" t="n">
        <f aca="false">IF(Matrice_OD!AK85&lt;=Param!$B$2,3_Huff!AK85*3_Huff!AK$139*1_Friction!AK85,0)</f>
        <v>5.66977050461245E-005</v>
      </c>
      <c r="AM85" s="0" t="n">
        <f aca="false">IF(Matrice_OD!AL85&lt;=Param!$B$2,3_Huff!AL85*3_Huff!AL$139*1_Friction!AL85,0)</f>
        <v>4.94822299477831E-005</v>
      </c>
      <c r="AN85" s="0" t="n">
        <f aca="false">IF(Matrice_OD!AM85&lt;=Param!$B$2,3_Huff!AM85*3_Huff!AM$139*1_Friction!AM85,0)</f>
        <v>0</v>
      </c>
      <c r="AO85" s="0" t="n">
        <f aca="false">IF(Matrice_OD!AN85&lt;=Param!$B$2,3_Huff!AN85*3_Huff!AN$139*1_Friction!AN85,0)</f>
        <v>0</v>
      </c>
      <c r="AP85" s="49" t="n">
        <f aca="false">SUM(D85:AO85)</f>
        <v>0.000162491590605395</v>
      </c>
      <c r="AQ85" s="43" t="n">
        <f aca="false">AP85*1000</f>
        <v>0.162491590605395</v>
      </c>
      <c r="AR85" s="43" t="n">
        <f aca="false">RANK(AP85,AP$2:AP$136,0)</f>
        <v>53</v>
      </c>
      <c r="AS85" s="43" t="n">
        <f aca="false">COUNTIF(Matrice_OD!$C85:$AN85,"&lt;="&amp;Param!$B$2)</f>
        <v>6</v>
      </c>
    </row>
    <row r="86" customFormat="false" ht="15" hidden="false" customHeight="true" outlineLevel="0" collapsed="false">
      <c r="A86" s="0" t="s">
        <v>270</v>
      </c>
      <c r="B86" s="0" t="s">
        <v>271</v>
      </c>
      <c r="C86" s="0" t="n">
        <f aca="false">Demande!C86</f>
        <v>8850</v>
      </c>
      <c r="D86" s="43" t="n">
        <f aca="false">IF(Matrice_OD!C86&lt;=Param!$B$2,3_Huff!C86*3_Huff!C$139*1_Friction!C86,0)</f>
        <v>0</v>
      </c>
      <c r="E86" s="43" t="n">
        <f aca="false">IF(Matrice_OD!D86&lt;=Param!$B$2,3_Huff!D86*3_Huff!D$139*1_Friction!D86,0)</f>
        <v>6.25629410705846E-008</v>
      </c>
      <c r="F86" s="43" t="n">
        <f aca="false">IF(Matrice_OD!E86&lt;=Param!$B$2,3_Huff!E86*3_Huff!E$139*1_Friction!E86,0)</f>
        <v>7.57722311553331E-007</v>
      </c>
      <c r="G86" s="43" t="n">
        <f aca="false">IF(Matrice_OD!F86&lt;=Param!$B$2,3_Huff!F86*3_Huff!F$139*1_Friction!F86,0)</f>
        <v>1.42360229516187E-007</v>
      </c>
      <c r="H86" s="43" t="n">
        <f aca="false">IF(Matrice_OD!G86&lt;=Param!$B$2,3_Huff!G86*3_Huff!G$139*1_Friction!G86,0)</f>
        <v>3.92062088720329E-007</v>
      </c>
      <c r="I86" s="43" t="n">
        <f aca="false">IF(Matrice_OD!H86&lt;=Param!$B$2,3_Huff!H86*3_Huff!H$139*1_Friction!H86,0)</f>
        <v>1.3001796287481E-007</v>
      </c>
      <c r="J86" s="43" t="n">
        <f aca="false">IF(Matrice_OD!I86&lt;=Param!$B$2,3_Huff!I86*3_Huff!I$139*1_Friction!I86,0)</f>
        <v>2.94704878001209E-007</v>
      </c>
      <c r="K86" s="43" t="n">
        <f aca="false">IF(Matrice_OD!J86&lt;=Param!$B$2,3_Huff!J86*3_Huff!J$139*1_Friction!J86,0)</f>
        <v>2.12532567995792E-007</v>
      </c>
      <c r="L86" s="43" t="n">
        <f aca="false">IF(Matrice_OD!K86&lt;=Param!$B$2,3_Huff!K86*3_Huff!K$139*1_Friction!K86,0)</f>
        <v>1.18447257277545E-007</v>
      </c>
      <c r="M86" s="43" t="n">
        <f aca="false">IF(Matrice_OD!L86&lt;=Param!$B$2,3_Huff!L86*3_Huff!L$139*1_Friction!L86,0)</f>
        <v>1.4869982581765E-007</v>
      </c>
      <c r="N86" s="43" t="n">
        <f aca="false">IF(Matrice_OD!M86&lt;=Param!$B$2,3_Huff!M86*3_Huff!M$139*1_Friction!M86,0)</f>
        <v>9.6181553393529E-007</v>
      </c>
      <c r="O86" s="43" t="n">
        <f aca="false">IF(Matrice_OD!N86&lt;=Param!$B$2,3_Huff!N86*3_Huff!N$139*1_Friction!N86,0)</f>
        <v>1.00951203514349E-007</v>
      </c>
      <c r="P86" s="43" t="n">
        <f aca="false">IF(Matrice_OD!O86&lt;=Param!$B$2,3_Huff!O86*3_Huff!O$139*1_Friction!O86,0)</f>
        <v>3.29146725014545E-007</v>
      </c>
      <c r="Q86" s="43" t="n">
        <f aca="false">IF(Matrice_OD!P86&lt;=Param!$B$2,3_Huff!P86*3_Huff!P$139*1_Friction!P86,0)</f>
        <v>1.69970224003383E-007</v>
      </c>
      <c r="R86" s="43" t="n">
        <f aca="false">IF(Matrice_OD!Q86&lt;=Param!$B$2,3_Huff!Q86*3_Huff!Q$139*1_Friction!Q86,0)</f>
        <v>1.53261147324308E-006</v>
      </c>
      <c r="S86" s="43" t="n">
        <f aca="false">IF(Matrice_OD!R86&lt;=Param!$B$2,3_Huff!R86*3_Huff!R$139*1_Friction!R86,0)</f>
        <v>1.99261666320648E-007</v>
      </c>
      <c r="T86" s="43" t="n">
        <f aca="false">IF(Matrice_OD!S86&lt;=Param!$B$2,3_Huff!S86*3_Huff!S$139*1_Friction!S86,0)</f>
        <v>1.36520580466871E-007</v>
      </c>
      <c r="U86" s="43" t="n">
        <f aca="false">IF(Matrice_OD!T86&lt;=Param!$B$2,3_Huff!T86*3_Huff!T$139*1_Friction!T86,0)</f>
        <v>1.91571974412179E-008</v>
      </c>
      <c r="V86" s="43" t="n">
        <f aca="false">IF(Matrice_OD!U86&lt;=Param!$B$2,3_Huff!U86*3_Huff!U$139*1_Friction!U86,0)</f>
        <v>2.31509380953824E-008</v>
      </c>
      <c r="W86" s="43" t="n">
        <f aca="false">IF(Matrice_OD!V86&lt;=Param!$B$2,3_Huff!V86*3_Huff!V$139*1_Friction!V86,0)</f>
        <v>0</v>
      </c>
      <c r="X86" s="43" t="n">
        <f aca="false">IF(Matrice_OD!W86&lt;=Param!$B$2,3_Huff!W86*3_Huff!W$139*1_Friction!W86,0)</f>
        <v>0</v>
      </c>
      <c r="Y86" s="43" t="n">
        <f aca="false">IF(Matrice_OD!X86&lt;=Param!$B$2,3_Huff!X86*3_Huff!X$139*1_Friction!X86,0)</f>
        <v>0</v>
      </c>
      <c r="Z86" s="43" t="n">
        <f aca="false">IF(Matrice_OD!Y86&lt;=Param!$B$2,3_Huff!Y86*3_Huff!Y$139*1_Friction!Y86,0)</f>
        <v>0</v>
      </c>
      <c r="AA86" s="43" t="n">
        <f aca="false">IF(Matrice_OD!Z86&lt;=Param!$B$2,3_Huff!Z86*3_Huff!Z$139*1_Friction!Z86,0)</f>
        <v>0</v>
      </c>
      <c r="AB86" s="43" t="n">
        <f aca="false">IF(Matrice_OD!AA86&lt;=Param!$B$2,3_Huff!AA86*3_Huff!AA$139*1_Friction!AA86,0)</f>
        <v>0</v>
      </c>
      <c r="AC86" s="43" t="n">
        <f aca="false">IF(Matrice_OD!AB86&lt;=Param!$B$2,3_Huff!AB86*3_Huff!AB$139*1_Friction!AB86,0)</f>
        <v>0</v>
      </c>
      <c r="AD86" s="43" t="n">
        <f aca="false">IF(Matrice_OD!AC86&lt;=Param!$B$2,3_Huff!AC86*3_Huff!AC$139*1_Friction!AC86,0)</f>
        <v>2.15716899274663E-006</v>
      </c>
      <c r="AE86" s="43" t="n">
        <f aca="false">IF(Matrice_OD!AD86&lt;=Param!$B$2,3_Huff!AD86*3_Huff!AD$139*1_Friction!AD86,0)</f>
        <v>1.03079195049896E-005</v>
      </c>
      <c r="AF86" s="43" t="n">
        <f aca="false">IF(Matrice_OD!AE86&lt;=Param!$B$2,3_Huff!AE86*3_Huff!AE$139*1_Friction!AE86,0)</f>
        <v>5.73064499161031E-006</v>
      </c>
      <c r="AG86" s="43" t="n">
        <f aca="false">IF(Matrice_OD!AF86&lt;=Param!$B$2,3_Huff!AF86*3_Huff!AF$139*1_Friction!AF86,0)</f>
        <v>3.81727819046611E-006</v>
      </c>
      <c r="AH86" s="43" t="n">
        <f aca="false">IF(Matrice_OD!AG86&lt;=Param!$B$2,3_Huff!AG86*3_Huff!AG$139*1_Friction!AG86,0)</f>
        <v>0</v>
      </c>
      <c r="AI86" s="43" t="n">
        <f aca="false">IF(Matrice_OD!AH86&lt;=Param!$B$2,3_Huff!AH86*3_Huff!AH$139*1_Friction!AH86,0)</f>
        <v>5.84832541841035E-007</v>
      </c>
      <c r="AJ86" s="43" t="n">
        <f aca="false">IF(Matrice_OD!AI86&lt;=Param!$B$2,3_Huff!AI86*3_Huff!AI$139*1_Friction!AI86,0)</f>
        <v>7.36585007842446E-009</v>
      </c>
      <c r="AK86" s="43" t="n">
        <f aca="false">IF(Matrice_OD!AJ86&lt;=Param!$B$2,3_Huff!AJ86*3_Huff!AJ$139*1_Friction!AJ86,0)</f>
        <v>0</v>
      </c>
      <c r="AL86" s="43" t="n">
        <f aca="false">IF(Matrice_OD!AK86&lt;=Param!$B$2,3_Huff!AK86*3_Huff!AK$139*1_Friction!AK86,0)</f>
        <v>8.85496978865757E-006</v>
      </c>
      <c r="AM86" s="0" t="n">
        <f aca="false">IF(Matrice_OD!AL86&lt;=Param!$B$2,3_Huff!AL86*3_Huff!AL$139*1_Friction!AL86,0)</f>
        <v>1.93238049171272E-005</v>
      </c>
      <c r="AN86" s="0" t="n">
        <f aca="false">IF(Matrice_OD!AM86&lt;=Param!$B$2,3_Huff!AM86*3_Huff!AM$139*1_Friction!AM86,0)</f>
        <v>0</v>
      </c>
      <c r="AO86" s="0" t="n">
        <f aca="false">IF(Matrice_OD!AN86&lt;=Param!$B$2,3_Huff!AN86*3_Huff!AN$139*1_Friction!AN86,0)</f>
        <v>0</v>
      </c>
      <c r="AP86" s="48" t="n">
        <f aca="false">SUM(D86:AO86)</f>
        <v>5.6515680382379E-005</v>
      </c>
      <c r="AQ86" s="43" t="n">
        <f aca="false">AP86*1000</f>
        <v>0.056515680382379</v>
      </c>
      <c r="AR86" s="43" t="n">
        <f aca="false">RANK(AP86,AP$2:AP$136,0)</f>
        <v>90</v>
      </c>
      <c r="AS86" s="43" t="n">
        <f aca="false">COUNTIF(Matrice_OD!$C86:$AN86,"&lt;="&amp;Param!$B$2)</f>
        <v>26</v>
      </c>
    </row>
    <row r="87" customFormat="false" ht="15" hidden="false" customHeight="true" outlineLevel="0" collapsed="false">
      <c r="A87" s="0" t="s">
        <v>272</v>
      </c>
      <c r="B87" s="0" t="s">
        <v>273</v>
      </c>
      <c r="C87" s="0" t="n">
        <f aca="false">Demande!C87</f>
        <v>17847</v>
      </c>
      <c r="D87" s="43" t="n">
        <f aca="false">IF(Matrice_OD!C87&lt;=Param!$B$2,3_Huff!C87*3_Huff!C$139*1_Friction!C87,0)</f>
        <v>0</v>
      </c>
      <c r="E87" s="43" t="n">
        <f aca="false">IF(Matrice_OD!D87&lt;=Param!$B$2,3_Huff!D87*3_Huff!D$139*1_Friction!D87,0)</f>
        <v>1.23470151091691E-008</v>
      </c>
      <c r="F87" s="43" t="n">
        <f aca="false">IF(Matrice_OD!E87&lt;=Param!$B$2,3_Huff!E87*3_Huff!E$139*1_Friction!E87,0)</f>
        <v>1.50375820345983E-007</v>
      </c>
      <c r="G87" s="43" t="n">
        <f aca="false">IF(Matrice_OD!F87&lt;=Param!$B$2,3_Huff!F87*3_Huff!F$139*1_Friction!F87,0)</f>
        <v>2.83996255302089E-008</v>
      </c>
      <c r="H87" s="43" t="n">
        <f aca="false">IF(Matrice_OD!G87&lt;=Param!$B$2,3_Huff!G87*3_Huff!G$139*1_Friction!G87,0)</f>
        <v>7.77778031543533E-008</v>
      </c>
      <c r="I87" s="43" t="n">
        <f aca="false">IF(Matrice_OD!H87&lt;=Param!$B$2,3_Huff!H87*3_Huff!H$139*1_Friction!H87,0)</f>
        <v>2.6939388645381E-008</v>
      </c>
      <c r="J87" s="43" t="n">
        <f aca="false">IF(Matrice_OD!I87&lt;=Param!$B$2,3_Huff!I87*3_Huff!I$139*1_Friction!I87,0)</f>
        <v>6.08275874590333E-008</v>
      </c>
      <c r="K87" s="43" t="n">
        <f aca="false">IF(Matrice_OD!J87&lt;=Param!$B$2,3_Huff!J87*3_Huff!J$139*1_Friction!J87,0)</f>
        <v>4.3271934667735E-008</v>
      </c>
      <c r="L87" s="43" t="n">
        <f aca="false">IF(Matrice_OD!K87&lt;=Param!$B$2,3_Huff!K87*3_Huff!K$139*1_Friction!K87,0)</f>
        <v>2.38322877018835E-008</v>
      </c>
      <c r="M87" s="43" t="n">
        <f aca="false">IF(Matrice_OD!L87&lt;=Param!$B$2,3_Huff!L87*3_Huff!L$139*1_Friction!L87,0)</f>
        <v>3.0703708789729E-008</v>
      </c>
      <c r="N87" s="43" t="n">
        <f aca="false">IF(Matrice_OD!M87&lt;=Param!$B$2,3_Huff!M87*3_Huff!M$139*1_Friction!M87,0)</f>
        <v>2.03274259506357E-007</v>
      </c>
      <c r="O87" s="43" t="n">
        <f aca="false">IF(Matrice_OD!N87&lt;=Param!$B$2,3_Huff!N87*3_Huff!N$139*1_Friction!N87,0)</f>
        <v>2.062511239249E-008</v>
      </c>
      <c r="P87" s="43" t="n">
        <f aca="false">IF(Matrice_OD!O87&lt;=Param!$B$2,3_Huff!O87*3_Huff!O$139*1_Friction!O87,0)</f>
        <v>6.74545501129985E-008</v>
      </c>
      <c r="Q87" s="43" t="n">
        <f aca="false">IF(Matrice_OD!P87&lt;=Param!$B$2,3_Huff!P87*3_Huff!P$139*1_Friction!P87,0)</f>
        <v>3.50821429767948E-008</v>
      </c>
      <c r="R87" s="43" t="n">
        <f aca="false">IF(Matrice_OD!Q87&lt;=Param!$B$2,3_Huff!Q87*3_Huff!Q$139*1_Friction!Q87,0)</f>
        <v>3.17571620743783E-007</v>
      </c>
      <c r="S87" s="43" t="n">
        <f aca="false">IF(Matrice_OD!R87&lt;=Param!$B$2,3_Huff!R87*3_Huff!R$139*1_Friction!R87,0)</f>
        <v>4.10567932026668E-008</v>
      </c>
      <c r="T87" s="43" t="n">
        <f aca="false">IF(Matrice_OD!S87&lt;=Param!$B$2,3_Huff!S87*3_Huff!S$139*1_Friction!S87,0)</f>
        <v>2.78118331838396E-008</v>
      </c>
      <c r="U87" s="43" t="n">
        <f aca="false">IF(Matrice_OD!T87&lt;=Param!$B$2,3_Huff!T87*3_Huff!T$139*1_Friction!T87,0)</f>
        <v>0</v>
      </c>
      <c r="V87" s="43" t="n">
        <f aca="false">IF(Matrice_OD!U87&lt;=Param!$B$2,3_Huff!U87*3_Huff!U$139*1_Friction!U87,0)</f>
        <v>0</v>
      </c>
      <c r="W87" s="43" t="n">
        <f aca="false">IF(Matrice_OD!V87&lt;=Param!$B$2,3_Huff!V87*3_Huff!V$139*1_Friction!V87,0)</f>
        <v>0</v>
      </c>
      <c r="X87" s="43" t="n">
        <f aca="false">IF(Matrice_OD!W87&lt;=Param!$B$2,3_Huff!W87*3_Huff!W$139*1_Friction!W87,0)</f>
        <v>0</v>
      </c>
      <c r="Y87" s="43" t="n">
        <f aca="false">IF(Matrice_OD!X87&lt;=Param!$B$2,3_Huff!X87*3_Huff!X$139*1_Friction!X87,0)</f>
        <v>0</v>
      </c>
      <c r="Z87" s="43" t="n">
        <f aca="false">IF(Matrice_OD!Y87&lt;=Param!$B$2,3_Huff!Y87*3_Huff!Y$139*1_Friction!Y87,0)</f>
        <v>0</v>
      </c>
      <c r="AA87" s="43" t="n">
        <f aca="false">IF(Matrice_OD!Z87&lt;=Param!$B$2,3_Huff!Z87*3_Huff!Z$139*1_Friction!Z87,0)</f>
        <v>0</v>
      </c>
      <c r="AB87" s="43" t="n">
        <f aca="false">IF(Matrice_OD!AA87&lt;=Param!$B$2,3_Huff!AA87*3_Huff!AA$139*1_Friction!AA87,0)</f>
        <v>0</v>
      </c>
      <c r="AC87" s="43" t="n">
        <f aca="false">IF(Matrice_OD!AB87&lt;=Param!$B$2,3_Huff!AB87*3_Huff!AB$139*1_Friction!AB87,0)</f>
        <v>0</v>
      </c>
      <c r="AD87" s="43" t="n">
        <f aca="false">IF(Matrice_OD!AC87&lt;=Param!$B$2,3_Huff!AC87*3_Huff!AC$139*1_Friction!AC87,0)</f>
        <v>3.72603828583444E-006</v>
      </c>
      <c r="AE87" s="43" t="n">
        <f aca="false">IF(Matrice_OD!AD87&lt;=Param!$B$2,3_Huff!AD87*3_Huff!AD$139*1_Friction!AD87,0)</f>
        <v>1.79025788219531E-005</v>
      </c>
      <c r="AF87" s="43" t="n">
        <f aca="false">IF(Matrice_OD!AE87&lt;=Param!$B$2,3_Huff!AE87*3_Huff!AE$139*1_Friction!AE87,0)</f>
        <v>1.00445172478369E-005</v>
      </c>
      <c r="AG87" s="43" t="n">
        <f aca="false">IF(Matrice_OD!AF87&lt;=Param!$B$2,3_Huff!AF87*3_Huff!AF$139*1_Friction!AF87,0)</f>
        <v>6.70538350341423E-006</v>
      </c>
      <c r="AH87" s="43" t="n">
        <f aca="false">IF(Matrice_OD!AG87&lt;=Param!$B$2,3_Huff!AG87*3_Huff!AG$139*1_Friction!AG87,0)</f>
        <v>0</v>
      </c>
      <c r="AI87" s="43" t="n">
        <f aca="false">IF(Matrice_OD!AH87&lt;=Param!$B$2,3_Huff!AH87*3_Huff!AH$139*1_Friction!AH87,0)</f>
        <v>1.22700694167135E-007</v>
      </c>
      <c r="AJ87" s="43" t="n">
        <f aca="false">IF(Matrice_OD!AI87&lt;=Param!$B$2,3_Huff!AI87*3_Huff!AI$139*1_Friction!AI87,0)</f>
        <v>0</v>
      </c>
      <c r="AK87" s="43" t="n">
        <f aca="false">IF(Matrice_OD!AJ87&lt;=Param!$B$2,3_Huff!AJ87*3_Huff!AJ$139*1_Friction!AJ87,0)</f>
        <v>0</v>
      </c>
      <c r="AL87" s="43" t="n">
        <f aca="false">IF(Matrice_OD!AK87&lt;=Param!$B$2,3_Huff!AK87*3_Huff!AK$139*1_Friction!AK87,0)</f>
        <v>1.64456135089363E-005</v>
      </c>
      <c r="AM87" s="0" t="n">
        <f aca="false">IF(Matrice_OD!AL87&lt;=Param!$B$2,3_Huff!AL87*3_Huff!AL$139*1_Friction!AL87,0)</f>
        <v>3.3658985576855E-005</v>
      </c>
      <c r="AN87" s="0" t="n">
        <f aca="false">IF(Matrice_OD!AM87&lt;=Param!$B$2,3_Huff!AM87*3_Huff!AM$139*1_Friction!AM87,0)</f>
        <v>0</v>
      </c>
      <c r="AO87" s="0" t="n">
        <f aca="false">IF(Matrice_OD!AN87&lt;=Param!$B$2,3_Huff!AN87*3_Huff!AN$139*1_Friction!AN87,0)</f>
        <v>0</v>
      </c>
      <c r="AP87" s="49" t="n">
        <f aca="false">SUM(D87:AO87)</f>
        <v>8.97731691225194E-005</v>
      </c>
      <c r="AQ87" s="43" t="n">
        <f aca="false">AP87*1000</f>
        <v>0.0897731691225194</v>
      </c>
      <c r="AR87" s="43" t="n">
        <f aca="false">RANK(AP87,AP$2:AP$136,0)</f>
        <v>75</v>
      </c>
      <c r="AS87" s="43" t="n">
        <f aca="false">COUNTIF(Matrice_OD!$C87:$AN87,"&lt;="&amp;Param!$B$2)</f>
        <v>23</v>
      </c>
    </row>
    <row r="88" customFormat="false" ht="15" hidden="false" customHeight="true" outlineLevel="0" collapsed="false">
      <c r="A88" s="0" t="s">
        <v>274</v>
      </c>
      <c r="B88" s="0" t="s">
        <v>275</v>
      </c>
      <c r="C88" s="0" t="n">
        <f aca="false">Demande!C88</f>
        <v>14580</v>
      </c>
      <c r="D88" s="43" t="n">
        <f aca="false">IF(Matrice_OD!C88&lt;=Param!$B$2,3_Huff!C88*3_Huff!C$139*1_Friction!C88,0)</f>
        <v>0</v>
      </c>
      <c r="E88" s="43" t="n">
        <f aca="false">IF(Matrice_OD!D88&lt;=Param!$B$2,3_Huff!D88*3_Huff!D$139*1_Friction!D88,0)</f>
        <v>0</v>
      </c>
      <c r="F88" s="43" t="n">
        <f aca="false">IF(Matrice_OD!E88&lt;=Param!$B$2,3_Huff!E88*3_Huff!E$139*1_Friction!E88,0)</f>
        <v>0</v>
      </c>
      <c r="G88" s="43" t="n">
        <f aca="false">IF(Matrice_OD!F88&lt;=Param!$B$2,3_Huff!F88*3_Huff!F$139*1_Friction!F88,0)</f>
        <v>0</v>
      </c>
      <c r="H88" s="43" t="n">
        <f aca="false">IF(Matrice_OD!G88&lt;=Param!$B$2,3_Huff!G88*3_Huff!G$139*1_Friction!G88,0)</f>
        <v>0</v>
      </c>
      <c r="I88" s="43" t="n">
        <f aca="false">IF(Matrice_OD!H88&lt;=Param!$B$2,3_Huff!H88*3_Huff!H$139*1_Friction!H88,0)</f>
        <v>0</v>
      </c>
      <c r="J88" s="43" t="n">
        <f aca="false">IF(Matrice_OD!I88&lt;=Param!$B$2,3_Huff!I88*3_Huff!I$139*1_Friction!I88,0)</f>
        <v>0</v>
      </c>
      <c r="K88" s="43" t="n">
        <f aca="false">IF(Matrice_OD!J88&lt;=Param!$B$2,3_Huff!J88*3_Huff!J$139*1_Friction!J88,0)</f>
        <v>0</v>
      </c>
      <c r="L88" s="43" t="n">
        <f aca="false">IF(Matrice_OD!K88&lt;=Param!$B$2,3_Huff!K88*3_Huff!K$139*1_Friction!K88,0)</f>
        <v>0</v>
      </c>
      <c r="M88" s="43" t="n">
        <f aca="false">IF(Matrice_OD!L88&lt;=Param!$B$2,3_Huff!L88*3_Huff!L$139*1_Friction!L88,0)</f>
        <v>0</v>
      </c>
      <c r="N88" s="43" t="n">
        <f aca="false">IF(Matrice_OD!M88&lt;=Param!$B$2,3_Huff!M88*3_Huff!M$139*1_Friction!M88,0)</f>
        <v>0</v>
      </c>
      <c r="O88" s="43" t="n">
        <f aca="false">IF(Matrice_OD!N88&lt;=Param!$B$2,3_Huff!N88*3_Huff!N$139*1_Friction!N88,0)</f>
        <v>0</v>
      </c>
      <c r="P88" s="43" t="n">
        <f aca="false">IF(Matrice_OD!O88&lt;=Param!$B$2,3_Huff!O88*3_Huff!O$139*1_Friction!O88,0)</f>
        <v>0</v>
      </c>
      <c r="Q88" s="43" t="n">
        <f aca="false">IF(Matrice_OD!P88&lt;=Param!$B$2,3_Huff!P88*3_Huff!P$139*1_Friction!P88,0)</f>
        <v>0</v>
      </c>
      <c r="R88" s="43" t="n">
        <f aca="false">IF(Matrice_OD!Q88&lt;=Param!$B$2,3_Huff!Q88*3_Huff!Q$139*1_Friction!Q88,0)</f>
        <v>0</v>
      </c>
      <c r="S88" s="43" t="n">
        <f aca="false">IF(Matrice_OD!R88&lt;=Param!$B$2,3_Huff!R88*3_Huff!R$139*1_Friction!R88,0)</f>
        <v>0</v>
      </c>
      <c r="T88" s="43" t="n">
        <f aca="false">IF(Matrice_OD!S88&lt;=Param!$B$2,3_Huff!S88*3_Huff!S$139*1_Friction!S88,0)</f>
        <v>0</v>
      </c>
      <c r="U88" s="43" t="n">
        <f aca="false">IF(Matrice_OD!T88&lt;=Param!$B$2,3_Huff!T88*3_Huff!T$139*1_Friction!T88,0)</f>
        <v>0</v>
      </c>
      <c r="V88" s="43" t="n">
        <f aca="false">IF(Matrice_OD!U88&lt;=Param!$B$2,3_Huff!U88*3_Huff!U$139*1_Friction!U88,0)</f>
        <v>0</v>
      </c>
      <c r="W88" s="43" t="n">
        <f aca="false">IF(Matrice_OD!V88&lt;=Param!$B$2,3_Huff!V88*3_Huff!V$139*1_Friction!V88,0)</f>
        <v>0</v>
      </c>
      <c r="X88" s="43" t="n">
        <f aca="false">IF(Matrice_OD!W88&lt;=Param!$B$2,3_Huff!W88*3_Huff!W$139*1_Friction!W88,0)</f>
        <v>0</v>
      </c>
      <c r="Y88" s="43" t="n">
        <f aca="false">IF(Matrice_OD!X88&lt;=Param!$B$2,3_Huff!X88*3_Huff!X$139*1_Friction!X88,0)</f>
        <v>0</v>
      </c>
      <c r="Z88" s="43" t="n">
        <f aca="false">IF(Matrice_OD!Y88&lt;=Param!$B$2,3_Huff!Y88*3_Huff!Y$139*1_Friction!Y88,0)</f>
        <v>0</v>
      </c>
      <c r="AA88" s="43" t="n">
        <f aca="false">IF(Matrice_OD!Z88&lt;=Param!$B$2,3_Huff!Z88*3_Huff!Z$139*1_Friction!Z88,0)</f>
        <v>0</v>
      </c>
      <c r="AB88" s="43" t="n">
        <f aca="false">IF(Matrice_OD!AA88&lt;=Param!$B$2,3_Huff!AA88*3_Huff!AA$139*1_Friction!AA88,0)</f>
        <v>0</v>
      </c>
      <c r="AC88" s="43" t="n">
        <f aca="false">IF(Matrice_OD!AB88&lt;=Param!$B$2,3_Huff!AB88*3_Huff!AB$139*1_Friction!AB88,0)</f>
        <v>0</v>
      </c>
      <c r="AD88" s="43" t="n">
        <f aca="false">IF(Matrice_OD!AC88&lt;=Param!$B$2,3_Huff!AC88*3_Huff!AC$139*1_Friction!AC88,0)</f>
        <v>2.18819877000907E-006</v>
      </c>
      <c r="AE88" s="43" t="n">
        <f aca="false">IF(Matrice_OD!AD88&lt;=Param!$B$2,3_Huff!AD88*3_Huff!AD$139*1_Friction!AD88,0)</f>
        <v>1.0365977478275E-005</v>
      </c>
      <c r="AF88" s="43" t="n">
        <f aca="false">IF(Matrice_OD!AE88&lt;=Param!$B$2,3_Huff!AE88*3_Huff!AE$139*1_Friction!AE88,0)</f>
        <v>5.67171954329488E-006</v>
      </c>
      <c r="AG88" s="43" t="n">
        <f aca="false">IF(Matrice_OD!AF88&lt;=Param!$B$2,3_Huff!AF88*3_Huff!AF$139*1_Friction!AF88,0)</f>
        <v>3.77059376330743E-006</v>
      </c>
      <c r="AH88" s="43" t="n">
        <f aca="false">IF(Matrice_OD!AG88&lt;=Param!$B$2,3_Huff!AG88*3_Huff!AG$139*1_Friction!AG88,0)</f>
        <v>0</v>
      </c>
      <c r="AI88" s="43" t="n">
        <f aca="false">IF(Matrice_OD!AH88&lt;=Param!$B$2,3_Huff!AH88*3_Huff!AH$139*1_Friction!AH88,0)</f>
        <v>0</v>
      </c>
      <c r="AJ88" s="43" t="n">
        <f aca="false">IF(Matrice_OD!AI88&lt;=Param!$B$2,3_Huff!AI88*3_Huff!AI$139*1_Friction!AI88,0)</f>
        <v>0</v>
      </c>
      <c r="AK88" s="43" t="n">
        <f aca="false">IF(Matrice_OD!AJ88&lt;=Param!$B$2,3_Huff!AJ88*3_Huff!AJ$139*1_Friction!AJ88,0)</f>
        <v>0</v>
      </c>
      <c r="AL88" s="43" t="n">
        <f aca="false">IF(Matrice_OD!AK88&lt;=Param!$B$2,3_Huff!AK88*3_Huff!AK$139*1_Friction!AK88,0)</f>
        <v>8.0095980340496E-006</v>
      </c>
      <c r="AM88" s="0" t="n">
        <f aca="false">IF(Matrice_OD!AL88&lt;=Param!$B$2,3_Huff!AL88*3_Huff!AL$139*1_Friction!AL88,0)</f>
        <v>1.90222014119085E-005</v>
      </c>
      <c r="AN88" s="0" t="n">
        <f aca="false">IF(Matrice_OD!AM88&lt;=Param!$B$2,3_Huff!AM88*3_Huff!AM$139*1_Friction!AM88,0)</f>
        <v>0</v>
      </c>
      <c r="AO88" s="0" t="n">
        <f aca="false">IF(Matrice_OD!AN88&lt;=Param!$B$2,3_Huff!AN88*3_Huff!AN$139*1_Friction!AN88,0)</f>
        <v>0</v>
      </c>
      <c r="AP88" s="48" t="n">
        <f aca="false">SUM(D88:AO88)</f>
        <v>4.90282890008444E-005</v>
      </c>
      <c r="AQ88" s="43" t="n">
        <f aca="false">AP88*1000</f>
        <v>0.0490282890008444</v>
      </c>
      <c r="AR88" s="43" t="n">
        <f aca="false">RANK(AP88,AP$2:AP$136,0)</f>
        <v>94</v>
      </c>
      <c r="AS88" s="43" t="n">
        <f aca="false">COUNTIF(Matrice_OD!$C88:$AN88,"&lt;="&amp;Param!$B$2)</f>
        <v>6</v>
      </c>
    </row>
    <row r="89" customFormat="false" ht="15" hidden="false" customHeight="true" outlineLevel="0" collapsed="false">
      <c r="A89" s="0" t="s">
        <v>276</v>
      </c>
      <c r="B89" s="0" t="s">
        <v>277</v>
      </c>
      <c r="C89" s="0" t="n">
        <f aca="false">Demande!C89</f>
        <v>6911</v>
      </c>
      <c r="D89" s="43" t="n">
        <f aca="false">IF(Matrice_OD!C89&lt;=Param!$B$2,3_Huff!C89*3_Huff!C$139*1_Friction!C89,0)</f>
        <v>0</v>
      </c>
      <c r="E89" s="43" t="n">
        <f aca="false">IF(Matrice_OD!D89&lt;=Param!$B$2,3_Huff!D89*3_Huff!D$139*1_Friction!D89,0)</f>
        <v>0</v>
      </c>
      <c r="F89" s="43" t="n">
        <f aca="false">IF(Matrice_OD!E89&lt;=Param!$B$2,3_Huff!E89*3_Huff!E$139*1_Friction!E89,0)</f>
        <v>0</v>
      </c>
      <c r="G89" s="43" t="n">
        <f aca="false">IF(Matrice_OD!F89&lt;=Param!$B$2,3_Huff!F89*3_Huff!F$139*1_Friction!F89,0)</f>
        <v>0</v>
      </c>
      <c r="H89" s="43" t="n">
        <f aca="false">IF(Matrice_OD!G89&lt;=Param!$B$2,3_Huff!G89*3_Huff!G$139*1_Friction!G89,0)</f>
        <v>0</v>
      </c>
      <c r="I89" s="43" t="n">
        <f aca="false">IF(Matrice_OD!H89&lt;=Param!$B$2,3_Huff!H89*3_Huff!H$139*1_Friction!H89,0)</f>
        <v>0</v>
      </c>
      <c r="J89" s="43" t="n">
        <f aca="false">IF(Matrice_OD!I89&lt;=Param!$B$2,3_Huff!I89*3_Huff!I$139*1_Friction!I89,0)</f>
        <v>0</v>
      </c>
      <c r="K89" s="43" t="n">
        <f aca="false">IF(Matrice_OD!J89&lt;=Param!$B$2,3_Huff!J89*3_Huff!J$139*1_Friction!J89,0)</f>
        <v>0</v>
      </c>
      <c r="L89" s="43" t="n">
        <f aca="false">IF(Matrice_OD!K89&lt;=Param!$B$2,3_Huff!K89*3_Huff!K$139*1_Friction!K89,0)</f>
        <v>0</v>
      </c>
      <c r="M89" s="43" t="n">
        <f aca="false">IF(Matrice_OD!L89&lt;=Param!$B$2,3_Huff!L89*3_Huff!L$139*1_Friction!L89,0)</f>
        <v>0</v>
      </c>
      <c r="N89" s="43" t="n">
        <f aca="false">IF(Matrice_OD!M89&lt;=Param!$B$2,3_Huff!M89*3_Huff!M$139*1_Friction!M89,0)</f>
        <v>0</v>
      </c>
      <c r="O89" s="43" t="n">
        <f aca="false">IF(Matrice_OD!N89&lt;=Param!$B$2,3_Huff!N89*3_Huff!N$139*1_Friction!N89,0)</f>
        <v>0</v>
      </c>
      <c r="P89" s="43" t="n">
        <f aca="false">IF(Matrice_OD!O89&lt;=Param!$B$2,3_Huff!O89*3_Huff!O$139*1_Friction!O89,0)</f>
        <v>0</v>
      </c>
      <c r="Q89" s="43" t="n">
        <f aca="false">IF(Matrice_OD!P89&lt;=Param!$B$2,3_Huff!P89*3_Huff!P$139*1_Friction!P89,0)</f>
        <v>0</v>
      </c>
      <c r="R89" s="43" t="n">
        <f aca="false">IF(Matrice_OD!Q89&lt;=Param!$B$2,3_Huff!Q89*3_Huff!Q$139*1_Friction!Q89,0)</f>
        <v>0</v>
      </c>
      <c r="S89" s="43" t="n">
        <f aca="false">IF(Matrice_OD!R89&lt;=Param!$B$2,3_Huff!R89*3_Huff!R$139*1_Friction!R89,0)</f>
        <v>0</v>
      </c>
      <c r="T89" s="43" t="n">
        <f aca="false">IF(Matrice_OD!S89&lt;=Param!$B$2,3_Huff!S89*3_Huff!S$139*1_Friction!S89,0)</f>
        <v>0</v>
      </c>
      <c r="U89" s="43" t="n">
        <f aca="false">IF(Matrice_OD!T89&lt;=Param!$B$2,3_Huff!T89*3_Huff!T$139*1_Friction!T89,0)</f>
        <v>0</v>
      </c>
      <c r="V89" s="43" t="n">
        <f aca="false">IF(Matrice_OD!U89&lt;=Param!$B$2,3_Huff!U89*3_Huff!U$139*1_Friction!U89,0)</f>
        <v>0</v>
      </c>
      <c r="W89" s="43" t="n">
        <f aca="false">IF(Matrice_OD!V89&lt;=Param!$B$2,3_Huff!V89*3_Huff!V$139*1_Friction!V89,0)</f>
        <v>0</v>
      </c>
      <c r="X89" s="43" t="n">
        <f aca="false">IF(Matrice_OD!W89&lt;=Param!$B$2,3_Huff!W89*3_Huff!W$139*1_Friction!W89,0)</f>
        <v>0</v>
      </c>
      <c r="Y89" s="43" t="n">
        <f aca="false">IF(Matrice_OD!X89&lt;=Param!$B$2,3_Huff!X89*3_Huff!X$139*1_Friction!X89,0)</f>
        <v>0</v>
      </c>
      <c r="Z89" s="43" t="n">
        <f aca="false">IF(Matrice_OD!Y89&lt;=Param!$B$2,3_Huff!Y89*3_Huff!Y$139*1_Friction!Y89,0)</f>
        <v>0</v>
      </c>
      <c r="AA89" s="43" t="n">
        <f aca="false">IF(Matrice_OD!Z89&lt;=Param!$B$2,3_Huff!Z89*3_Huff!Z$139*1_Friction!Z89,0)</f>
        <v>0</v>
      </c>
      <c r="AB89" s="43" t="n">
        <f aca="false">IF(Matrice_OD!AA89&lt;=Param!$B$2,3_Huff!AA89*3_Huff!AA$139*1_Friction!AA89,0)</f>
        <v>0</v>
      </c>
      <c r="AC89" s="43" t="n">
        <f aca="false">IF(Matrice_OD!AB89&lt;=Param!$B$2,3_Huff!AB89*3_Huff!AB$139*1_Friction!AB89,0)</f>
        <v>0</v>
      </c>
      <c r="AD89" s="43" t="n">
        <f aca="false">IF(Matrice_OD!AC89&lt;=Param!$B$2,3_Huff!AC89*3_Huff!AC$139*1_Friction!AC89,0)</f>
        <v>4.00694735710767E-007</v>
      </c>
      <c r="AE89" s="43" t="n">
        <f aca="false">IF(Matrice_OD!AD89&lt;=Param!$B$2,3_Huff!AD89*3_Huff!AD$139*1_Friction!AD89,0)</f>
        <v>1.85734015915396E-006</v>
      </c>
      <c r="AF89" s="43" t="n">
        <f aca="false">IF(Matrice_OD!AE89&lt;=Param!$B$2,3_Huff!AE89*3_Huff!AE$139*1_Friction!AE89,0)</f>
        <v>9.71469721303049E-007</v>
      </c>
      <c r="AG89" s="43" t="n">
        <f aca="false">IF(Matrice_OD!AF89&lt;=Param!$B$2,3_Huff!AF89*3_Huff!AF$139*1_Friction!AF89,0)</f>
        <v>6.43545018656828E-007</v>
      </c>
      <c r="AH89" s="43" t="n">
        <f aca="false">IF(Matrice_OD!AG89&lt;=Param!$B$2,3_Huff!AG89*3_Huff!AG$139*1_Friction!AG89,0)</f>
        <v>0</v>
      </c>
      <c r="AI89" s="43" t="n">
        <f aca="false">IF(Matrice_OD!AH89&lt;=Param!$B$2,3_Huff!AH89*3_Huff!AH$139*1_Friction!AH89,0)</f>
        <v>0</v>
      </c>
      <c r="AJ89" s="43" t="n">
        <f aca="false">IF(Matrice_OD!AI89&lt;=Param!$B$2,3_Huff!AI89*3_Huff!AI$139*1_Friction!AI89,0)</f>
        <v>0</v>
      </c>
      <c r="AK89" s="43" t="n">
        <f aca="false">IF(Matrice_OD!AJ89&lt;=Param!$B$2,3_Huff!AJ89*3_Huff!AJ$139*1_Friction!AJ89,0)</f>
        <v>0</v>
      </c>
      <c r="AL89" s="43" t="n">
        <f aca="false">IF(Matrice_OD!AK89&lt;=Param!$B$2,3_Huff!AK89*3_Huff!AK$139*1_Friction!AK89,0)</f>
        <v>1.07665338333948E-006</v>
      </c>
      <c r="AM89" s="0" t="n">
        <f aca="false">IF(Matrice_OD!AL89&lt;=Param!$B$2,3_Huff!AL89*3_Huff!AL$139*1_Friction!AL89,0)</f>
        <v>3.24775084682588E-006</v>
      </c>
      <c r="AN89" s="0" t="n">
        <f aca="false">IF(Matrice_OD!AM89&lt;=Param!$B$2,3_Huff!AM89*3_Huff!AM$139*1_Friction!AM89,0)</f>
        <v>0</v>
      </c>
      <c r="AO89" s="0" t="n">
        <f aca="false">IF(Matrice_OD!AN89&lt;=Param!$B$2,3_Huff!AN89*3_Huff!AN$139*1_Friction!AN89,0)</f>
        <v>0</v>
      </c>
      <c r="AP89" s="49" t="n">
        <f aca="false">SUM(D89:AO89)</f>
        <v>8.19745386498997E-006</v>
      </c>
      <c r="AQ89" s="43" t="n">
        <f aca="false">AP89*1000</f>
        <v>0.00819745386498997</v>
      </c>
      <c r="AR89" s="43" t="n">
        <f aca="false">RANK(AP89,AP$2:AP$136,0)</f>
        <v>119</v>
      </c>
      <c r="AS89" s="43" t="n">
        <f aca="false">COUNTIF(Matrice_OD!$C89:$AN89,"&lt;="&amp;Param!$B$2)</f>
        <v>6</v>
      </c>
    </row>
    <row r="90" customFormat="false" ht="15" hidden="false" customHeight="true" outlineLevel="0" collapsed="false">
      <c r="A90" s="0" t="s">
        <v>278</v>
      </c>
      <c r="B90" s="0" t="s">
        <v>279</v>
      </c>
      <c r="C90" s="0" t="n">
        <f aca="false">Demande!C90</f>
        <v>15788</v>
      </c>
      <c r="D90" s="43" t="n">
        <f aca="false">IF(Matrice_OD!C90&lt;=Param!$B$2,3_Huff!C90*3_Huff!C$139*1_Friction!C90,0)</f>
        <v>0</v>
      </c>
      <c r="E90" s="43" t="n">
        <f aca="false">IF(Matrice_OD!D90&lt;=Param!$B$2,3_Huff!D90*3_Huff!D$139*1_Friction!D90,0)</f>
        <v>0</v>
      </c>
      <c r="F90" s="43" t="n">
        <f aca="false">IF(Matrice_OD!E90&lt;=Param!$B$2,3_Huff!E90*3_Huff!E$139*1_Friction!E90,0)</f>
        <v>0</v>
      </c>
      <c r="G90" s="43" t="n">
        <f aca="false">IF(Matrice_OD!F90&lt;=Param!$B$2,3_Huff!F90*3_Huff!F$139*1_Friction!F90,0)</f>
        <v>0</v>
      </c>
      <c r="H90" s="43" t="n">
        <f aca="false">IF(Matrice_OD!G90&lt;=Param!$B$2,3_Huff!G90*3_Huff!G$139*1_Friction!G90,0)</f>
        <v>0</v>
      </c>
      <c r="I90" s="43" t="n">
        <f aca="false">IF(Matrice_OD!H90&lt;=Param!$B$2,3_Huff!H90*3_Huff!H$139*1_Friction!H90,0)</f>
        <v>0</v>
      </c>
      <c r="J90" s="43" t="n">
        <f aca="false">IF(Matrice_OD!I90&lt;=Param!$B$2,3_Huff!I90*3_Huff!I$139*1_Friction!I90,0)</f>
        <v>0</v>
      </c>
      <c r="K90" s="43" t="n">
        <f aca="false">IF(Matrice_OD!J90&lt;=Param!$B$2,3_Huff!J90*3_Huff!J$139*1_Friction!J90,0)</f>
        <v>0</v>
      </c>
      <c r="L90" s="43" t="n">
        <f aca="false">IF(Matrice_OD!K90&lt;=Param!$B$2,3_Huff!K90*3_Huff!K$139*1_Friction!K90,0)</f>
        <v>0</v>
      </c>
      <c r="M90" s="43" t="n">
        <f aca="false">IF(Matrice_OD!L90&lt;=Param!$B$2,3_Huff!L90*3_Huff!L$139*1_Friction!L90,0)</f>
        <v>0</v>
      </c>
      <c r="N90" s="43" t="n">
        <f aca="false">IF(Matrice_OD!M90&lt;=Param!$B$2,3_Huff!M90*3_Huff!M$139*1_Friction!M90,0)</f>
        <v>0</v>
      </c>
      <c r="O90" s="43" t="n">
        <f aca="false">IF(Matrice_OD!N90&lt;=Param!$B$2,3_Huff!N90*3_Huff!N$139*1_Friction!N90,0)</f>
        <v>0</v>
      </c>
      <c r="P90" s="43" t="n">
        <f aca="false">IF(Matrice_OD!O90&lt;=Param!$B$2,3_Huff!O90*3_Huff!O$139*1_Friction!O90,0)</f>
        <v>0</v>
      </c>
      <c r="Q90" s="43" t="n">
        <f aca="false">IF(Matrice_OD!P90&lt;=Param!$B$2,3_Huff!P90*3_Huff!P$139*1_Friction!P90,0)</f>
        <v>0</v>
      </c>
      <c r="R90" s="43" t="n">
        <f aca="false">IF(Matrice_OD!Q90&lt;=Param!$B$2,3_Huff!Q90*3_Huff!Q$139*1_Friction!Q90,0)</f>
        <v>0</v>
      </c>
      <c r="S90" s="43" t="n">
        <f aca="false">IF(Matrice_OD!R90&lt;=Param!$B$2,3_Huff!R90*3_Huff!R$139*1_Friction!R90,0)</f>
        <v>0</v>
      </c>
      <c r="T90" s="43" t="n">
        <f aca="false">IF(Matrice_OD!S90&lt;=Param!$B$2,3_Huff!S90*3_Huff!S$139*1_Friction!S90,0)</f>
        <v>0</v>
      </c>
      <c r="U90" s="43" t="n">
        <f aca="false">IF(Matrice_OD!T90&lt;=Param!$B$2,3_Huff!T90*3_Huff!T$139*1_Friction!T90,0)</f>
        <v>0</v>
      </c>
      <c r="V90" s="43" t="n">
        <f aca="false">IF(Matrice_OD!U90&lt;=Param!$B$2,3_Huff!U90*3_Huff!U$139*1_Friction!U90,0)</f>
        <v>0</v>
      </c>
      <c r="W90" s="43" t="n">
        <f aca="false">IF(Matrice_OD!V90&lt;=Param!$B$2,3_Huff!V90*3_Huff!V$139*1_Friction!V90,0)</f>
        <v>0</v>
      </c>
      <c r="X90" s="43" t="n">
        <f aca="false">IF(Matrice_OD!W90&lt;=Param!$B$2,3_Huff!W90*3_Huff!W$139*1_Friction!W90,0)</f>
        <v>0</v>
      </c>
      <c r="Y90" s="43" t="n">
        <f aca="false">IF(Matrice_OD!X90&lt;=Param!$B$2,3_Huff!X90*3_Huff!X$139*1_Friction!X90,0)</f>
        <v>0</v>
      </c>
      <c r="Z90" s="43" t="n">
        <f aca="false">IF(Matrice_OD!Y90&lt;=Param!$B$2,3_Huff!Y90*3_Huff!Y$139*1_Friction!Y90,0)</f>
        <v>0</v>
      </c>
      <c r="AA90" s="43" t="n">
        <f aca="false">IF(Matrice_OD!Z90&lt;=Param!$B$2,3_Huff!Z90*3_Huff!Z$139*1_Friction!Z90,0)</f>
        <v>0</v>
      </c>
      <c r="AB90" s="43" t="n">
        <f aca="false">IF(Matrice_OD!AA90&lt;=Param!$B$2,3_Huff!AA90*3_Huff!AA$139*1_Friction!AA90,0)</f>
        <v>0</v>
      </c>
      <c r="AC90" s="43" t="n">
        <f aca="false">IF(Matrice_OD!AB90&lt;=Param!$B$2,3_Huff!AB90*3_Huff!AB$139*1_Friction!AB90,0)</f>
        <v>0</v>
      </c>
      <c r="AD90" s="43" t="n">
        <f aca="false">IF(Matrice_OD!AC90&lt;=Param!$B$2,3_Huff!AC90*3_Huff!AC$139*1_Friction!AC90,0)</f>
        <v>8.35141218893204E-007</v>
      </c>
      <c r="AE90" s="43" t="n">
        <f aca="false">IF(Matrice_OD!AD90&lt;=Param!$B$2,3_Huff!AD90*3_Huff!AD$139*1_Friction!AD90,0)</f>
        <v>3.90592281864338E-006</v>
      </c>
      <c r="AF90" s="43" t="n">
        <f aca="false">IF(Matrice_OD!AE90&lt;=Param!$B$2,3_Huff!AE90*3_Huff!AE$139*1_Friction!AE90,0)</f>
        <v>2.07812586479212E-006</v>
      </c>
      <c r="AG90" s="43" t="n">
        <f aca="false">IF(Matrice_OD!AF90&lt;=Param!$B$2,3_Huff!AF90*3_Huff!AF$139*1_Friction!AF90,0)</f>
        <v>1.37704952900721E-006</v>
      </c>
      <c r="AH90" s="43" t="n">
        <f aca="false">IF(Matrice_OD!AG90&lt;=Param!$B$2,3_Huff!AG90*3_Huff!AG$139*1_Friction!AG90,0)</f>
        <v>0</v>
      </c>
      <c r="AI90" s="43" t="n">
        <f aca="false">IF(Matrice_OD!AH90&lt;=Param!$B$2,3_Huff!AH90*3_Huff!AH$139*1_Friction!AH90,0)</f>
        <v>0</v>
      </c>
      <c r="AJ90" s="43" t="n">
        <f aca="false">IF(Matrice_OD!AI90&lt;=Param!$B$2,3_Huff!AI90*3_Huff!AI$139*1_Friction!AI90,0)</f>
        <v>0</v>
      </c>
      <c r="AK90" s="43" t="n">
        <f aca="false">IF(Matrice_OD!AJ90&lt;=Param!$B$2,3_Huff!AJ90*3_Huff!AJ$139*1_Friction!AJ90,0)</f>
        <v>0</v>
      </c>
      <c r="AL90" s="43" t="n">
        <f aca="false">IF(Matrice_OD!AK90&lt;=Param!$B$2,3_Huff!AK90*3_Huff!AK$139*1_Friction!AK90,0)</f>
        <v>2.53237126555053E-006</v>
      </c>
      <c r="AM90" s="0" t="n">
        <f aca="false">IF(Matrice_OD!AL90&lt;=Param!$B$2,3_Huff!AL90*3_Huff!AL$139*1_Friction!AL90,0)</f>
        <v>7.01117750251501E-006</v>
      </c>
      <c r="AN90" s="0" t="n">
        <f aca="false">IF(Matrice_OD!AM90&lt;=Param!$B$2,3_Huff!AM90*3_Huff!AM$139*1_Friction!AM90,0)</f>
        <v>0</v>
      </c>
      <c r="AO90" s="0" t="n">
        <f aca="false">IF(Matrice_OD!AN90&lt;=Param!$B$2,3_Huff!AN90*3_Huff!AN$139*1_Friction!AN90,0)</f>
        <v>0</v>
      </c>
      <c r="AP90" s="48" t="n">
        <f aca="false">SUM(D90:AO90)</f>
        <v>1.77397881994015E-005</v>
      </c>
      <c r="AQ90" s="43" t="n">
        <f aca="false">AP90*1000</f>
        <v>0.0177397881994015</v>
      </c>
      <c r="AR90" s="43" t="n">
        <f aca="false">RANK(AP90,AP$2:AP$136,0)</f>
        <v>111</v>
      </c>
      <c r="AS90" s="43" t="n">
        <f aca="false">COUNTIF(Matrice_OD!$C90:$AN90,"&lt;="&amp;Param!$B$2)</f>
        <v>6</v>
      </c>
    </row>
    <row r="91" customFormat="false" ht="15" hidden="false" customHeight="true" outlineLevel="0" collapsed="false">
      <c r="A91" s="0" t="s">
        <v>280</v>
      </c>
      <c r="B91" s="0" t="s">
        <v>281</v>
      </c>
      <c r="C91" s="0" t="n">
        <f aca="false">Demande!C91</f>
        <v>2629</v>
      </c>
      <c r="D91" s="43" t="n">
        <f aca="false">IF(Matrice_OD!C91&lt;=Param!$B$2,3_Huff!C91*3_Huff!C$139*1_Friction!C91,0)</f>
        <v>0</v>
      </c>
      <c r="E91" s="43" t="n">
        <f aca="false">IF(Matrice_OD!D91&lt;=Param!$B$2,3_Huff!D91*3_Huff!D$139*1_Friction!D91,0)</f>
        <v>0</v>
      </c>
      <c r="F91" s="43" t="n">
        <f aca="false">IF(Matrice_OD!E91&lt;=Param!$B$2,3_Huff!E91*3_Huff!E$139*1_Friction!E91,0)</f>
        <v>0</v>
      </c>
      <c r="G91" s="43" t="n">
        <f aca="false">IF(Matrice_OD!F91&lt;=Param!$B$2,3_Huff!F91*3_Huff!F$139*1_Friction!F91,0)</f>
        <v>0</v>
      </c>
      <c r="H91" s="43" t="n">
        <f aca="false">IF(Matrice_OD!G91&lt;=Param!$B$2,3_Huff!G91*3_Huff!G$139*1_Friction!G91,0)</f>
        <v>0</v>
      </c>
      <c r="I91" s="43" t="n">
        <f aca="false">IF(Matrice_OD!H91&lt;=Param!$B$2,3_Huff!H91*3_Huff!H$139*1_Friction!H91,0)</f>
        <v>0</v>
      </c>
      <c r="J91" s="43" t="n">
        <f aca="false">IF(Matrice_OD!I91&lt;=Param!$B$2,3_Huff!I91*3_Huff!I$139*1_Friction!I91,0)</f>
        <v>0</v>
      </c>
      <c r="K91" s="43" t="n">
        <f aca="false">IF(Matrice_OD!J91&lt;=Param!$B$2,3_Huff!J91*3_Huff!J$139*1_Friction!J91,0)</f>
        <v>0</v>
      </c>
      <c r="L91" s="43" t="n">
        <f aca="false">IF(Matrice_OD!K91&lt;=Param!$B$2,3_Huff!K91*3_Huff!K$139*1_Friction!K91,0)</f>
        <v>0</v>
      </c>
      <c r="M91" s="43" t="n">
        <f aca="false">IF(Matrice_OD!L91&lt;=Param!$B$2,3_Huff!L91*3_Huff!L$139*1_Friction!L91,0)</f>
        <v>0</v>
      </c>
      <c r="N91" s="43" t="n">
        <f aca="false">IF(Matrice_OD!M91&lt;=Param!$B$2,3_Huff!M91*3_Huff!M$139*1_Friction!M91,0)</f>
        <v>0</v>
      </c>
      <c r="O91" s="43" t="n">
        <f aca="false">IF(Matrice_OD!N91&lt;=Param!$B$2,3_Huff!N91*3_Huff!N$139*1_Friction!N91,0)</f>
        <v>0</v>
      </c>
      <c r="P91" s="43" t="n">
        <f aca="false">IF(Matrice_OD!O91&lt;=Param!$B$2,3_Huff!O91*3_Huff!O$139*1_Friction!O91,0)</f>
        <v>0</v>
      </c>
      <c r="Q91" s="43" t="n">
        <f aca="false">IF(Matrice_OD!P91&lt;=Param!$B$2,3_Huff!P91*3_Huff!P$139*1_Friction!P91,0)</f>
        <v>0</v>
      </c>
      <c r="R91" s="43" t="n">
        <f aca="false">IF(Matrice_OD!Q91&lt;=Param!$B$2,3_Huff!Q91*3_Huff!Q$139*1_Friction!Q91,0)</f>
        <v>0</v>
      </c>
      <c r="S91" s="43" t="n">
        <f aca="false">IF(Matrice_OD!R91&lt;=Param!$B$2,3_Huff!R91*3_Huff!R$139*1_Friction!R91,0)</f>
        <v>0</v>
      </c>
      <c r="T91" s="43" t="n">
        <f aca="false">IF(Matrice_OD!S91&lt;=Param!$B$2,3_Huff!S91*3_Huff!S$139*1_Friction!S91,0)</f>
        <v>0</v>
      </c>
      <c r="U91" s="43" t="n">
        <f aca="false">IF(Matrice_OD!T91&lt;=Param!$B$2,3_Huff!T91*3_Huff!T$139*1_Friction!T91,0)</f>
        <v>0</v>
      </c>
      <c r="V91" s="43" t="n">
        <f aca="false">IF(Matrice_OD!U91&lt;=Param!$B$2,3_Huff!U91*3_Huff!U$139*1_Friction!U91,0)</f>
        <v>0</v>
      </c>
      <c r="W91" s="43" t="n">
        <f aca="false">IF(Matrice_OD!V91&lt;=Param!$B$2,3_Huff!V91*3_Huff!V$139*1_Friction!V91,0)</f>
        <v>0</v>
      </c>
      <c r="X91" s="43" t="n">
        <f aca="false">IF(Matrice_OD!W91&lt;=Param!$B$2,3_Huff!W91*3_Huff!W$139*1_Friction!W91,0)</f>
        <v>0</v>
      </c>
      <c r="Y91" s="43" t="n">
        <f aca="false">IF(Matrice_OD!X91&lt;=Param!$B$2,3_Huff!X91*3_Huff!X$139*1_Friction!X91,0)</f>
        <v>0</v>
      </c>
      <c r="Z91" s="43" t="n">
        <f aca="false">IF(Matrice_OD!Y91&lt;=Param!$B$2,3_Huff!Y91*3_Huff!Y$139*1_Friction!Y91,0)</f>
        <v>0</v>
      </c>
      <c r="AA91" s="43" t="n">
        <f aca="false">IF(Matrice_OD!Z91&lt;=Param!$B$2,3_Huff!Z91*3_Huff!Z$139*1_Friction!Z91,0)</f>
        <v>0</v>
      </c>
      <c r="AB91" s="43" t="n">
        <f aca="false">IF(Matrice_OD!AA91&lt;=Param!$B$2,3_Huff!AA91*3_Huff!AA$139*1_Friction!AA91,0)</f>
        <v>0</v>
      </c>
      <c r="AC91" s="43" t="n">
        <f aca="false">IF(Matrice_OD!AB91&lt;=Param!$B$2,3_Huff!AB91*3_Huff!AB$139*1_Friction!AB91,0)</f>
        <v>0</v>
      </c>
      <c r="AD91" s="43" t="n">
        <f aca="false">IF(Matrice_OD!AC91&lt;=Param!$B$2,3_Huff!AC91*3_Huff!AC$139*1_Friction!AC91,0)</f>
        <v>1.12351344834692E-006</v>
      </c>
      <c r="AE91" s="43" t="n">
        <f aca="false">IF(Matrice_OD!AD91&lt;=Param!$B$2,3_Huff!AD91*3_Huff!AD$139*1_Friction!AD91,0)</f>
        <v>5.27548039603212E-006</v>
      </c>
      <c r="AF91" s="43" t="n">
        <f aca="false">IF(Matrice_OD!AE91&lt;=Param!$B$2,3_Huff!AE91*3_Huff!AE$139*1_Friction!AE91,0)</f>
        <v>2.82807031926177E-006</v>
      </c>
      <c r="AG91" s="43" t="n">
        <f aca="false">IF(Matrice_OD!AF91&lt;=Param!$B$2,3_Huff!AF91*3_Huff!AF$139*1_Friction!AF91,0)</f>
        <v>1.87850865836333E-006</v>
      </c>
      <c r="AH91" s="43" t="n">
        <f aca="false">IF(Matrice_OD!AG91&lt;=Param!$B$2,3_Huff!AG91*3_Huff!AG$139*1_Friction!AG91,0)</f>
        <v>0</v>
      </c>
      <c r="AI91" s="43" t="n">
        <f aca="false">IF(Matrice_OD!AH91&lt;=Param!$B$2,3_Huff!AH91*3_Huff!AH$139*1_Friction!AH91,0)</f>
        <v>0</v>
      </c>
      <c r="AJ91" s="43" t="n">
        <f aca="false">IF(Matrice_OD!AI91&lt;=Param!$B$2,3_Huff!AI91*3_Huff!AI$139*1_Friction!AI91,0)</f>
        <v>0</v>
      </c>
      <c r="AK91" s="43" t="n">
        <f aca="false">IF(Matrice_OD!AJ91&lt;=Param!$B$2,3_Huff!AJ91*3_Huff!AJ$139*1_Friction!AJ91,0)</f>
        <v>0</v>
      </c>
      <c r="AL91" s="43" t="n">
        <f aca="false">IF(Matrice_OD!AK91&lt;=Param!$B$2,3_Huff!AK91*3_Huff!AK$139*1_Friction!AK91,0)</f>
        <v>3.59406339412986E-006</v>
      </c>
      <c r="AM91" s="0" t="n">
        <f aca="false">IF(Matrice_OD!AL91&lt;=Param!$B$2,3_Huff!AL91*3_Huff!AL$139*1_Friction!AL91,0)</f>
        <v>9.47165480324485E-006</v>
      </c>
      <c r="AN91" s="0" t="n">
        <f aca="false">IF(Matrice_OD!AM91&lt;=Param!$B$2,3_Huff!AM91*3_Huff!AM$139*1_Friction!AM91,0)</f>
        <v>0</v>
      </c>
      <c r="AO91" s="0" t="n">
        <f aca="false">IF(Matrice_OD!AN91&lt;=Param!$B$2,3_Huff!AN91*3_Huff!AN$139*1_Friction!AN91,0)</f>
        <v>0</v>
      </c>
      <c r="AP91" s="49" t="n">
        <f aca="false">SUM(D91:AO91)</f>
        <v>2.41712910193788E-005</v>
      </c>
      <c r="AQ91" s="43" t="n">
        <f aca="false">AP91*1000</f>
        <v>0.0241712910193788</v>
      </c>
      <c r="AR91" s="43" t="n">
        <f aca="false">RANK(AP91,AP$2:AP$136,0)</f>
        <v>109</v>
      </c>
      <c r="AS91" s="43" t="n">
        <f aca="false">COUNTIF(Matrice_OD!$C91:$AN91,"&lt;="&amp;Param!$B$2)</f>
        <v>6</v>
      </c>
    </row>
    <row r="92" customFormat="false" ht="15" hidden="false" customHeight="true" outlineLevel="0" collapsed="false">
      <c r="A92" s="0" t="s">
        <v>282</v>
      </c>
      <c r="B92" s="0" t="s">
        <v>283</v>
      </c>
      <c r="C92" s="0" t="n">
        <f aca="false">Demande!C92</f>
        <v>6796</v>
      </c>
      <c r="D92" s="43" t="n">
        <f aca="false">IF(Matrice_OD!C92&lt;=Param!$B$2,3_Huff!C92*3_Huff!C$139*1_Friction!C92,0)</f>
        <v>0</v>
      </c>
      <c r="E92" s="43" t="n">
        <f aca="false">IF(Matrice_OD!D92&lt;=Param!$B$2,3_Huff!D92*3_Huff!D$139*1_Friction!D92,0)</f>
        <v>0</v>
      </c>
      <c r="F92" s="43" t="n">
        <f aca="false">IF(Matrice_OD!E92&lt;=Param!$B$2,3_Huff!E92*3_Huff!E$139*1_Friction!E92,0)</f>
        <v>0</v>
      </c>
      <c r="G92" s="43" t="n">
        <f aca="false">IF(Matrice_OD!F92&lt;=Param!$B$2,3_Huff!F92*3_Huff!F$139*1_Friction!F92,0)</f>
        <v>0</v>
      </c>
      <c r="H92" s="43" t="n">
        <f aca="false">IF(Matrice_OD!G92&lt;=Param!$B$2,3_Huff!G92*3_Huff!G$139*1_Friction!G92,0)</f>
        <v>0</v>
      </c>
      <c r="I92" s="43" t="n">
        <f aca="false">IF(Matrice_OD!H92&lt;=Param!$B$2,3_Huff!H92*3_Huff!H$139*1_Friction!H92,0)</f>
        <v>0</v>
      </c>
      <c r="J92" s="43" t="n">
        <f aca="false">IF(Matrice_OD!I92&lt;=Param!$B$2,3_Huff!I92*3_Huff!I$139*1_Friction!I92,0)</f>
        <v>0</v>
      </c>
      <c r="K92" s="43" t="n">
        <f aca="false">IF(Matrice_OD!J92&lt;=Param!$B$2,3_Huff!J92*3_Huff!J$139*1_Friction!J92,0)</f>
        <v>0</v>
      </c>
      <c r="L92" s="43" t="n">
        <f aca="false">IF(Matrice_OD!K92&lt;=Param!$B$2,3_Huff!K92*3_Huff!K$139*1_Friction!K92,0)</f>
        <v>0</v>
      </c>
      <c r="M92" s="43" t="n">
        <f aca="false">IF(Matrice_OD!L92&lt;=Param!$B$2,3_Huff!L92*3_Huff!L$139*1_Friction!L92,0)</f>
        <v>0</v>
      </c>
      <c r="N92" s="43" t="n">
        <f aca="false">IF(Matrice_OD!M92&lt;=Param!$B$2,3_Huff!M92*3_Huff!M$139*1_Friction!M92,0)</f>
        <v>0</v>
      </c>
      <c r="O92" s="43" t="n">
        <f aca="false">IF(Matrice_OD!N92&lt;=Param!$B$2,3_Huff!N92*3_Huff!N$139*1_Friction!N92,0)</f>
        <v>0</v>
      </c>
      <c r="P92" s="43" t="n">
        <f aca="false">IF(Matrice_OD!O92&lt;=Param!$B$2,3_Huff!O92*3_Huff!O$139*1_Friction!O92,0)</f>
        <v>0</v>
      </c>
      <c r="Q92" s="43" t="n">
        <f aca="false">IF(Matrice_OD!P92&lt;=Param!$B$2,3_Huff!P92*3_Huff!P$139*1_Friction!P92,0)</f>
        <v>0</v>
      </c>
      <c r="R92" s="43" t="n">
        <f aca="false">IF(Matrice_OD!Q92&lt;=Param!$B$2,3_Huff!Q92*3_Huff!Q$139*1_Friction!Q92,0)</f>
        <v>0</v>
      </c>
      <c r="S92" s="43" t="n">
        <f aca="false">IF(Matrice_OD!R92&lt;=Param!$B$2,3_Huff!R92*3_Huff!R$139*1_Friction!R92,0)</f>
        <v>0</v>
      </c>
      <c r="T92" s="43" t="n">
        <f aca="false">IF(Matrice_OD!S92&lt;=Param!$B$2,3_Huff!S92*3_Huff!S$139*1_Friction!S92,0)</f>
        <v>0</v>
      </c>
      <c r="U92" s="43" t="n">
        <f aca="false">IF(Matrice_OD!T92&lt;=Param!$B$2,3_Huff!T92*3_Huff!T$139*1_Friction!T92,0)</f>
        <v>0</v>
      </c>
      <c r="V92" s="43" t="n">
        <f aca="false">IF(Matrice_OD!U92&lt;=Param!$B$2,3_Huff!U92*3_Huff!U$139*1_Friction!U92,0)</f>
        <v>0</v>
      </c>
      <c r="W92" s="43" t="n">
        <f aca="false">IF(Matrice_OD!V92&lt;=Param!$B$2,3_Huff!V92*3_Huff!V$139*1_Friction!V92,0)</f>
        <v>0</v>
      </c>
      <c r="X92" s="43" t="n">
        <f aca="false">IF(Matrice_OD!W92&lt;=Param!$B$2,3_Huff!W92*3_Huff!W$139*1_Friction!W92,0)</f>
        <v>0</v>
      </c>
      <c r="Y92" s="43" t="n">
        <f aca="false">IF(Matrice_OD!X92&lt;=Param!$B$2,3_Huff!X92*3_Huff!X$139*1_Friction!X92,0)</f>
        <v>0</v>
      </c>
      <c r="Z92" s="43" t="n">
        <f aca="false">IF(Matrice_OD!Y92&lt;=Param!$B$2,3_Huff!Y92*3_Huff!Y$139*1_Friction!Y92,0)</f>
        <v>0</v>
      </c>
      <c r="AA92" s="43" t="n">
        <f aca="false">IF(Matrice_OD!Z92&lt;=Param!$B$2,3_Huff!Z92*3_Huff!Z$139*1_Friction!Z92,0)</f>
        <v>0</v>
      </c>
      <c r="AB92" s="43" t="n">
        <f aca="false">IF(Matrice_OD!AA92&lt;=Param!$B$2,3_Huff!AA92*3_Huff!AA$139*1_Friction!AA92,0)</f>
        <v>0</v>
      </c>
      <c r="AC92" s="43" t="n">
        <f aca="false">IF(Matrice_OD!AB92&lt;=Param!$B$2,3_Huff!AB92*3_Huff!AB$139*1_Friction!AB92,0)</f>
        <v>0</v>
      </c>
      <c r="AD92" s="43" t="n">
        <f aca="false">IF(Matrice_OD!AC92&lt;=Param!$B$2,3_Huff!AC92*3_Huff!AC$139*1_Friction!AC92,0)</f>
        <v>1.43829063321544E-006</v>
      </c>
      <c r="AE92" s="43" t="n">
        <f aca="false">IF(Matrice_OD!AD92&lt;=Param!$B$2,3_Huff!AD92*3_Huff!AD$139*1_Friction!AD92,0)</f>
        <v>6.76797177024589E-006</v>
      </c>
      <c r="AF92" s="43" t="n">
        <f aca="false">IF(Matrice_OD!AE92&lt;=Param!$B$2,3_Huff!AE92*3_Huff!AE$139*1_Friction!AE92,0)</f>
        <v>3.65765740863522E-006</v>
      </c>
      <c r="AG92" s="43" t="n">
        <f aca="false">IF(Matrice_OD!AF92&lt;=Param!$B$2,3_Huff!AF92*3_Huff!AF$139*1_Friction!AF92,0)</f>
        <v>2.42793074190861E-006</v>
      </c>
      <c r="AH92" s="43" t="n">
        <f aca="false">IF(Matrice_OD!AG92&lt;=Param!$B$2,3_Huff!AG92*3_Huff!AG$139*1_Friction!AG92,0)</f>
        <v>0</v>
      </c>
      <c r="AI92" s="43" t="n">
        <f aca="false">IF(Matrice_OD!AH92&lt;=Param!$B$2,3_Huff!AH92*3_Huff!AH$139*1_Friction!AH92,0)</f>
        <v>0</v>
      </c>
      <c r="AJ92" s="43" t="n">
        <f aca="false">IF(Matrice_OD!AI92&lt;=Param!$B$2,3_Huff!AI92*3_Huff!AI$139*1_Friction!AI92,0)</f>
        <v>0</v>
      </c>
      <c r="AK92" s="43" t="n">
        <f aca="false">IF(Matrice_OD!AJ92&lt;=Param!$B$2,3_Huff!AJ92*3_Huff!AJ$139*1_Friction!AJ92,0)</f>
        <v>0</v>
      </c>
      <c r="AL92" s="43" t="n">
        <f aca="false">IF(Matrice_OD!AK92&lt;=Param!$B$2,3_Huff!AK92*3_Huff!AK$139*1_Friction!AK92,0)</f>
        <v>4.81790254857701E-006</v>
      </c>
      <c r="AM92" s="0" t="n">
        <f aca="false">IF(Matrice_OD!AL92&lt;=Param!$B$2,3_Huff!AL92*3_Huff!AL$139*1_Friction!AL92,0)</f>
        <v>1.22560921143789E-005</v>
      </c>
      <c r="AN92" s="0" t="n">
        <f aca="false">IF(Matrice_OD!AM92&lt;=Param!$B$2,3_Huff!AM92*3_Huff!AM$139*1_Friction!AM92,0)</f>
        <v>0</v>
      </c>
      <c r="AO92" s="0" t="n">
        <f aca="false">IF(Matrice_OD!AN92&lt;=Param!$B$2,3_Huff!AN92*3_Huff!AN$139*1_Friction!AN92,0)</f>
        <v>0</v>
      </c>
      <c r="AP92" s="48" t="n">
        <f aca="false">SUM(D92:AO92)</f>
        <v>3.1365845216961E-005</v>
      </c>
      <c r="AQ92" s="43" t="n">
        <f aca="false">AP92*1000</f>
        <v>0.031365845216961</v>
      </c>
      <c r="AR92" s="43" t="n">
        <f aca="false">RANK(AP92,AP$2:AP$136,0)</f>
        <v>107</v>
      </c>
      <c r="AS92" s="43" t="n">
        <f aca="false">COUNTIF(Matrice_OD!$C92:$AN92,"&lt;="&amp;Param!$B$2)</f>
        <v>6</v>
      </c>
    </row>
    <row r="93" customFormat="false" ht="15" hidden="false" customHeight="true" outlineLevel="0" collapsed="false">
      <c r="A93" s="0" t="s">
        <v>284</v>
      </c>
      <c r="B93" s="0" t="s">
        <v>285</v>
      </c>
      <c r="C93" s="0" t="n">
        <f aca="false">Demande!C93</f>
        <v>1625</v>
      </c>
      <c r="D93" s="43" t="n">
        <f aca="false">IF(Matrice_OD!C93&lt;=Param!$B$2,3_Huff!C93*3_Huff!C$139*1_Friction!C93,0)</f>
        <v>0</v>
      </c>
      <c r="E93" s="43" t="n">
        <f aca="false">IF(Matrice_OD!D93&lt;=Param!$B$2,3_Huff!D93*3_Huff!D$139*1_Friction!D93,0)</f>
        <v>0</v>
      </c>
      <c r="F93" s="43" t="n">
        <f aca="false">IF(Matrice_OD!E93&lt;=Param!$B$2,3_Huff!E93*3_Huff!E$139*1_Friction!E93,0)</f>
        <v>0</v>
      </c>
      <c r="G93" s="43" t="n">
        <f aca="false">IF(Matrice_OD!F93&lt;=Param!$B$2,3_Huff!F93*3_Huff!F$139*1_Friction!F93,0)</f>
        <v>0</v>
      </c>
      <c r="H93" s="43" t="n">
        <f aca="false">IF(Matrice_OD!G93&lt;=Param!$B$2,3_Huff!G93*3_Huff!G$139*1_Friction!G93,0)</f>
        <v>0</v>
      </c>
      <c r="I93" s="43" t="n">
        <f aca="false">IF(Matrice_OD!H93&lt;=Param!$B$2,3_Huff!H93*3_Huff!H$139*1_Friction!H93,0)</f>
        <v>0</v>
      </c>
      <c r="J93" s="43" t="n">
        <f aca="false">IF(Matrice_OD!I93&lt;=Param!$B$2,3_Huff!I93*3_Huff!I$139*1_Friction!I93,0)</f>
        <v>0</v>
      </c>
      <c r="K93" s="43" t="n">
        <f aca="false">IF(Matrice_OD!J93&lt;=Param!$B$2,3_Huff!J93*3_Huff!J$139*1_Friction!J93,0)</f>
        <v>0</v>
      </c>
      <c r="L93" s="43" t="n">
        <f aca="false">IF(Matrice_OD!K93&lt;=Param!$B$2,3_Huff!K93*3_Huff!K$139*1_Friction!K93,0)</f>
        <v>0</v>
      </c>
      <c r="M93" s="43" t="n">
        <f aca="false">IF(Matrice_OD!L93&lt;=Param!$B$2,3_Huff!L93*3_Huff!L$139*1_Friction!L93,0)</f>
        <v>0</v>
      </c>
      <c r="N93" s="43" t="n">
        <f aca="false">IF(Matrice_OD!M93&lt;=Param!$B$2,3_Huff!M93*3_Huff!M$139*1_Friction!M93,0)</f>
        <v>0</v>
      </c>
      <c r="O93" s="43" t="n">
        <f aca="false">IF(Matrice_OD!N93&lt;=Param!$B$2,3_Huff!N93*3_Huff!N$139*1_Friction!N93,0)</f>
        <v>0</v>
      </c>
      <c r="P93" s="43" t="n">
        <f aca="false">IF(Matrice_OD!O93&lt;=Param!$B$2,3_Huff!O93*3_Huff!O$139*1_Friction!O93,0)</f>
        <v>0</v>
      </c>
      <c r="Q93" s="43" t="n">
        <f aca="false">IF(Matrice_OD!P93&lt;=Param!$B$2,3_Huff!P93*3_Huff!P$139*1_Friction!P93,0)</f>
        <v>0</v>
      </c>
      <c r="R93" s="43" t="n">
        <f aca="false">IF(Matrice_OD!Q93&lt;=Param!$B$2,3_Huff!Q93*3_Huff!Q$139*1_Friction!Q93,0)</f>
        <v>0</v>
      </c>
      <c r="S93" s="43" t="n">
        <f aca="false">IF(Matrice_OD!R93&lt;=Param!$B$2,3_Huff!R93*3_Huff!R$139*1_Friction!R93,0)</f>
        <v>0</v>
      </c>
      <c r="T93" s="43" t="n">
        <f aca="false">IF(Matrice_OD!S93&lt;=Param!$B$2,3_Huff!S93*3_Huff!S$139*1_Friction!S93,0)</f>
        <v>0</v>
      </c>
      <c r="U93" s="43" t="n">
        <f aca="false">IF(Matrice_OD!T93&lt;=Param!$B$2,3_Huff!T93*3_Huff!T$139*1_Friction!T93,0)</f>
        <v>0</v>
      </c>
      <c r="V93" s="43" t="n">
        <f aca="false">IF(Matrice_OD!U93&lt;=Param!$B$2,3_Huff!U93*3_Huff!U$139*1_Friction!U93,0)</f>
        <v>0</v>
      </c>
      <c r="W93" s="43" t="n">
        <f aca="false">IF(Matrice_OD!V93&lt;=Param!$B$2,3_Huff!V93*3_Huff!V$139*1_Friction!V93,0)</f>
        <v>0</v>
      </c>
      <c r="X93" s="43" t="n">
        <f aca="false">IF(Matrice_OD!W93&lt;=Param!$B$2,3_Huff!W93*3_Huff!W$139*1_Friction!W93,0)</f>
        <v>0</v>
      </c>
      <c r="Y93" s="43" t="n">
        <f aca="false">IF(Matrice_OD!X93&lt;=Param!$B$2,3_Huff!X93*3_Huff!X$139*1_Friction!X93,0)</f>
        <v>0</v>
      </c>
      <c r="Z93" s="43" t="n">
        <f aca="false">IF(Matrice_OD!Y93&lt;=Param!$B$2,3_Huff!Y93*3_Huff!Y$139*1_Friction!Y93,0)</f>
        <v>0</v>
      </c>
      <c r="AA93" s="43" t="n">
        <f aca="false">IF(Matrice_OD!Z93&lt;=Param!$B$2,3_Huff!Z93*3_Huff!Z$139*1_Friction!Z93,0)</f>
        <v>0</v>
      </c>
      <c r="AB93" s="43" t="n">
        <f aca="false">IF(Matrice_OD!AA93&lt;=Param!$B$2,3_Huff!AA93*3_Huff!AA$139*1_Friction!AA93,0)</f>
        <v>0</v>
      </c>
      <c r="AC93" s="43" t="n">
        <f aca="false">IF(Matrice_OD!AB93&lt;=Param!$B$2,3_Huff!AB93*3_Huff!AB$139*1_Friction!AB93,0)</f>
        <v>0</v>
      </c>
      <c r="AD93" s="43" t="n">
        <f aca="false">IF(Matrice_OD!AC93&lt;=Param!$B$2,3_Huff!AC93*3_Huff!AC$139*1_Friction!AC93,0)</f>
        <v>6.80971735565249E-006</v>
      </c>
      <c r="AE93" s="43" t="n">
        <f aca="false">IF(Matrice_OD!AD93&lt;=Param!$B$2,3_Huff!AD93*3_Huff!AD$139*1_Friction!AD93,0)</f>
        <v>3.48315875518793E-005</v>
      </c>
      <c r="AF93" s="43" t="n">
        <f aca="false">IF(Matrice_OD!AE93&lt;=Param!$B$2,3_Huff!AE93*3_Huff!AE$139*1_Friction!AE93,0)</f>
        <v>2.10469233788793E-005</v>
      </c>
      <c r="AG93" s="43" t="n">
        <f aca="false">IF(Matrice_OD!AF93&lt;=Param!$B$2,3_Huff!AF93*3_Huff!AF$139*1_Friction!AF93,0)</f>
        <v>1.35903805346501E-005</v>
      </c>
      <c r="AH93" s="43" t="n">
        <f aca="false">IF(Matrice_OD!AG93&lt;=Param!$B$2,3_Huff!AG93*3_Huff!AG$139*1_Friction!AG93,0)</f>
        <v>0</v>
      </c>
      <c r="AI93" s="43" t="n">
        <f aca="false">IF(Matrice_OD!AH93&lt;=Param!$B$2,3_Huff!AH93*3_Huff!AH$139*1_Friction!AH93,0)</f>
        <v>0</v>
      </c>
      <c r="AJ93" s="43" t="n">
        <f aca="false">IF(Matrice_OD!AI93&lt;=Param!$B$2,3_Huff!AI93*3_Huff!AI$139*1_Friction!AI93,0)</f>
        <v>0</v>
      </c>
      <c r="AK93" s="43" t="n">
        <f aca="false">IF(Matrice_OD!AJ93&lt;=Param!$B$2,3_Huff!AJ93*3_Huff!AJ$139*1_Friction!AJ93,0)</f>
        <v>0</v>
      </c>
      <c r="AL93" s="43" t="n">
        <f aca="false">IF(Matrice_OD!AK93&lt;=Param!$B$2,3_Huff!AK93*3_Huff!AK$139*1_Friction!AK93,0)</f>
        <v>4.05791055751836E-005</v>
      </c>
      <c r="AM93" s="0" t="n">
        <f aca="false">IF(Matrice_OD!AL93&lt;=Param!$B$2,3_Huff!AL93*3_Huff!AL$139*1_Friction!AL93,0)</f>
        <v>6.89718198599534E-005</v>
      </c>
      <c r="AN93" s="0" t="n">
        <f aca="false">IF(Matrice_OD!AM93&lt;=Param!$B$2,3_Huff!AM93*3_Huff!AM$139*1_Friction!AM93,0)</f>
        <v>0</v>
      </c>
      <c r="AO93" s="0" t="n">
        <f aca="false">IF(Matrice_OD!AN93&lt;=Param!$B$2,3_Huff!AN93*3_Huff!AN$139*1_Friction!AN93,0)</f>
        <v>0</v>
      </c>
      <c r="AP93" s="49" t="n">
        <f aca="false">SUM(D93:AO93)</f>
        <v>0.000185829534256198</v>
      </c>
      <c r="AQ93" s="43" t="n">
        <f aca="false">AP93*1000</f>
        <v>0.185829534256198</v>
      </c>
      <c r="AR93" s="43" t="n">
        <f aca="false">RANK(AP93,AP$2:AP$136,0)</f>
        <v>48</v>
      </c>
      <c r="AS93" s="43" t="n">
        <f aca="false">COUNTIF(Matrice_OD!$C93:$AN93,"&lt;="&amp;Param!$B$2)</f>
        <v>6</v>
      </c>
    </row>
    <row r="94" customFormat="false" ht="15" hidden="false" customHeight="true" outlineLevel="0" collapsed="false">
      <c r="A94" s="0" t="s">
        <v>286</v>
      </c>
      <c r="B94" s="0" t="s">
        <v>287</v>
      </c>
      <c r="C94" s="0" t="n">
        <f aca="false">Demande!C94</f>
        <v>16501</v>
      </c>
      <c r="D94" s="43" t="n">
        <f aca="false">IF(Matrice_OD!C94&lt;=Param!$B$2,3_Huff!C94*3_Huff!C$139*1_Friction!C94,0)</f>
        <v>0</v>
      </c>
      <c r="E94" s="43" t="n">
        <f aca="false">IF(Matrice_OD!D94&lt;=Param!$B$2,3_Huff!D94*3_Huff!D$139*1_Friction!D94,0)</f>
        <v>0</v>
      </c>
      <c r="F94" s="43" t="n">
        <f aca="false">IF(Matrice_OD!E94&lt;=Param!$B$2,3_Huff!E94*3_Huff!E$139*1_Friction!E94,0)</f>
        <v>0</v>
      </c>
      <c r="G94" s="43" t="n">
        <f aca="false">IF(Matrice_OD!F94&lt;=Param!$B$2,3_Huff!F94*3_Huff!F$139*1_Friction!F94,0)</f>
        <v>0</v>
      </c>
      <c r="H94" s="43" t="n">
        <f aca="false">IF(Matrice_OD!G94&lt;=Param!$B$2,3_Huff!G94*3_Huff!G$139*1_Friction!G94,0)</f>
        <v>0</v>
      </c>
      <c r="I94" s="43" t="n">
        <f aca="false">IF(Matrice_OD!H94&lt;=Param!$B$2,3_Huff!H94*3_Huff!H$139*1_Friction!H94,0)</f>
        <v>0</v>
      </c>
      <c r="J94" s="43" t="n">
        <f aca="false">IF(Matrice_OD!I94&lt;=Param!$B$2,3_Huff!I94*3_Huff!I$139*1_Friction!I94,0)</f>
        <v>0</v>
      </c>
      <c r="K94" s="43" t="n">
        <f aca="false">IF(Matrice_OD!J94&lt;=Param!$B$2,3_Huff!J94*3_Huff!J$139*1_Friction!J94,0)</f>
        <v>0</v>
      </c>
      <c r="L94" s="43" t="n">
        <f aca="false">IF(Matrice_OD!K94&lt;=Param!$B$2,3_Huff!K94*3_Huff!K$139*1_Friction!K94,0)</f>
        <v>0</v>
      </c>
      <c r="M94" s="43" t="n">
        <f aca="false">IF(Matrice_OD!L94&lt;=Param!$B$2,3_Huff!L94*3_Huff!L$139*1_Friction!L94,0)</f>
        <v>0</v>
      </c>
      <c r="N94" s="43" t="n">
        <f aca="false">IF(Matrice_OD!M94&lt;=Param!$B$2,3_Huff!M94*3_Huff!M$139*1_Friction!M94,0)</f>
        <v>0</v>
      </c>
      <c r="O94" s="43" t="n">
        <f aca="false">IF(Matrice_OD!N94&lt;=Param!$B$2,3_Huff!N94*3_Huff!N$139*1_Friction!N94,0)</f>
        <v>0</v>
      </c>
      <c r="P94" s="43" t="n">
        <f aca="false">IF(Matrice_OD!O94&lt;=Param!$B$2,3_Huff!O94*3_Huff!O$139*1_Friction!O94,0)</f>
        <v>0</v>
      </c>
      <c r="Q94" s="43" t="n">
        <f aca="false">IF(Matrice_OD!P94&lt;=Param!$B$2,3_Huff!P94*3_Huff!P$139*1_Friction!P94,0)</f>
        <v>0</v>
      </c>
      <c r="R94" s="43" t="n">
        <f aca="false">IF(Matrice_OD!Q94&lt;=Param!$B$2,3_Huff!Q94*3_Huff!Q$139*1_Friction!Q94,0)</f>
        <v>0</v>
      </c>
      <c r="S94" s="43" t="n">
        <f aca="false">IF(Matrice_OD!R94&lt;=Param!$B$2,3_Huff!R94*3_Huff!R$139*1_Friction!R94,0)</f>
        <v>0</v>
      </c>
      <c r="T94" s="43" t="n">
        <f aca="false">IF(Matrice_OD!S94&lt;=Param!$B$2,3_Huff!S94*3_Huff!S$139*1_Friction!S94,0)</f>
        <v>0</v>
      </c>
      <c r="U94" s="43" t="n">
        <f aca="false">IF(Matrice_OD!T94&lt;=Param!$B$2,3_Huff!T94*3_Huff!T$139*1_Friction!T94,0)</f>
        <v>0</v>
      </c>
      <c r="V94" s="43" t="n">
        <f aca="false">IF(Matrice_OD!U94&lt;=Param!$B$2,3_Huff!U94*3_Huff!U$139*1_Friction!U94,0)</f>
        <v>1.55699815655878E-007</v>
      </c>
      <c r="W94" s="43" t="n">
        <f aca="false">IF(Matrice_OD!V94&lt;=Param!$B$2,3_Huff!V94*3_Huff!V$139*1_Friction!V94,0)</f>
        <v>0</v>
      </c>
      <c r="X94" s="43" t="n">
        <f aca="false">IF(Matrice_OD!W94&lt;=Param!$B$2,3_Huff!W94*3_Huff!W$139*1_Friction!W94,0)</f>
        <v>0</v>
      </c>
      <c r="Y94" s="43" t="n">
        <f aca="false">IF(Matrice_OD!X94&lt;=Param!$B$2,3_Huff!X94*3_Huff!X$139*1_Friction!X94,0)</f>
        <v>0</v>
      </c>
      <c r="Z94" s="43" t="n">
        <f aca="false">IF(Matrice_OD!Y94&lt;=Param!$B$2,3_Huff!Y94*3_Huff!Y$139*1_Friction!Y94,0)</f>
        <v>0</v>
      </c>
      <c r="AA94" s="43" t="n">
        <f aca="false">IF(Matrice_OD!Z94&lt;=Param!$B$2,3_Huff!Z94*3_Huff!Z$139*1_Friction!Z94,0)</f>
        <v>0</v>
      </c>
      <c r="AB94" s="43" t="n">
        <f aca="false">IF(Matrice_OD!AA94&lt;=Param!$B$2,3_Huff!AA94*3_Huff!AA$139*1_Friction!AA94,0)</f>
        <v>0</v>
      </c>
      <c r="AC94" s="43" t="n">
        <f aca="false">IF(Matrice_OD!AB94&lt;=Param!$B$2,3_Huff!AB94*3_Huff!AB$139*1_Friction!AB94,0)</f>
        <v>0</v>
      </c>
      <c r="AD94" s="43" t="n">
        <f aca="false">IF(Matrice_OD!AC94&lt;=Param!$B$2,3_Huff!AC94*3_Huff!AC$139*1_Friction!AC94,0)</f>
        <v>3.53118735147245E-006</v>
      </c>
      <c r="AE94" s="43" t="n">
        <f aca="false">IF(Matrice_OD!AD94&lt;=Param!$B$2,3_Huff!AD94*3_Huff!AD$139*1_Friction!AD94,0)</f>
        <v>1.83048126651012E-005</v>
      </c>
      <c r="AF94" s="43" t="n">
        <f aca="false">IF(Matrice_OD!AE94&lt;=Param!$B$2,3_Huff!AE94*3_Huff!AE$139*1_Friction!AE94,0)</f>
        <v>1.1052306896556E-005</v>
      </c>
      <c r="AG94" s="43" t="n">
        <f aca="false">IF(Matrice_OD!AF94&lt;=Param!$B$2,3_Huff!AF94*3_Huff!AF$139*1_Friction!AF94,0)</f>
        <v>6.95328699639804E-006</v>
      </c>
      <c r="AH94" s="43" t="n">
        <f aca="false">IF(Matrice_OD!AG94&lt;=Param!$B$2,3_Huff!AG94*3_Huff!AG$139*1_Friction!AG94,0)</f>
        <v>0</v>
      </c>
      <c r="AI94" s="43" t="n">
        <f aca="false">IF(Matrice_OD!AH94&lt;=Param!$B$2,3_Huff!AH94*3_Huff!AH$139*1_Friction!AH94,0)</f>
        <v>0</v>
      </c>
      <c r="AJ94" s="43" t="n">
        <f aca="false">IF(Matrice_OD!AI94&lt;=Param!$B$2,3_Huff!AI94*3_Huff!AI$139*1_Friction!AI94,0)</f>
        <v>0</v>
      </c>
      <c r="AK94" s="43" t="n">
        <f aca="false">IF(Matrice_OD!AJ94&lt;=Param!$B$2,3_Huff!AJ94*3_Huff!AJ$139*1_Friction!AJ94,0)</f>
        <v>0</v>
      </c>
      <c r="AL94" s="43" t="n">
        <f aca="false">IF(Matrice_OD!AK94&lt;=Param!$B$2,3_Huff!AK94*3_Huff!AK$139*1_Friction!AK94,0)</f>
        <v>1.80565935825395E-005</v>
      </c>
      <c r="AM94" s="0" t="n">
        <f aca="false">IF(Matrice_OD!AL94&lt;=Param!$B$2,3_Huff!AL94*3_Huff!AL$139*1_Friction!AL94,0)</f>
        <v>3.54937553581812E-005</v>
      </c>
      <c r="AN94" s="0" t="n">
        <f aca="false">IF(Matrice_OD!AM94&lt;=Param!$B$2,3_Huff!AM94*3_Huff!AM$139*1_Friction!AM94,0)</f>
        <v>0</v>
      </c>
      <c r="AO94" s="0" t="n">
        <f aca="false">IF(Matrice_OD!AN94&lt;=Param!$B$2,3_Huff!AN94*3_Huff!AN$139*1_Friction!AN94,0)</f>
        <v>0</v>
      </c>
      <c r="AP94" s="48" t="n">
        <f aca="false">SUM(D94:AO94)</f>
        <v>9.35476426659043E-005</v>
      </c>
      <c r="AQ94" s="43" t="n">
        <f aca="false">AP94*1000</f>
        <v>0.0935476426659043</v>
      </c>
      <c r="AR94" s="43" t="n">
        <f aca="false">RANK(AP94,AP$2:AP$136,0)</f>
        <v>71</v>
      </c>
      <c r="AS94" s="43" t="n">
        <f aca="false">COUNTIF(Matrice_OD!$C94:$AN94,"&lt;="&amp;Param!$B$2)</f>
        <v>7</v>
      </c>
    </row>
    <row r="95" customFormat="false" ht="15" hidden="false" customHeight="true" outlineLevel="0" collapsed="false">
      <c r="A95" s="0" t="s">
        <v>288</v>
      </c>
      <c r="B95" s="0" t="s">
        <v>289</v>
      </c>
      <c r="C95" s="0" t="n">
        <f aca="false">Demande!C95</f>
        <v>3266</v>
      </c>
      <c r="D95" s="43" t="n">
        <f aca="false">IF(Matrice_OD!C95&lt;=Param!$B$2,3_Huff!C95*3_Huff!C$139*1_Friction!C95,0)</f>
        <v>0</v>
      </c>
      <c r="E95" s="43" t="n">
        <f aca="false">IF(Matrice_OD!D95&lt;=Param!$B$2,3_Huff!D95*3_Huff!D$139*1_Friction!D95,0)</f>
        <v>0</v>
      </c>
      <c r="F95" s="43" t="n">
        <f aca="false">IF(Matrice_OD!E95&lt;=Param!$B$2,3_Huff!E95*3_Huff!E$139*1_Friction!E95,0)</f>
        <v>0</v>
      </c>
      <c r="G95" s="43" t="n">
        <f aca="false">IF(Matrice_OD!F95&lt;=Param!$B$2,3_Huff!F95*3_Huff!F$139*1_Friction!F95,0)</f>
        <v>0</v>
      </c>
      <c r="H95" s="43" t="n">
        <f aca="false">IF(Matrice_OD!G95&lt;=Param!$B$2,3_Huff!G95*3_Huff!G$139*1_Friction!G95,0)</f>
        <v>0</v>
      </c>
      <c r="I95" s="43" t="n">
        <f aca="false">IF(Matrice_OD!H95&lt;=Param!$B$2,3_Huff!H95*3_Huff!H$139*1_Friction!H95,0)</f>
        <v>0</v>
      </c>
      <c r="J95" s="43" t="n">
        <f aca="false">IF(Matrice_OD!I95&lt;=Param!$B$2,3_Huff!I95*3_Huff!I$139*1_Friction!I95,0)</f>
        <v>0</v>
      </c>
      <c r="K95" s="43" t="n">
        <f aca="false">IF(Matrice_OD!J95&lt;=Param!$B$2,3_Huff!J95*3_Huff!J$139*1_Friction!J95,0)</f>
        <v>0</v>
      </c>
      <c r="L95" s="43" t="n">
        <f aca="false">IF(Matrice_OD!K95&lt;=Param!$B$2,3_Huff!K95*3_Huff!K$139*1_Friction!K95,0)</f>
        <v>0</v>
      </c>
      <c r="M95" s="43" t="n">
        <f aca="false">IF(Matrice_OD!L95&lt;=Param!$B$2,3_Huff!L95*3_Huff!L$139*1_Friction!L95,0)</f>
        <v>0</v>
      </c>
      <c r="N95" s="43" t="n">
        <f aca="false">IF(Matrice_OD!M95&lt;=Param!$B$2,3_Huff!M95*3_Huff!M$139*1_Friction!M95,0)</f>
        <v>0</v>
      </c>
      <c r="O95" s="43" t="n">
        <f aca="false">IF(Matrice_OD!N95&lt;=Param!$B$2,3_Huff!N95*3_Huff!N$139*1_Friction!N95,0)</f>
        <v>0</v>
      </c>
      <c r="P95" s="43" t="n">
        <f aca="false">IF(Matrice_OD!O95&lt;=Param!$B$2,3_Huff!O95*3_Huff!O$139*1_Friction!O95,0)</f>
        <v>0</v>
      </c>
      <c r="Q95" s="43" t="n">
        <f aca="false">IF(Matrice_OD!P95&lt;=Param!$B$2,3_Huff!P95*3_Huff!P$139*1_Friction!P95,0)</f>
        <v>0</v>
      </c>
      <c r="R95" s="43" t="n">
        <f aca="false">IF(Matrice_OD!Q95&lt;=Param!$B$2,3_Huff!Q95*3_Huff!Q$139*1_Friction!Q95,0)</f>
        <v>0</v>
      </c>
      <c r="S95" s="43" t="n">
        <f aca="false">IF(Matrice_OD!R95&lt;=Param!$B$2,3_Huff!R95*3_Huff!R$139*1_Friction!R95,0)</f>
        <v>0</v>
      </c>
      <c r="T95" s="43" t="n">
        <f aca="false">IF(Matrice_OD!S95&lt;=Param!$B$2,3_Huff!S95*3_Huff!S$139*1_Friction!S95,0)</f>
        <v>0</v>
      </c>
      <c r="U95" s="43" t="n">
        <f aca="false">IF(Matrice_OD!T95&lt;=Param!$B$2,3_Huff!T95*3_Huff!T$139*1_Friction!T95,0)</f>
        <v>0</v>
      </c>
      <c r="V95" s="43" t="n">
        <f aca="false">IF(Matrice_OD!U95&lt;=Param!$B$2,3_Huff!U95*3_Huff!U$139*1_Friction!U95,0)</f>
        <v>0</v>
      </c>
      <c r="W95" s="43" t="n">
        <f aca="false">IF(Matrice_OD!V95&lt;=Param!$B$2,3_Huff!V95*3_Huff!V$139*1_Friction!V95,0)</f>
        <v>0</v>
      </c>
      <c r="X95" s="43" t="n">
        <f aca="false">IF(Matrice_OD!W95&lt;=Param!$B$2,3_Huff!W95*3_Huff!W$139*1_Friction!W95,0)</f>
        <v>0</v>
      </c>
      <c r="Y95" s="43" t="n">
        <f aca="false">IF(Matrice_OD!X95&lt;=Param!$B$2,3_Huff!X95*3_Huff!X$139*1_Friction!X95,0)</f>
        <v>0</v>
      </c>
      <c r="Z95" s="43" t="n">
        <f aca="false">IF(Matrice_OD!Y95&lt;=Param!$B$2,3_Huff!Y95*3_Huff!Y$139*1_Friction!Y95,0)</f>
        <v>0</v>
      </c>
      <c r="AA95" s="43" t="n">
        <f aca="false">IF(Matrice_OD!Z95&lt;=Param!$B$2,3_Huff!Z95*3_Huff!Z$139*1_Friction!Z95,0)</f>
        <v>0</v>
      </c>
      <c r="AB95" s="43" t="n">
        <f aca="false">IF(Matrice_OD!AA95&lt;=Param!$B$2,3_Huff!AA95*3_Huff!AA$139*1_Friction!AA95,0)</f>
        <v>0</v>
      </c>
      <c r="AC95" s="43" t="n">
        <f aca="false">IF(Matrice_OD!AB95&lt;=Param!$B$2,3_Huff!AB95*3_Huff!AB$139*1_Friction!AB95,0)</f>
        <v>0</v>
      </c>
      <c r="AD95" s="43" t="n">
        <f aca="false">IF(Matrice_OD!AC95&lt;=Param!$B$2,3_Huff!AC95*3_Huff!AC$139*1_Friction!AC95,0)</f>
        <v>8.30898318850259E-006</v>
      </c>
      <c r="AE95" s="43" t="n">
        <f aca="false">IF(Matrice_OD!AD95&lt;=Param!$B$2,3_Huff!AD95*3_Huff!AD$139*1_Friction!AD95,0)</f>
        <v>4.21145880372498E-005</v>
      </c>
      <c r="AF95" s="43" t="n">
        <f aca="false">IF(Matrice_OD!AE95&lt;=Param!$B$2,3_Huff!AE95*3_Huff!AE$139*1_Friction!AE95,0)</f>
        <v>2.59182565395437E-005</v>
      </c>
      <c r="AG95" s="43" t="n">
        <f aca="false">IF(Matrice_OD!AF95&lt;=Param!$B$2,3_Huff!AF95*3_Huff!AF$139*1_Friction!AF95,0)</f>
        <v>1.73873194503814E-005</v>
      </c>
      <c r="AH95" s="43" t="n">
        <f aca="false">IF(Matrice_OD!AG95&lt;=Param!$B$2,3_Huff!AG95*3_Huff!AG$139*1_Friction!AG95,0)</f>
        <v>0</v>
      </c>
      <c r="AI95" s="43" t="n">
        <f aca="false">IF(Matrice_OD!AH95&lt;=Param!$B$2,3_Huff!AH95*3_Huff!AH$139*1_Friction!AH95,0)</f>
        <v>0</v>
      </c>
      <c r="AJ95" s="43" t="n">
        <f aca="false">IF(Matrice_OD!AI95&lt;=Param!$B$2,3_Huff!AI95*3_Huff!AI$139*1_Friction!AI95,0)</f>
        <v>0</v>
      </c>
      <c r="AK95" s="43" t="n">
        <f aca="false">IF(Matrice_OD!AJ95&lt;=Param!$B$2,3_Huff!AJ95*3_Huff!AJ$139*1_Friction!AJ95,0)</f>
        <v>0</v>
      </c>
      <c r="AL95" s="43" t="n">
        <f aca="false">IF(Matrice_OD!AK95&lt;=Param!$B$2,3_Huff!AK95*3_Huff!AK$139*1_Friction!AK95,0)</f>
        <v>7.64997958991442E-005</v>
      </c>
      <c r="AM95" s="0" t="n">
        <f aca="false">IF(Matrice_OD!AL95&lt;=Param!$B$2,3_Huff!AL95*3_Huff!AL$139*1_Friction!AL95,0)</f>
        <v>8.46154636146924E-005</v>
      </c>
      <c r="AN95" s="0" t="n">
        <f aca="false">IF(Matrice_OD!AM95&lt;=Param!$B$2,3_Huff!AM95*3_Huff!AM$139*1_Friction!AM95,0)</f>
        <v>0</v>
      </c>
      <c r="AO95" s="0" t="n">
        <f aca="false">IF(Matrice_OD!AN95&lt;=Param!$B$2,3_Huff!AN95*3_Huff!AN$139*1_Friction!AN95,0)</f>
        <v>0</v>
      </c>
      <c r="AP95" s="49" t="n">
        <f aca="false">SUM(D95:AO95)</f>
        <v>0.000254844406729514</v>
      </c>
      <c r="AQ95" s="43" t="n">
        <f aca="false">AP95*1000</f>
        <v>0.254844406729514</v>
      </c>
      <c r="AR95" s="43" t="n">
        <f aca="false">RANK(AP95,AP$2:AP$136,0)</f>
        <v>34</v>
      </c>
      <c r="AS95" s="43" t="n">
        <f aca="false">COUNTIF(Matrice_OD!$C95:$AN95,"&lt;="&amp;Param!$B$2)</f>
        <v>6</v>
      </c>
    </row>
    <row r="96" customFormat="false" ht="15" hidden="false" customHeight="true" outlineLevel="0" collapsed="false">
      <c r="A96" s="0" t="s">
        <v>290</v>
      </c>
      <c r="B96" s="0" t="s">
        <v>291</v>
      </c>
      <c r="C96" s="0" t="n">
        <f aca="false">Demande!C96</f>
        <v>10444</v>
      </c>
      <c r="D96" s="43" t="n">
        <f aca="false">IF(Matrice_OD!C96&lt;=Param!$B$2,3_Huff!C96*3_Huff!C$139*1_Friction!C96,0)</f>
        <v>0</v>
      </c>
      <c r="E96" s="43" t="n">
        <f aca="false">IF(Matrice_OD!D96&lt;=Param!$B$2,3_Huff!D96*3_Huff!D$139*1_Friction!D96,0)</f>
        <v>0</v>
      </c>
      <c r="F96" s="43" t="n">
        <f aca="false">IF(Matrice_OD!E96&lt;=Param!$B$2,3_Huff!E96*3_Huff!E$139*1_Friction!E96,0)</f>
        <v>0</v>
      </c>
      <c r="G96" s="43" t="n">
        <f aca="false">IF(Matrice_OD!F96&lt;=Param!$B$2,3_Huff!F96*3_Huff!F$139*1_Friction!F96,0)</f>
        <v>0</v>
      </c>
      <c r="H96" s="43" t="n">
        <f aca="false">IF(Matrice_OD!G96&lt;=Param!$B$2,3_Huff!G96*3_Huff!G$139*1_Friction!G96,0)</f>
        <v>0</v>
      </c>
      <c r="I96" s="43" t="n">
        <f aca="false">IF(Matrice_OD!H96&lt;=Param!$B$2,3_Huff!H96*3_Huff!H$139*1_Friction!H96,0)</f>
        <v>0</v>
      </c>
      <c r="J96" s="43" t="n">
        <f aca="false">IF(Matrice_OD!I96&lt;=Param!$B$2,3_Huff!I96*3_Huff!I$139*1_Friction!I96,0)</f>
        <v>0</v>
      </c>
      <c r="K96" s="43" t="n">
        <f aca="false">IF(Matrice_OD!J96&lt;=Param!$B$2,3_Huff!J96*3_Huff!J$139*1_Friction!J96,0)</f>
        <v>0</v>
      </c>
      <c r="L96" s="43" t="n">
        <f aca="false">IF(Matrice_OD!K96&lt;=Param!$B$2,3_Huff!K96*3_Huff!K$139*1_Friction!K96,0)</f>
        <v>0</v>
      </c>
      <c r="M96" s="43" t="n">
        <f aca="false">IF(Matrice_OD!L96&lt;=Param!$B$2,3_Huff!L96*3_Huff!L$139*1_Friction!L96,0)</f>
        <v>0</v>
      </c>
      <c r="N96" s="43" t="n">
        <f aca="false">IF(Matrice_OD!M96&lt;=Param!$B$2,3_Huff!M96*3_Huff!M$139*1_Friction!M96,0)</f>
        <v>0</v>
      </c>
      <c r="O96" s="43" t="n">
        <f aca="false">IF(Matrice_OD!N96&lt;=Param!$B$2,3_Huff!N96*3_Huff!N$139*1_Friction!N96,0)</f>
        <v>0</v>
      </c>
      <c r="P96" s="43" t="n">
        <f aca="false">IF(Matrice_OD!O96&lt;=Param!$B$2,3_Huff!O96*3_Huff!O$139*1_Friction!O96,0)</f>
        <v>0</v>
      </c>
      <c r="Q96" s="43" t="n">
        <f aca="false">IF(Matrice_OD!P96&lt;=Param!$B$2,3_Huff!P96*3_Huff!P$139*1_Friction!P96,0)</f>
        <v>0</v>
      </c>
      <c r="R96" s="43" t="n">
        <f aca="false">IF(Matrice_OD!Q96&lt;=Param!$B$2,3_Huff!Q96*3_Huff!Q$139*1_Friction!Q96,0)</f>
        <v>0</v>
      </c>
      <c r="S96" s="43" t="n">
        <f aca="false">IF(Matrice_OD!R96&lt;=Param!$B$2,3_Huff!R96*3_Huff!R$139*1_Friction!R96,0)</f>
        <v>0</v>
      </c>
      <c r="T96" s="43" t="n">
        <f aca="false">IF(Matrice_OD!S96&lt;=Param!$B$2,3_Huff!S96*3_Huff!S$139*1_Friction!S96,0)</f>
        <v>0</v>
      </c>
      <c r="U96" s="43" t="n">
        <f aca="false">IF(Matrice_OD!T96&lt;=Param!$B$2,3_Huff!T96*3_Huff!T$139*1_Friction!T96,0)</f>
        <v>0</v>
      </c>
      <c r="V96" s="43" t="n">
        <f aca="false">IF(Matrice_OD!U96&lt;=Param!$B$2,3_Huff!U96*3_Huff!U$139*1_Friction!U96,0)</f>
        <v>0</v>
      </c>
      <c r="W96" s="43" t="n">
        <f aca="false">IF(Matrice_OD!V96&lt;=Param!$B$2,3_Huff!V96*3_Huff!V$139*1_Friction!V96,0)</f>
        <v>0</v>
      </c>
      <c r="X96" s="43" t="n">
        <f aca="false">IF(Matrice_OD!W96&lt;=Param!$B$2,3_Huff!W96*3_Huff!W$139*1_Friction!W96,0)</f>
        <v>0</v>
      </c>
      <c r="Y96" s="43" t="n">
        <f aca="false">IF(Matrice_OD!X96&lt;=Param!$B$2,3_Huff!X96*3_Huff!X$139*1_Friction!X96,0)</f>
        <v>0</v>
      </c>
      <c r="Z96" s="43" t="n">
        <f aca="false">IF(Matrice_OD!Y96&lt;=Param!$B$2,3_Huff!Y96*3_Huff!Y$139*1_Friction!Y96,0)</f>
        <v>0</v>
      </c>
      <c r="AA96" s="43" t="n">
        <f aca="false">IF(Matrice_OD!Z96&lt;=Param!$B$2,3_Huff!Z96*3_Huff!Z$139*1_Friction!Z96,0)</f>
        <v>0</v>
      </c>
      <c r="AB96" s="43" t="n">
        <f aca="false">IF(Matrice_OD!AA96&lt;=Param!$B$2,3_Huff!AA96*3_Huff!AA$139*1_Friction!AA96,0)</f>
        <v>0</v>
      </c>
      <c r="AC96" s="43" t="n">
        <f aca="false">IF(Matrice_OD!AB96&lt;=Param!$B$2,3_Huff!AB96*3_Huff!AB$139*1_Friction!AB96,0)</f>
        <v>0</v>
      </c>
      <c r="AD96" s="43" t="n">
        <f aca="false">IF(Matrice_OD!AC96&lt;=Param!$B$2,3_Huff!AC96*3_Huff!AC$139*1_Friction!AC96,0)</f>
        <v>9.73595042846795E-006</v>
      </c>
      <c r="AE96" s="43" t="n">
        <f aca="false">IF(Matrice_OD!AD96&lt;=Param!$B$2,3_Huff!AD96*3_Huff!AD$139*1_Friction!AD96,0)</f>
        <v>4.89311030143977E-005</v>
      </c>
      <c r="AF96" s="43" t="n">
        <f aca="false">IF(Matrice_OD!AE96&lt;=Param!$B$2,3_Huff!AE96*3_Huff!AE$139*1_Friction!AE96,0)</f>
        <v>2.95899753654043E-005</v>
      </c>
      <c r="AG96" s="43" t="n">
        <f aca="false">IF(Matrice_OD!AF96&lt;=Param!$B$2,3_Huff!AF96*3_Huff!AF$139*1_Friction!AF96,0)</f>
        <v>1.97264499162694E-005</v>
      </c>
      <c r="AH96" s="43" t="n">
        <f aca="false">IF(Matrice_OD!AG96&lt;=Param!$B$2,3_Huff!AG96*3_Huff!AG$139*1_Friction!AG96,0)</f>
        <v>0</v>
      </c>
      <c r="AI96" s="43" t="n">
        <f aca="false">IF(Matrice_OD!AH96&lt;=Param!$B$2,3_Huff!AH96*3_Huff!AH$139*1_Friction!AH96,0)</f>
        <v>0</v>
      </c>
      <c r="AJ96" s="43" t="n">
        <f aca="false">IF(Matrice_OD!AI96&lt;=Param!$B$2,3_Huff!AI96*3_Huff!AI$139*1_Friction!AI96,0)</f>
        <v>0</v>
      </c>
      <c r="AK96" s="43" t="n">
        <f aca="false">IF(Matrice_OD!AJ96&lt;=Param!$B$2,3_Huff!AJ96*3_Huff!AJ$139*1_Friction!AJ96,0)</f>
        <v>0</v>
      </c>
      <c r="AL96" s="43" t="n">
        <f aca="false">IF(Matrice_OD!AK96&lt;=Param!$B$2,3_Huff!AK96*3_Huff!AK$139*1_Friction!AK96,0)</f>
        <v>6.98954131121348E-005</v>
      </c>
      <c r="AM96" s="0" t="n">
        <f aca="false">IF(Matrice_OD!AL96&lt;=Param!$B$2,3_Huff!AL96*3_Huff!AL$139*1_Friction!AL96,0)</f>
        <v>9.93683579612918E-005</v>
      </c>
      <c r="AN96" s="0" t="n">
        <f aca="false">IF(Matrice_OD!AM96&lt;=Param!$B$2,3_Huff!AM96*3_Huff!AM$139*1_Friction!AM96,0)</f>
        <v>0</v>
      </c>
      <c r="AO96" s="0" t="n">
        <f aca="false">IF(Matrice_OD!AN96&lt;=Param!$B$2,3_Huff!AN96*3_Huff!AN$139*1_Friction!AN96,0)</f>
        <v>0</v>
      </c>
      <c r="AP96" s="48" t="n">
        <f aca="false">SUM(D96:AO96)</f>
        <v>0.000277247249797966</v>
      </c>
      <c r="AQ96" s="43" t="n">
        <f aca="false">AP96*1000</f>
        <v>0.277247249797966</v>
      </c>
      <c r="AR96" s="43" t="n">
        <f aca="false">RANK(AP96,AP$2:AP$136,0)</f>
        <v>29</v>
      </c>
      <c r="AS96" s="43" t="n">
        <f aca="false">COUNTIF(Matrice_OD!$C96:$AN96,"&lt;="&amp;Param!$B$2)</f>
        <v>6</v>
      </c>
    </row>
    <row r="97" customFormat="false" ht="15" hidden="false" customHeight="true" outlineLevel="0" collapsed="false">
      <c r="A97" s="0" t="s">
        <v>292</v>
      </c>
      <c r="B97" s="0" t="s">
        <v>293</v>
      </c>
      <c r="C97" s="0" t="n">
        <f aca="false">Demande!C97</f>
        <v>6781</v>
      </c>
      <c r="D97" s="43" t="n">
        <f aca="false">IF(Matrice_OD!C97&lt;=Param!$B$2,3_Huff!C97*3_Huff!C$139*1_Friction!C97,0)</f>
        <v>0</v>
      </c>
      <c r="E97" s="43" t="n">
        <f aca="false">IF(Matrice_OD!D97&lt;=Param!$B$2,3_Huff!D97*3_Huff!D$139*1_Friction!D97,0)</f>
        <v>0</v>
      </c>
      <c r="F97" s="43" t="n">
        <f aca="false">IF(Matrice_OD!E97&lt;=Param!$B$2,3_Huff!E97*3_Huff!E$139*1_Friction!E97,0)</f>
        <v>0</v>
      </c>
      <c r="G97" s="43" t="n">
        <f aca="false">IF(Matrice_OD!F97&lt;=Param!$B$2,3_Huff!F97*3_Huff!F$139*1_Friction!F97,0)</f>
        <v>0</v>
      </c>
      <c r="H97" s="43" t="n">
        <f aca="false">IF(Matrice_OD!G97&lt;=Param!$B$2,3_Huff!G97*3_Huff!G$139*1_Friction!G97,0)</f>
        <v>0</v>
      </c>
      <c r="I97" s="43" t="n">
        <f aca="false">IF(Matrice_OD!H97&lt;=Param!$B$2,3_Huff!H97*3_Huff!H$139*1_Friction!H97,0)</f>
        <v>0</v>
      </c>
      <c r="J97" s="43" t="n">
        <f aca="false">IF(Matrice_OD!I97&lt;=Param!$B$2,3_Huff!I97*3_Huff!I$139*1_Friction!I97,0)</f>
        <v>0</v>
      </c>
      <c r="K97" s="43" t="n">
        <f aca="false">IF(Matrice_OD!J97&lt;=Param!$B$2,3_Huff!J97*3_Huff!J$139*1_Friction!J97,0)</f>
        <v>0</v>
      </c>
      <c r="L97" s="43" t="n">
        <f aca="false">IF(Matrice_OD!K97&lt;=Param!$B$2,3_Huff!K97*3_Huff!K$139*1_Friction!K97,0)</f>
        <v>0</v>
      </c>
      <c r="M97" s="43" t="n">
        <f aca="false">IF(Matrice_OD!L97&lt;=Param!$B$2,3_Huff!L97*3_Huff!L$139*1_Friction!L97,0)</f>
        <v>0</v>
      </c>
      <c r="N97" s="43" t="n">
        <f aca="false">IF(Matrice_OD!M97&lt;=Param!$B$2,3_Huff!M97*3_Huff!M$139*1_Friction!M97,0)</f>
        <v>0</v>
      </c>
      <c r="O97" s="43" t="n">
        <f aca="false">IF(Matrice_OD!N97&lt;=Param!$B$2,3_Huff!N97*3_Huff!N$139*1_Friction!N97,0)</f>
        <v>0</v>
      </c>
      <c r="P97" s="43" t="n">
        <f aca="false">IF(Matrice_OD!O97&lt;=Param!$B$2,3_Huff!O97*3_Huff!O$139*1_Friction!O97,0)</f>
        <v>0</v>
      </c>
      <c r="Q97" s="43" t="n">
        <f aca="false">IF(Matrice_OD!P97&lt;=Param!$B$2,3_Huff!P97*3_Huff!P$139*1_Friction!P97,0)</f>
        <v>0</v>
      </c>
      <c r="R97" s="43" t="n">
        <f aca="false">IF(Matrice_OD!Q97&lt;=Param!$B$2,3_Huff!Q97*3_Huff!Q$139*1_Friction!Q97,0)</f>
        <v>0</v>
      </c>
      <c r="S97" s="43" t="n">
        <f aca="false">IF(Matrice_OD!R97&lt;=Param!$B$2,3_Huff!R97*3_Huff!R$139*1_Friction!R97,0)</f>
        <v>0</v>
      </c>
      <c r="T97" s="43" t="n">
        <f aca="false">IF(Matrice_OD!S97&lt;=Param!$B$2,3_Huff!S97*3_Huff!S$139*1_Friction!S97,0)</f>
        <v>0</v>
      </c>
      <c r="U97" s="43" t="n">
        <f aca="false">IF(Matrice_OD!T97&lt;=Param!$B$2,3_Huff!T97*3_Huff!T$139*1_Friction!T97,0)</f>
        <v>0</v>
      </c>
      <c r="V97" s="43" t="n">
        <f aca="false">IF(Matrice_OD!U97&lt;=Param!$B$2,3_Huff!U97*3_Huff!U$139*1_Friction!U97,0)</f>
        <v>0</v>
      </c>
      <c r="W97" s="43" t="n">
        <f aca="false">IF(Matrice_OD!V97&lt;=Param!$B$2,3_Huff!V97*3_Huff!V$139*1_Friction!V97,0)</f>
        <v>0</v>
      </c>
      <c r="X97" s="43" t="n">
        <f aca="false">IF(Matrice_OD!W97&lt;=Param!$B$2,3_Huff!W97*3_Huff!W$139*1_Friction!W97,0)</f>
        <v>0</v>
      </c>
      <c r="Y97" s="43" t="n">
        <f aca="false">IF(Matrice_OD!X97&lt;=Param!$B$2,3_Huff!X97*3_Huff!X$139*1_Friction!X97,0)</f>
        <v>0</v>
      </c>
      <c r="Z97" s="43" t="n">
        <f aca="false">IF(Matrice_OD!Y97&lt;=Param!$B$2,3_Huff!Y97*3_Huff!Y$139*1_Friction!Y97,0)</f>
        <v>0</v>
      </c>
      <c r="AA97" s="43" t="n">
        <f aca="false">IF(Matrice_OD!Z97&lt;=Param!$B$2,3_Huff!Z97*3_Huff!Z$139*1_Friction!Z97,0)</f>
        <v>0</v>
      </c>
      <c r="AB97" s="43" t="n">
        <f aca="false">IF(Matrice_OD!AA97&lt;=Param!$B$2,3_Huff!AA97*3_Huff!AA$139*1_Friction!AA97,0)</f>
        <v>0</v>
      </c>
      <c r="AC97" s="43" t="n">
        <f aca="false">IF(Matrice_OD!AB97&lt;=Param!$B$2,3_Huff!AB97*3_Huff!AB$139*1_Friction!AB97,0)</f>
        <v>0</v>
      </c>
      <c r="AD97" s="43" t="n">
        <f aca="false">IF(Matrice_OD!AC97&lt;=Param!$B$2,3_Huff!AC97*3_Huff!AC$139*1_Friction!AC97,0)</f>
        <v>4.9226576898032E-006</v>
      </c>
      <c r="AE97" s="43" t="n">
        <f aca="false">IF(Matrice_OD!AD97&lt;=Param!$B$2,3_Huff!AD97*3_Huff!AD$139*1_Friction!AD97,0)</f>
        <v>2.3902489073832E-005</v>
      </c>
      <c r="AF97" s="43" t="n">
        <f aca="false">IF(Matrice_OD!AE97&lt;=Param!$B$2,3_Huff!AE97*3_Huff!AE$139*1_Friction!AE97,0)</f>
        <v>1.62142641767343E-005</v>
      </c>
      <c r="AG97" s="43" t="n">
        <f aca="false">IF(Matrice_OD!AF97&lt;=Param!$B$2,3_Huff!AF97*3_Huff!AF$139*1_Friction!AF97,0)</f>
        <v>1.08381105169433E-005</v>
      </c>
      <c r="AH97" s="43" t="n">
        <f aca="false">IF(Matrice_OD!AG97&lt;=Param!$B$2,3_Huff!AG97*3_Huff!AG$139*1_Friction!AG97,0)</f>
        <v>0</v>
      </c>
      <c r="AI97" s="43" t="n">
        <f aca="false">IF(Matrice_OD!AH97&lt;=Param!$B$2,3_Huff!AH97*3_Huff!AH$139*1_Friction!AH97,0)</f>
        <v>0</v>
      </c>
      <c r="AJ97" s="43" t="n">
        <f aca="false">IF(Matrice_OD!AI97&lt;=Param!$B$2,3_Huff!AI97*3_Huff!AI$139*1_Friction!AI97,0)</f>
        <v>0</v>
      </c>
      <c r="AK97" s="43" t="n">
        <f aca="false">IF(Matrice_OD!AJ97&lt;=Param!$B$2,3_Huff!AJ97*3_Huff!AJ$139*1_Friction!AJ97,0)</f>
        <v>0</v>
      </c>
      <c r="AL97" s="43" t="n">
        <f aca="false">IF(Matrice_OD!AK97&lt;=Param!$B$2,3_Huff!AK97*3_Huff!AK$139*1_Friction!AK97,0)</f>
        <v>3.08355526797471E-005</v>
      </c>
      <c r="AM97" s="0" t="n">
        <f aca="false">IF(Matrice_OD!AL97&lt;=Param!$B$2,3_Huff!AL97*3_Huff!AL$139*1_Friction!AL97,0)</f>
        <v>4.93434144937663E-005</v>
      </c>
      <c r="AN97" s="0" t="n">
        <f aca="false">IF(Matrice_OD!AM97&lt;=Param!$B$2,3_Huff!AM97*3_Huff!AM$139*1_Friction!AM97,0)</f>
        <v>0</v>
      </c>
      <c r="AO97" s="0" t="n">
        <f aca="false">IF(Matrice_OD!AN97&lt;=Param!$B$2,3_Huff!AN97*3_Huff!AN$139*1_Friction!AN97,0)</f>
        <v>0</v>
      </c>
      <c r="AP97" s="49" t="n">
        <f aca="false">SUM(D97:AO97)</f>
        <v>0.000136056488630826</v>
      </c>
      <c r="AQ97" s="43" t="n">
        <f aca="false">AP97*1000</f>
        <v>0.136056488630826</v>
      </c>
      <c r="AR97" s="43" t="n">
        <f aca="false">RANK(AP97,AP$2:AP$136,0)</f>
        <v>61</v>
      </c>
      <c r="AS97" s="43" t="n">
        <f aca="false">COUNTIF(Matrice_OD!$C97:$AN97,"&lt;="&amp;Param!$B$2)</f>
        <v>6</v>
      </c>
    </row>
    <row r="98" customFormat="false" ht="15" hidden="false" customHeight="true" outlineLevel="0" collapsed="false">
      <c r="A98" s="0" t="s">
        <v>294</v>
      </c>
      <c r="B98" s="0" t="s">
        <v>295</v>
      </c>
      <c r="C98" s="0" t="n">
        <f aca="false">Demande!C98</f>
        <v>8669</v>
      </c>
      <c r="D98" s="43" t="n">
        <f aca="false">IF(Matrice_OD!C98&lt;=Param!$B$2,3_Huff!C98*3_Huff!C$139*1_Friction!C98,0)</f>
        <v>0</v>
      </c>
      <c r="E98" s="43" t="n">
        <f aca="false">IF(Matrice_OD!D98&lt;=Param!$B$2,3_Huff!D98*3_Huff!D$139*1_Friction!D98,0)</f>
        <v>0</v>
      </c>
      <c r="F98" s="43" t="n">
        <f aca="false">IF(Matrice_OD!E98&lt;=Param!$B$2,3_Huff!E98*3_Huff!E$139*1_Friction!E98,0)</f>
        <v>0</v>
      </c>
      <c r="G98" s="43" t="n">
        <f aca="false">IF(Matrice_OD!F98&lt;=Param!$B$2,3_Huff!F98*3_Huff!F$139*1_Friction!F98,0)</f>
        <v>0</v>
      </c>
      <c r="H98" s="43" t="n">
        <f aca="false">IF(Matrice_OD!G98&lt;=Param!$B$2,3_Huff!G98*3_Huff!G$139*1_Friction!G98,0)</f>
        <v>0</v>
      </c>
      <c r="I98" s="43" t="n">
        <f aca="false">IF(Matrice_OD!H98&lt;=Param!$B$2,3_Huff!H98*3_Huff!H$139*1_Friction!H98,0)</f>
        <v>0</v>
      </c>
      <c r="J98" s="43" t="n">
        <f aca="false">IF(Matrice_OD!I98&lt;=Param!$B$2,3_Huff!I98*3_Huff!I$139*1_Friction!I98,0)</f>
        <v>0</v>
      </c>
      <c r="K98" s="43" t="n">
        <f aca="false">IF(Matrice_OD!J98&lt;=Param!$B$2,3_Huff!J98*3_Huff!J$139*1_Friction!J98,0)</f>
        <v>0</v>
      </c>
      <c r="L98" s="43" t="n">
        <f aca="false">IF(Matrice_OD!K98&lt;=Param!$B$2,3_Huff!K98*3_Huff!K$139*1_Friction!K98,0)</f>
        <v>0</v>
      </c>
      <c r="M98" s="43" t="n">
        <f aca="false">IF(Matrice_OD!L98&lt;=Param!$B$2,3_Huff!L98*3_Huff!L$139*1_Friction!L98,0)</f>
        <v>0</v>
      </c>
      <c r="N98" s="43" t="n">
        <f aca="false">IF(Matrice_OD!M98&lt;=Param!$B$2,3_Huff!M98*3_Huff!M$139*1_Friction!M98,0)</f>
        <v>0</v>
      </c>
      <c r="O98" s="43" t="n">
        <f aca="false">IF(Matrice_OD!N98&lt;=Param!$B$2,3_Huff!N98*3_Huff!N$139*1_Friction!N98,0)</f>
        <v>0</v>
      </c>
      <c r="P98" s="43" t="n">
        <f aca="false">IF(Matrice_OD!O98&lt;=Param!$B$2,3_Huff!O98*3_Huff!O$139*1_Friction!O98,0)</f>
        <v>0</v>
      </c>
      <c r="Q98" s="43" t="n">
        <f aca="false">IF(Matrice_OD!P98&lt;=Param!$B$2,3_Huff!P98*3_Huff!P$139*1_Friction!P98,0)</f>
        <v>0</v>
      </c>
      <c r="R98" s="43" t="n">
        <f aca="false">IF(Matrice_OD!Q98&lt;=Param!$B$2,3_Huff!Q98*3_Huff!Q$139*1_Friction!Q98,0)</f>
        <v>0</v>
      </c>
      <c r="S98" s="43" t="n">
        <f aca="false">IF(Matrice_OD!R98&lt;=Param!$B$2,3_Huff!R98*3_Huff!R$139*1_Friction!R98,0)</f>
        <v>0</v>
      </c>
      <c r="T98" s="43" t="n">
        <f aca="false">IF(Matrice_OD!S98&lt;=Param!$B$2,3_Huff!S98*3_Huff!S$139*1_Friction!S98,0)</f>
        <v>0</v>
      </c>
      <c r="U98" s="43" t="n">
        <f aca="false">IF(Matrice_OD!T98&lt;=Param!$B$2,3_Huff!T98*3_Huff!T$139*1_Friction!T98,0)</f>
        <v>0</v>
      </c>
      <c r="V98" s="43" t="n">
        <f aca="false">IF(Matrice_OD!U98&lt;=Param!$B$2,3_Huff!U98*3_Huff!U$139*1_Friction!U98,0)</f>
        <v>0</v>
      </c>
      <c r="W98" s="43" t="n">
        <f aca="false">IF(Matrice_OD!V98&lt;=Param!$B$2,3_Huff!V98*3_Huff!V$139*1_Friction!V98,0)</f>
        <v>0</v>
      </c>
      <c r="X98" s="43" t="n">
        <f aca="false">IF(Matrice_OD!W98&lt;=Param!$B$2,3_Huff!W98*3_Huff!W$139*1_Friction!W98,0)</f>
        <v>0</v>
      </c>
      <c r="Y98" s="43" t="n">
        <f aca="false">IF(Matrice_OD!X98&lt;=Param!$B$2,3_Huff!X98*3_Huff!X$139*1_Friction!X98,0)</f>
        <v>0</v>
      </c>
      <c r="Z98" s="43" t="n">
        <f aca="false">IF(Matrice_OD!Y98&lt;=Param!$B$2,3_Huff!Y98*3_Huff!Y$139*1_Friction!Y98,0)</f>
        <v>0</v>
      </c>
      <c r="AA98" s="43" t="n">
        <f aca="false">IF(Matrice_OD!Z98&lt;=Param!$B$2,3_Huff!Z98*3_Huff!Z$139*1_Friction!Z98,0)</f>
        <v>0</v>
      </c>
      <c r="AB98" s="43" t="n">
        <f aca="false">IF(Matrice_OD!AA98&lt;=Param!$B$2,3_Huff!AA98*3_Huff!AA$139*1_Friction!AA98,0)</f>
        <v>0</v>
      </c>
      <c r="AC98" s="43" t="n">
        <f aca="false">IF(Matrice_OD!AB98&lt;=Param!$B$2,3_Huff!AB98*3_Huff!AB$139*1_Friction!AB98,0)</f>
        <v>0</v>
      </c>
      <c r="AD98" s="43" t="n">
        <f aca="false">IF(Matrice_OD!AC98&lt;=Param!$B$2,3_Huff!AC98*3_Huff!AC$139*1_Friction!AC98,0)</f>
        <v>8.02403974751173E-006</v>
      </c>
      <c r="AE98" s="43" t="n">
        <f aca="false">IF(Matrice_OD!AD98&lt;=Param!$B$2,3_Huff!AD98*3_Huff!AD$139*1_Friction!AD98,0)</f>
        <v>3.92735998444906E-005</v>
      </c>
      <c r="AF98" s="43" t="n">
        <f aca="false">IF(Matrice_OD!AE98&lt;=Param!$B$2,3_Huff!AE98*3_Huff!AE$139*1_Friction!AE98,0)</f>
        <v>2.27876773507635E-005</v>
      </c>
      <c r="AG98" s="43" t="n">
        <f aca="false">IF(Matrice_OD!AF98&lt;=Param!$B$2,3_Huff!AF98*3_Huff!AF$139*1_Friction!AF98,0)</f>
        <v>1.5268469412108E-005</v>
      </c>
      <c r="AH98" s="43" t="n">
        <f aca="false">IF(Matrice_OD!AG98&lt;=Param!$B$2,3_Huff!AG98*3_Huff!AG$139*1_Friction!AG98,0)</f>
        <v>0</v>
      </c>
      <c r="AI98" s="43" t="n">
        <f aca="false">IF(Matrice_OD!AH98&lt;=Param!$B$2,3_Huff!AH98*3_Huff!AH$139*1_Friction!AH98,0)</f>
        <v>0</v>
      </c>
      <c r="AJ98" s="43" t="n">
        <f aca="false">IF(Matrice_OD!AI98&lt;=Param!$B$2,3_Huff!AI98*3_Huff!AI$139*1_Friction!AI98,0)</f>
        <v>0</v>
      </c>
      <c r="AK98" s="43" t="n">
        <f aca="false">IF(Matrice_OD!AJ98&lt;=Param!$B$2,3_Huff!AJ98*3_Huff!AJ$139*1_Friction!AJ98,0)</f>
        <v>0</v>
      </c>
      <c r="AL98" s="43" t="n">
        <f aca="false">IF(Matrice_OD!AK98&lt;=Param!$B$2,3_Huff!AK98*3_Huff!AK$139*1_Friction!AK98,0)</f>
        <v>4.49710239478053E-005</v>
      </c>
      <c r="AM98" s="0" t="n">
        <f aca="false">IF(Matrice_OD!AL98&lt;=Param!$B$2,3_Huff!AL98*3_Huff!AL$139*1_Friction!AL98,0)</f>
        <v>7.70022776486984E-005</v>
      </c>
      <c r="AN98" s="0" t="n">
        <f aca="false">IF(Matrice_OD!AM98&lt;=Param!$B$2,3_Huff!AM98*3_Huff!AM$139*1_Friction!AM98,0)</f>
        <v>0</v>
      </c>
      <c r="AO98" s="0" t="n">
        <f aca="false">IF(Matrice_OD!AN98&lt;=Param!$B$2,3_Huff!AN98*3_Huff!AN$139*1_Friction!AN98,0)</f>
        <v>0</v>
      </c>
      <c r="AP98" s="48" t="n">
        <f aca="false">SUM(D98:AO98)</f>
        <v>0.000207327087951378</v>
      </c>
      <c r="AQ98" s="43" t="n">
        <f aca="false">AP98*1000</f>
        <v>0.207327087951378</v>
      </c>
      <c r="AR98" s="43" t="n">
        <f aca="false">RANK(AP98,AP$2:AP$136,0)</f>
        <v>44</v>
      </c>
      <c r="AS98" s="43" t="n">
        <f aca="false">COUNTIF(Matrice_OD!$C98:$AN98,"&lt;="&amp;Param!$B$2)</f>
        <v>6</v>
      </c>
    </row>
    <row r="99" customFormat="false" ht="15" hidden="false" customHeight="true" outlineLevel="0" collapsed="false">
      <c r="A99" s="0" t="s">
        <v>296</v>
      </c>
      <c r="B99" s="0" t="s">
        <v>297</v>
      </c>
      <c r="C99" s="0" t="n">
        <f aca="false">Demande!C99</f>
        <v>2510</v>
      </c>
      <c r="D99" s="43" t="n">
        <f aca="false">IF(Matrice_OD!C99&lt;=Param!$B$2,3_Huff!C99*3_Huff!C$139*1_Friction!C99,0)</f>
        <v>0</v>
      </c>
      <c r="E99" s="43" t="n">
        <f aca="false">IF(Matrice_OD!D99&lt;=Param!$B$2,3_Huff!D99*3_Huff!D$139*1_Friction!D99,0)</f>
        <v>0</v>
      </c>
      <c r="F99" s="43" t="n">
        <f aca="false">IF(Matrice_OD!E99&lt;=Param!$B$2,3_Huff!E99*3_Huff!E$139*1_Friction!E99,0)</f>
        <v>0</v>
      </c>
      <c r="G99" s="43" t="n">
        <f aca="false">IF(Matrice_OD!F99&lt;=Param!$B$2,3_Huff!F99*3_Huff!F$139*1_Friction!F99,0)</f>
        <v>0</v>
      </c>
      <c r="H99" s="43" t="n">
        <f aca="false">IF(Matrice_OD!G99&lt;=Param!$B$2,3_Huff!G99*3_Huff!G$139*1_Friction!G99,0)</f>
        <v>0</v>
      </c>
      <c r="I99" s="43" t="n">
        <f aca="false">IF(Matrice_OD!H99&lt;=Param!$B$2,3_Huff!H99*3_Huff!H$139*1_Friction!H99,0)</f>
        <v>0</v>
      </c>
      <c r="J99" s="43" t="n">
        <f aca="false">IF(Matrice_OD!I99&lt;=Param!$B$2,3_Huff!I99*3_Huff!I$139*1_Friction!I99,0)</f>
        <v>0</v>
      </c>
      <c r="K99" s="43" t="n">
        <f aca="false">IF(Matrice_OD!J99&lt;=Param!$B$2,3_Huff!J99*3_Huff!J$139*1_Friction!J99,0)</f>
        <v>0</v>
      </c>
      <c r="L99" s="43" t="n">
        <f aca="false">IF(Matrice_OD!K99&lt;=Param!$B$2,3_Huff!K99*3_Huff!K$139*1_Friction!K99,0)</f>
        <v>0</v>
      </c>
      <c r="M99" s="43" t="n">
        <f aca="false">IF(Matrice_OD!L99&lt;=Param!$B$2,3_Huff!L99*3_Huff!L$139*1_Friction!L99,0)</f>
        <v>0</v>
      </c>
      <c r="N99" s="43" t="n">
        <f aca="false">IF(Matrice_OD!M99&lt;=Param!$B$2,3_Huff!M99*3_Huff!M$139*1_Friction!M99,0)</f>
        <v>0</v>
      </c>
      <c r="O99" s="43" t="n">
        <f aca="false">IF(Matrice_OD!N99&lt;=Param!$B$2,3_Huff!N99*3_Huff!N$139*1_Friction!N99,0)</f>
        <v>0</v>
      </c>
      <c r="P99" s="43" t="n">
        <f aca="false">IF(Matrice_OD!O99&lt;=Param!$B$2,3_Huff!O99*3_Huff!O$139*1_Friction!O99,0)</f>
        <v>0</v>
      </c>
      <c r="Q99" s="43" t="n">
        <f aca="false">IF(Matrice_OD!P99&lt;=Param!$B$2,3_Huff!P99*3_Huff!P$139*1_Friction!P99,0)</f>
        <v>0</v>
      </c>
      <c r="R99" s="43" t="n">
        <f aca="false">IF(Matrice_OD!Q99&lt;=Param!$B$2,3_Huff!Q99*3_Huff!Q$139*1_Friction!Q99,0)</f>
        <v>0</v>
      </c>
      <c r="S99" s="43" t="n">
        <f aca="false">IF(Matrice_OD!R99&lt;=Param!$B$2,3_Huff!R99*3_Huff!R$139*1_Friction!R99,0)</f>
        <v>0</v>
      </c>
      <c r="T99" s="43" t="n">
        <f aca="false">IF(Matrice_OD!S99&lt;=Param!$B$2,3_Huff!S99*3_Huff!S$139*1_Friction!S99,0)</f>
        <v>0</v>
      </c>
      <c r="U99" s="43" t="n">
        <f aca="false">IF(Matrice_OD!T99&lt;=Param!$B$2,3_Huff!T99*3_Huff!T$139*1_Friction!T99,0)</f>
        <v>0</v>
      </c>
      <c r="V99" s="43" t="n">
        <f aca="false">IF(Matrice_OD!U99&lt;=Param!$B$2,3_Huff!U99*3_Huff!U$139*1_Friction!U99,0)</f>
        <v>0</v>
      </c>
      <c r="W99" s="43" t="n">
        <f aca="false">IF(Matrice_OD!V99&lt;=Param!$B$2,3_Huff!V99*3_Huff!V$139*1_Friction!V99,0)</f>
        <v>0</v>
      </c>
      <c r="X99" s="43" t="n">
        <f aca="false">IF(Matrice_OD!W99&lt;=Param!$B$2,3_Huff!W99*3_Huff!W$139*1_Friction!W99,0)</f>
        <v>0</v>
      </c>
      <c r="Y99" s="43" t="n">
        <f aca="false">IF(Matrice_OD!X99&lt;=Param!$B$2,3_Huff!X99*3_Huff!X$139*1_Friction!X99,0)</f>
        <v>0</v>
      </c>
      <c r="Z99" s="43" t="n">
        <f aca="false">IF(Matrice_OD!Y99&lt;=Param!$B$2,3_Huff!Y99*3_Huff!Y$139*1_Friction!Y99,0)</f>
        <v>0</v>
      </c>
      <c r="AA99" s="43" t="n">
        <f aca="false">IF(Matrice_OD!Z99&lt;=Param!$B$2,3_Huff!Z99*3_Huff!Z$139*1_Friction!Z99,0)</f>
        <v>0</v>
      </c>
      <c r="AB99" s="43" t="n">
        <f aca="false">IF(Matrice_OD!AA99&lt;=Param!$B$2,3_Huff!AA99*3_Huff!AA$139*1_Friction!AA99,0)</f>
        <v>0</v>
      </c>
      <c r="AC99" s="43" t="n">
        <f aca="false">IF(Matrice_OD!AB99&lt;=Param!$B$2,3_Huff!AB99*3_Huff!AB$139*1_Friction!AB99,0)</f>
        <v>0</v>
      </c>
      <c r="AD99" s="43" t="n">
        <f aca="false">IF(Matrice_OD!AC99&lt;=Param!$B$2,3_Huff!AC99*3_Huff!AC$139*1_Friction!AC99,0)</f>
        <v>5.62097859397705E-007</v>
      </c>
      <c r="AE99" s="43" t="n">
        <f aca="false">IF(Matrice_OD!AD99&lt;=Param!$B$2,3_Huff!AD99*3_Huff!AD$139*1_Friction!AD99,0)</f>
        <v>2.98995809596647E-006</v>
      </c>
      <c r="AF99" s="43" t="n">
        <f aca="false">IF(Matrice_OD!AE99&lt;=Param!$B$2,3_Huff!AE99*3_Huff!AE$139*1_Friction!AE99,0)</f>
        <v>1.80295647567237E-006</v>
      </c>
      <c r="AG99" s="43" t="n">
        <f aca="false">IF(Matrice_OD!AF99&lt;=Param!$B$2,3_Huff!AF99*3_Huff!AF$139*1_Friction!AF99,0)</f>
        <v>1.0842851235387E-006</v>
      </c>
      <c r="AH99" s="43" t="n">
        <f aca="false">IF(Matrice_OD!AG99&lt;=Param!$B$2,3_Huff!AG99*3_Huff!AG$139*1_Friction!AG99,0)</f>
        <v>0</v>
      </c>
      <c r="AI99" s="43" t="n">
        <f aca="false">IF(Matrice_OD!AH99&lt;=Param!$B$2,3_Huff!AH99*3_Huff!AH$139*1_Friction!AH99,0)</f>
        <v>0</v>
      </c>
      <c r="AJ99" s="43" t="n">
        <f aca="false">IF(Matrice_OD!AI99&lt;=Param!$B$2,3_Huff!AI99*3_Huff!AI$139*1_Friction!AI99,0)</f>
        <v>0</v>
      </c>
      <c r="AK99" s="43" t="n">
        <f aca="false">IF(Matrice_OD!AJ99&lt;=Param!$B$2,3_Huff!AJ99*3_Huff!AJ$139*1_Friction!AJ99,0)</f>
        <v>0</v>
      </c>
      <c r="AL99" s="43" t="n">
        <f aca="false">IF(Matrice_OD!AK99&lt;=Param!$B$2,3_Huff!AK99*3_Huff!AK$139*1_Friction!AK99,0)</f>
        <v>2.20724654714621E-006</v>
      </c>
      <c r="AM99" s="0" t="n">
        <f aca="false">IF(Matrice_OD!AL99&lt;=Param!$B$2,3_Huff!AL99*3_Huff!AL$139*1_Friction!AL99,0)</f>
        <v>5.62422745203219E-006</v>
      </c>
      <c r="AN99" s="0" t="n">
        <f aca="false">IF(Matrice_OD!AM99&lt;=Param!$B$2,3_Huff!AM99*3_Huff!AM$139*1_Friction!AM99,0)</f>
        <v>0</v>
      </c>
      <c r="AO99" s="0" t="n">
        <f aca="false">IF(Matrice_OD!AN99&lt;=Param!$B$2,3_Huff!AN99*3_Huff!AN$139*1_Friction!AN99,0)</f>
        <v>0</v>
      </c>
      <c r="AP99" s="49" t="n">
        <f aca="false">SUM(D99:AO99)</f>
        <v>1.42707715537536E-005</v>
      </c>
      <c r="AQ99" s="43" t="n">
        <f aca="false">AP99*1000</f>
        <v>0.0142707715537536</v>
      </c>
      <c r="AR99" s="43" t="n">
        <f aca="false">RANK(AP99,AP$2:AP$136,0)</f>
        <v>115</v>
      </c>
      <c r="AS99" s="43" t="n">
        <f aca="false">COUNTIF(Matrice_OD!$C99:$AN99,"&lt;="&amp;Param!$B$2)</f>
        <v>6</v>
      </c>
    </row>
    <row r="100" customFormat="false" ht="15" hidden="false" customHeight="true" outlineLevel="0" collapsed="false">
      <c r="A100" s="0" t="s">
        <v>298</v>
      </c>
      <c r="B100" s="0" t="s">
        <v>299</v>
      </c>
      <c r="C100" s="0" t="n">
        <f aca="false">Demande!C100</f>
        <v>36560</v>
      </c>
      <c r="D100" s="43" t="n">
        <f aca="false">IF(Matrice_OD!C100&lt;=Param!$B$2,3_Huff!C100*3_Huff!C$139*1_Friction!C100,0)</f>
        <v>0</v>
      </c>
      <c r="E100" s="43" t="n">
        <f aca="false">IF(Matrice_OD!D100&lt;=Param!$B$2,3_Huff!D100*3_Huff!D$139*1_Friction!D100,0)</f>
        <v>0</v>
      </c>
      <c r="F100" s="43" t="n">
        <f aca="false">IF(Matrice_OD!E100&lt;=Param!$B$2,3_Huff!E100*3_Huff!E$139*1_Friction!E100,0)</f>
        <v>0</v>
      </c>
      <c r="G100" s="43" t="n">
        <f aca="false">IF(Matrice_OD!F100&lt;=Param!$B$2,3_Huff!F100*3_Huff!F$139*1_Friction!F100,0)</f>
        <v>0</v>
      </c>
      <c r="H100" s="43" t="n">
        <f aca="false">IF(Matrice_OD!G100&lt;=Param!$B$2,3_Huff!G100*3_Huff!G$139*1_Friction!G100,0)</f>
        <v>0</v>
      </c>
      <c r="I100" s="43" t="n">
        <f aca="false">IF(Matrice_OD!H100&lt;=Param!$B$2,3_Huff!H100*3_Huff!H$139*1_Friction!H100,0)</f>
        <v>0</v>
      </c>
      <c r="J100" s="43" t="n">
        <f aca="false">IF(Matrice_OD!I100&lt;=Param!$B$2,3_Huff!I100*3_Huff!I$139*1_Friction!I100,0)</f>
        <v>0</v>
      </c>
      <c r="K100" s="43" t="n">
        <f aca="false">IF(Matrice_OD!J100&lt;=Param!$B$2,3_Huff!J100*3_Huff!J$139*1_Friction!J100,0)</f>
        <v>0</v>
      </c>
      <c r="L100" s="43" t="n">
        <f aca="false">IF(Matrice_OD!K100&lt;=Param!$B$2,3_Huff!K100*3_Huff!K$139*1_Friction!K100,0)</f>
        <v>0</v>
      </c>
      <c r="M100" s="43" t="n">
        <f aca="false">IF(Matrice_OD!L100&lt;=Param!$B$2,3_Huff!L100*3_Huff!L$139*1_Friction!L100,0)</f>
        <v>0</v>
      </c>
      <c r="N100" s="43" t="n">
        <f aca="false">IF(Matrice_OD!M100&lt;=Param!$B$2,3_Huff!M100*3_Huff!M$139*1_Friction!M100,0)</f>
        <v>0</v>
      </c>
      <c r="O100" s="43" t="n">
        <f aca="false">IF(Matrice_OD!N100&lt;=Param!$B$2,3_Huff!N100*3_Huff!N$139*1_Friction!N100,0)</f>
        <v>0</v>
      </c>
      <c r="P100" s="43" t="n">
        <f aca="false">IF(Matrice_OD!O100&lt;=Param!$B$2,3_Huff!O100*3_Huff!O$139*1_Friction!O100,0)</f>
        <v>0</v>
      </c>
      <c r="Q100" s="43" t="n">
        <f aca="false">IF(Matrice_OD!P100&lt;=Param!$B$2,3_Huff!P100*3_Huff!P$139*1_Friction!P100,0)</f>
        <v>0</v>
      </c>
      <c r="R100" s="43" t="n">
        <f aca="false">IF(Matrice_OD!Q100&lt;=Param!$B$2,3_Huff!Q100*3_Huff!Q$139*1_Friction!Q100,0)</f>
        <v>0</v>
      </c>
      <c r="S100" s="43" t="n">
        <f aca="false">IF(Matrice_OD!R100&lt;=Param!$B$2,3_Huff!R100*3_Huff!R$139*1_Friction!R100,0)</f>
        <v>0</v>
      </c>
      <c r="T100" s="43" t="n">
        <f aca="false">IF(Matrice_OD!S100&lt;=Param!$B$2,3_Huff!S100*3_Huff!S$139*1_Friction!S100,0)</f>
        <v>0</v>
      </c>
      <c r="U100" s="43" t="n">
        <f aca="false">IF(Matrice_OD!T100&lt;=Param!$B$2,3_Huff!T100*3_Huff!T$139*1_Friction!T100,0)</f>
        <v>0</v>
      </c>
      <c r="V100" s="43" t="n">
        <f aca="false">IF(Matrice_OD!U100&lt;=Param!$B$2,3_Huff!U100*3_Huff!U$139*1_Friction!U100,0)</f>
        <v>0</v>
      </c>
      <c r="W100" s="43" t="n">
        <f aca="false">IF(Matrice_OD!V100&lt;=Param!$B$2,3_Huff!V100*3_Huff!V$139*1_Friction!V100,0)</f>
        <v>0</v>
      </c>
      <c r="X100" s="43" t="n">
        <f aca="false">IF(Matrice_OD!W100&lt;=Param!$B$2,3_Huff!W100*3_Huff!W$139*1_Friction!W100,0)</f>
        <v>0</v>
      </c>
      <c r="Y100" s="43" t="n">
        <f aca="false">IF(Matrice_OD!X100&lt;=Param!$B$2,3_Huff!X100*3_Huff!X$139*1_Friction!X100,0)</f>
        <v>0</v>
      </c>
      <c r="Z100" s="43" t="n">
        <f aca="false">IF(Matrice_OD!Y100&lt;=Param!$B$2,3_Huff!Y100*3_Huff!Y$139*1_Friction!Y100,0)</f>
        <v>0</v>
      </c>
      <c r="AA100" s="43" t="n">
        <f aca="false">IF(Matrice_OD!Z100&lt;=Param!$B$2,3_Huff!Z100*3_Huff!Z$139*1_Friction!Z100,0)</f>
        <v>0</v>
      </c>
      <c r="AB100" s="43" t="n">
        <f aca="false">IF(Matrice_OD!AA100&lt;=Param!$B$2,3_Huff!AA100*3_Huff!AA$139*1_Friction!AA100,0)</f>
        <v>0</v>
      </c>
      <c r="AC100" s="43" t="n">
        <f aca="false">IF(Matrice_OD!AB100&lt;=Param!$B$2,3_Huff!AB100*3_Huff!AB$139*1_Friction!AB100,0)</f>
        <v>0</v>
      </c>
      <c r="AD100" s="43" t="n">
        <f aca="false">IF(Matrice_OD!AC100&lt;=Param!$B$2,3_Huff!AC100*3_Huff!AC$139*1_Friction!AC100,0)</f>
        <v>3.59114052793544E-006</v>
      </c>
      <c r="AE100" s="43" t="n">
        <f aca="false">IF(Matrice_OD!AD100&lt;=Param!$B$2,3_Huff!AD100*3_Huff!AD$139*1_Friction!AD100,0)</f>
        <v>1.86332212562867E-005</v>
      </c>
      <c r="AF100" s="43" t="n">
        <f aca="false">IF(Matrice_OD!AE100&lt;=Param!$B$2,3_Huff!AE100*3_Huff!AE$139*1_Friction!AE100,0)</f>
        <v>1.12396866920408E-005</v>
      </c>
      <c r="AG100" s="43" t="n">
        <f aca="false">IF(Matrice_OD!AF100&lt;=Param!$B$2,3_Huff!AF100*3_Huff!AF$139*1_Friction!AF100,0)</f>
        <v>7.07150526896189E-006</v>
      </c>
      <c r="AH100" s="43" t="n">
        <f aca="false">IF(Matrice_OD!AG100&lt;=Param!$B$2,3_Huff!AG100*3_Huff!AG$139*1_Friction!AG100,0)</f>
        <v>0</v>
      </c>
      <c r="AI100" s="43" t="n">
        <f aca="false">IF(Matrice_OD!AH100&lt;=Param!$B$2,3_Huff!AH100*3_Huff!AH$139*1_Friction!AH100,0)</f>
        <v>0</v>
      </c>
      <c r="AJ100" s="43" t="n">
        <f aca="false">IF(Matrice_OD!AI100&lt;=Param!$B$2,3_Huff!AI100*3_Huff!AI$139*1_Friction!AI100,0)</f>
        <v>0</v>
      </c>
      <c r="AK100" s="43" t="n">
        <f aca="false">IF(Matrice_OD!AJ100&lt;=Param!$B$2,3_Huff!AJ100*3_Huff!AJ$139*1_Friction!AJ100,0)</f>
        <v>0</v>
      </c>
      <c r="AL100" s="43" t="n">
        <f aca="false">IF(Matrice_OD!AK100&lt;=Param!$B$2,3_Huff!AK100*3_Huff!AK$139*1_Friction!AK100,0)</f>
        <v>1.83682239918316E-005</v>
      </c>
      <c r="AM100" s="0" t="n">
        <f aca="false">IF(Matrice_OD!AL100&lt;=Param!$B$2,3_Huff!AL100*3_Huff!AL$139*1_Friction!AL100,0)</f>
        <v>3.63460914558823E-005</v>
      </c>
      <c r="AN100" s="0" t="n">
        <f aca="false">IF(Matrice_OD!AM100&lt;=Param!$B$2,3_Huff!AM100*3_Huff!AM$139*1_Friction!AM100,0)</f>
        <v>0</v>
      </c>
      <c r="AO100" s="0" t="n">
        <f aca="false">IF(Matrice_OD!AN100&lt;=Param!$B$2,3_Huff!AN100*3_Huff!AN$139*1_Friction!AN100,0)</f>
        <v>0</v>
      </c>
      <c r="AP100" s="48" t="n">
        <f aca="false">SUM(D100:AO100)</f>
        <v>9.52498691929387E-005</v>
      </c>
      <c r="AQ100" s="43" t="n">
        <f aca="false">AP100*1000</f>
        <v>0.0952498691929387</v>
      </c>
      <c r="AR100" s="43" t="n">
        <f aca="false">RANK(AP100,AP$2:AP$136,0)</f>
        <v>70</v>
      </c>
      <c r="AS100" s="43" t="n">
        <f aca="false">COUNTIF(Matrice_OD!$C100:$AN100,"&lt;="&amp;Param!$B$2)</f>
        <v>6</v>
      </c>
    </row>
    <row r="101" customFormat="false" ht="15" hidden="false" customHeight="true" outlineLevel="0" collapsed="false">
      <c r="A101" s="0" t="s">
        <v>300</v>
      </c>
      <c r="B101" s="0" t="s">
        <v>301</v>
      </c>
      <c r="C101" s="0" t="n">
        <f aca="false">Demande!C101</f>
        <v>7303</v>
      </c>
      <c r="D101" s="43" t="n">
        <f aca="false">IF(Matrice_OD!C101&lt;=Param!$B$2,3_Huff!C101*3_Huff!C$139*1_Friction!C101,0)</f>
        <v>0</v>
      </c>
      <c r="E101" s="43" t="n">
        <f aca="false">IF(Matrice_OD!D101&lt;=Param!$B$2,3_Huff!D101*3_Huff!D$139*1_Friction!D101,0)</f>
        <v>0</v>
      </c>
      <c r="F101" s="43" t="n">
        <f aca="false">IF(Matrice_OD!E101&lt;=Param!$B$2,3_Huff!E101*3_Huff!E$139*1_Friction!E101,0)</f>
        <v>0</v>
      </c>
      <c r="G101" s="43" t="n">
        <f aca="false">IF(Matrice_OD!F101&lt;=Param!$B$2,3_Huff!F101*3_Huff!F$139*1_Friction!F101,0)</f>
        <v>0</v>
      </c>
      <c r="H101" s="43" t="n">
        <f aca="false">IF(Matrice_OD!G101&lt;=Param!$B$2,3_Huff!G101*3_Huff!G$139*1_Friction!G101,0)</f>
        <v>0</v>
      </c>
      <c r="I101" s="43" t="n">
        <f aca="false">IF(Matrice_OD!H101&lt;=Param!$B$2,3_Huff!H101*3_Huff!H$139*1_Friction!H101,0)</f>
        <v>0</v>
      </c>
      <c r="J101" s="43" t="n">
        <f aca="false">IF(Matrice_OD!I101&lt;=Param!$B$2,3_Huff!I101*3_Huff!I$139*1_Friction!I101,0)</f>
        <v>0</v>
      </c>
      <c r="K101" s="43" t="n">
        <f aca="false">IF(Matrice_OD!J101&lt;=Param!$B$2,3_Huff!J101*3_Huff!J$139*1_Friction!J101,0)</f>
        <v>0</v>
      </c>
      <c r="L101" s="43" t="n">
        <f aca="false">IF(Matrice_OD!K101&lt;=Param!$B$2,3_Huff!K101*3_Huff!K$139*1_Friction!K101,0)</f>
        <v>0</v>
      </c>
      <c r="M101" s="43" t="n">
        <f aca="false">IF(Matrice_OD!L101&lt;=Param!$B$2,3_Huff!L101*3_Huff!L$139*1_Friction!L101,0)</f>
        <v>0</v>
      </c>
      <c r="N101" s="43" t="n">
        <f aca="false">IF(Matrice_OD!M101&lt;=Param!$B$2,3_Huff!M101*3_Huff!M$139*1_Friction!M101,0)</f>
        <v>0</v>
      </c>
      <c r="O101" s="43" t="n">
        <f aca="false">IF(Matrice_OD!N101&lt;=Param!$B$2,3_Huff!N101*3_Huff!N$139*1_Friction!N101,0)</f>
        <v>0</v>
      </c>
      <c r="P101" s="43" t="n">
        <f aca="false">IF(Matrice_OD!O101&lt;=Param!$B$2,3_Huff!O101*3_Huff!O$139*1_Friction!O101,0)</f>
        <v>0</v>
      </c>
      <c r="Q101" s="43" t="n">
        <f aca="false">IF(Matrice_OD!P101&lt;=Param!$B$2,3_Huff!P101*3_Huff!P$139*1_Friction!P101,0)</f>
        <v>0</v>
      </c>
      <c r="R101" s="43" t="n">
        <f aca="false">IF(Matrice_OD!Q101&lt;=Param!$B$2,3_Huff!Q101*3_Huff!Q$139*1_Friction!Q101,0)</f>
        <v>0</v>
      </c>
      <c r="S101" s="43" t="n">
        <f aca="false">IF(Matrice_OD!R101&lt;=Param!$B$2,3_Huff!R101*3_Huff!R$139*1_Friction!R101,0)</f>
        <v>0</v>
      </c>
      <c r="T101" s="43" t="n">
        <f aca="false">IF(Matrice_OD!S101&lt;=Param!$B$2,3_Huff!S101*3_Huff!S$139*1_Friction!S101,0)</f>
        <v>0</v>
      </c>
      <c r="U101" s="43" t="n">
        <f aca="false">IF(Matrice_OD!T101&lt;=Param!$B$2,3_Huff!T101*3_Huff!T$139*1_Friction!T101,0)</f>
        <v>0</v>
      </c>
      <c r="V101" s="43" t="n">
        <f aca="false">IF(Matrice_OD!U101&lt;=Param!$B$2,3_Huff!U101*3_Huff!U$139*1_Friction!U101,0)</f>
        <v>2.49141371227969E-006</v>
      </c>
      <c r="W101" s="43" t="n">
        <f aca="false">IF(Matrice_OD!V101&lt;=Param!$B$2,3_Huff!V101*3_Huff!V$139*1_Friction!V101,0)</f>
        <v>0</v>
      </c>
      <c r="X101" s="43" t="n">
        <f aca="false">IF(Matrice_OD!W101&lt;=Param!$B$2,3_Huff!W101*3_Huff!W$139*1_Friction!W101,0)</f>
        <v>0</v>
      </c>
      <c r="Y101" s="43" t="n">
        <f aca="false">IF(Matrice_OD!X101&lt;=Param!$B$2,3_Huff!X101*3_Huff!X$139*1_Friction!X101,0)</f>
        <v>0</v>
      </c>
      <c r="Z101" s="43" t="n">
        <f aca="false">IF(Matrice_OD!Y101&lt;=Param!$B$2,3_Huff!Y101*3_Huff!Y$139*1_Friction!Y101,0)</f>
        <v>0</v>
      </c>
      <c r="AA101" s="43" t="n">
        <f aca="false">IF(Matrice_OD!Z101&lt;=Param!$B$2,3_Huff!Z101*3_Huff!Z$139*1_Friction!Z101,0)</f>
        <v>0</v>
      </c>
      <c r="AB101" s="43" t="n">
        <f aca="false">IF(Matrice_OD!AA101&lt;=Param!$B$2,3_Huff!AA101*3_Huff!AA$139*1_Friction!AA101,0)</f>
        <v>0</v>
      </c>
      <c r="AC101" s="43" t="n">
        <f aca="false">IF(Matrice_OD!AB101&lt;=Param!$B$2,3_Huff!AB101*3_Huff!AB$139*1_Friction!AB101,0)</f>
        <v>0</v>
      </c>
      <c r="AD101" s="43" t="n">
        <f aca="false">IF(Matrice_OD!AC101&lt;=Param!$B$2,3_Huff!AC101*3_Huff!AC$139*1_Friction!AC101,0)</f>
        <v>5.61844957575733E-007</v>
      </c>
      <c r="AE101" s="43" t="n">
        <f aca="false">IF(Matrice_OD!AD101&lt;=Param!$B$2,3_Huff!AD101*3_Huff!AD$139*1_Friction!AD101,0)</f>
        <v>2.9834519012494E-006</v>
      </c>
      <c r="AF101" s="43" t="n">
        <f aca="false">IF(Matrice_OD!AE101&lt;=Param!$B$2,3_Huff!AE101*3_Huff!AE$139*1_Friction!AE101,0)</f>
        <v>1.79919687358638E-006</v>
      </c>
      <c r="AG101" s="43" t="n">
        <f aca="false">IF(Matrice_OD!AF101&lt;=Param!$B$2,3_Huff!AF101*3_Huff!AF$139*1_Friction!AF101,0)</f>
        <v>1.08542521749038E-006</v>
      </c>
      <c r="AH101" s="43" t="n">
        <f aca="false">IF(Matrice_OD!AG101&lt;=Param!$B$2,3_Huff!AG101*3_Huff!AG$139*1_Friction!AG101,0)</f>
        <v>0</v>
      </c>
      <c r="AI101" s="43" t="n">
        <f aca="false">IF(Matrice_OD!AH101&lt;=Param!$B$2,3_Huff!AH101*3_Huff!AH$139*1_Friction!AH101,0)</f>
        <v>0</v>
      </c>
      <c r="AJ101" s="43" t="n">
        <f aca="false">IF(Matrice_OD!AI101&lt;=Param!$B$2,3_Huff!AI101*3_Huff!AI$139*1_Friction!AI101,0)</f>
        <v>0</v>
      </c>
      <c r="AK101" s="43" t="n">
        <f aca="false">IF(Matrice_OD!AJ101&lt;=Param!$B$2,3_Huff!AJ101*3_Huff!AJ$139*1_Friction!AJ101,0)</f>
        <v>0</v>
      </c>
      <c r="AL101" s="43" t="n">
        <f aca="false">IF(Matrice_OD!AK101&lt;=Param!$B$2,3_Huff!AK101*3_Huff!AK$139*1_Friction!AK101,0)</f>
        <v>2.24716855538364E-006</v>
      </c>
      <c r="AM101" s="0" t="n">
        <f aca="false">IF(Matrice_OD!AL101&lt;=Param!$B$2,3_Huff!AL101*3_Huff!AL$139*1_Friction!AL101,0)</f>
        <v>5.62502195820163E-006</v>
      </c>
      <c r="AN101" s="0" t="n">
        <f aca="false">IF(Matrice_OD!AM101&lt;=Param!$B$2,3_Huff!AM101*3_Huff!AM$139*1_Friction!AM101,0)</f>
        <v>0</v>
      </c>
      <c r="AO101" s="0" t="n">
        <f aca="false">IF(Matrice_OD!AN101&lt;=Param!$B$2,3_Huff!AN101*3_Huff!AN$139*1_Friction!AN101,0)</f>
        <v>0</v>
      </c>
      <c r="AP101" s="49" t="n">
        <f aca="false">SUM(D101:AO101)</f>
        <v>1.67935231757668E-005</v>
      </c>
      <c r="AQ101" s="43" t="n">
        <f aca="false">AP101*1000</f>
        <v>0.0167935231757668</v>
      </c>
      <c r="AR101" s="43" t="n">
        <f aca="false">RANK(AP101,AP$2:AP$136,0)</f>
        <v>112</v>
      </c>
      <c r="AS101" s="43" t="n">
        <f aca="false">COUNTIF(Matrice_OD!$C101:$AN101,"&lt;="&amp;Param!$B$2)</f>
        <v>7</v>
      </c>
    </row>
    <row r="102" customFormat="false" ht="15" hidden="false" customHeight="true" outlineLevel="0" collapsed="false">
      <c r="A102" s="0" t="s">
        <v>302</v>
      </c>
      <c r="B102" s="0" t="s">
        <v>303</v>
      </c>
      <c r="C102" s="0" t="n">
        <f aca="false">Demande!C102</f>
        <v>7621</v>
      </c>
      <c r="D102" s="43" t="n">
        <f aca="false">IF(Matrice_OD!C102&lt;=Param!$B$2,3_Huff!C102*3_Huff!C$139*1_Friction!C102,0)</f>
        <v>0</v>
      </c>
      <c r="E102" s="43" t="n">
        <f aca="false">IF(Matrice_OD!D102&lt;=Param!$B$2,3_Huff!D102*3_Huff!D$139*1_Friction!D102,0)</f>
        <v>0</v>
      </c>
      <c r="F102" s="43" t="n">
        <f aca="false">IF(Matrice_OD!E102&lt;=Param!$B$2,3_Huff!E102*3_Huff!E$139*1_Friction!E102,0)</f>
        <v>0</v>
      </c>
      <c r="G102" s="43" t="n">
        <f aca="false">IF(Matrice_OD!F102&lt;=Param!$B$2,3_Huff!F102*3_Huff!F$139*1_Friction!F102,0)</f>
        <v>0</v>
      </c>
      <c r="H102" s="43" t="n">
        <f aca="false">IF(Matrice_OD!G102&lt;=Param!$B$2,3_Huff!G102*3_Huff!G$139*1_Friction!G102,0)</f>
        <v>0</v>
      </c>
      <c r="I102" s="43" t="n">
        <f aca="false">IF(Matrice_OD!H102&lt;=Param!$B$2,3_Huff!H102*3_Huff!H$139*1_Friction!H102,0)</f>
        <v>0</v>
      </c>
      <c r="J102" s="43" t="n">
        <f aca="false">IF(Matrice_OD!I102&lt;=Param!$B$2,3_Huff!I102*3_Huff!I$139*1_Friction!I102,0)</f>
        <v>0</v>
      </c>
      <c r="K102" s="43" t="n">
        <f aca="false">IF(Matrice_OD!J102&lt;=Param!$B$2,3_Huff!J102*3_Huff!J$139*1_Friction!J102,0)</f>
        <v>0</v>
      </c>
      <c r="L102" s="43" t="n">
        <f aca="false">IF(Matrice_OD!K102&lt;=Param!$B$2,3_Huff!K102*3_Huff!K$139*1_Friction!K102,0)</f>
        <v>0</v>
      </c>
      <c r="M102" s="43" t="n">
        <f aca="false">IF(Matrice_OD!L102&lt;=Param!$B$2,3_Huff!L102*3_Huff!L$139*1_Friction!L102,0)</f>
        <v>0</v>
      </c>
      <c r="N102" s="43" t="n">
        <f aca="false">IF(Matrice_OD!M102&lt;=Param!$B$2,3_Huff!M102*3_Huff!M$139*1_Friction!M102,0)</f>
        <v>0</v>
      </c>
      <c r="O102" s="43" t="n">
        <f aca="false">IF(Matrice_OD!N102&lt;=Param!$B$2,3_Huff!N102*3_Huff!N$139*1_Friction!N102,0)</f>
        <v>0</v>
      </c>
      <c r="P102" s="43" t="n">
        <f aca="false">IF(Matrice_OD!O102&lt;=Param!$B$2,3_Huff!O102*3_Huff!O$139*1_Friction!O102,0)</f>
        <v>0</v>
      </c>
      <c r="Q102" s="43" t="n">
        <f aca="false">IF(Matrice_OD!P102&lt;=Param!$B$2,3_Huff!P102*3_Huff!P$139*1_Friction!P102,0)</f>
        <v>0</v>
      </c>
      <c r="R102" s="43" t="n">
        <f aca="false">IF(Matrice_OD!Q102&lt;=Param!$B$2,3_Huff!Q102*3_Huff!Q$139*1_Friction!Q102,0)</f>
        <v>0</v>
      </c>
      <c r="S102" s="43" t="n">
        <f aca="false">IF(Matrice_OD!R102&lt;=Param!$B$2,3_Huff!R102*3_Huff!R$139*1_Friction!R102,0)</f>
        <v>0</v>
      </c>
      <c r="T102" s="43" t="n">
        <f aca="false">IF(Matrice_OD!S102&lt;=Param!$B$2,3_Huff!S102*3_Huff!S$139*1_Friction!S102,0)</f>
        <v>0</v>
      </c>
      <c r="U102" s="43" t="n">
        <f aca="false">IF(Matrice_OD!T102&lt;=Param!$B$2,3_Huff!T102*3_Huff!T$139*1_Friction!T102,0)</f>
        <v>0</v>
      </c>
      <c r="V102" s="43" t="n">
        <f aca="false">IF(Matrice_OD!U102&lt;=Param!$B$2,3_Huff!U102*3_Huff!U$139*1_Friction!U102,0)</f>
        <v>7.84137227938169E-006</v>
      </c>
      <c r="W102" s="43" t="n">
        <f aca="false">IF(Matrice_OD!V102&lt;=Param!$B$2,3_Huff!V102*3_Huff!V$139*1_Friction!V102,0)</f>
        <v>0</v>
      </c>
      <c r="X102" s="43" t="n">
        <f aca="false">IF(Matrice_OD!W102&lt;=Param!$B$2,3_Huff!W102*3_Huff!W$139*1_Friction!W102,0)</f>
        <v>0</v>
      </c>
      <c r="Y102" s="43" t="n">
        <f aca="false">IF(Matrice_OD!X102&lt;=Param!$B$2,3_Huff!X102*3_Huff!X$139*1_Friction!X102,0)</f>
        <v>0</v>
      </c>
      <c r="Z102" s="43" t="n">
        <f aca="false">IF(Matrice_OD!Y102&lt;=Param!$B$2,3_Huff!Y102*3_Huff!Y$139*1_Friction!Y102,0)</f>
        <v>0</v>
      </c>
      <c r="AA102" s="43" t="n">
        <f aca="false">IF(Matrice_OD!Z102&lt;=Param!$B$2,3_Huff!Z102*3_Huff!Z$139*1_Friction!Z102,0)</f>
        <v>0</v>
      </c>
      <c r="AB102" s="43" t="n">
        <f aca="false">IF(Matrice_OD!AA102&lt;=Param!$B$2,3_Huff!AA102*3_Huff!AA$139*1_Friction!AA102,0)</f>
        <v>0</v>
      </c>
      <c r="AC102" s="43" t="n">
        <f aca="false">IF(Matrice_OD!AB102&lt;=Param!$B$2,3_Huff!AB102*3_Huff!AB$139*1_Friction!AB102,0)</f>
        <v>0</v>
      </c>
      <c r="AD102" s="43" t="n">
        <f aca="false">IF(Matrice_OD!AC102&lt;=Param!$B$2,3_Huff!AC102*3_Huff!AC$139*1_Friction!AC102,0)</f>
        <v>0</v>
      </c>
      <c r="AE102" s="43" t="n">
        <f aca="false">IF(Matrice_OD!AD102&lt;=Param!$B$2,3_Huff!AD102*3_Huff!AD$139*1_Friction!AD102,0)</f>
        <v>0</v>
      </c>
      <c r="AF102" s="43" t="n">
        <f aca="false">IF(Matrice_OD!AE102&lt;=Param!$B$2,3_Huff!AE102*3_Huff!AE$139*1_Friction!AE102,0)</f>
        <v>0</v>
      </c>
      <c r="AG102" s="43" t="n">
        <f aca="false">IF(Matrice_OD!AF102&lt;=Param!$B$2,3_Huff!AF102*3_Huff!AF$139*1_Friction!AF102,0)</f>
        <v>0</v>
      </c>
      <c r="AH102" s="43" t="n">
        <f aca="false">IF(Matrice_OD!AG102&lt;=Param!$B$2,3_Huff!AG102*3_Huff!AG$139*1_Friction!AG102,0)</f>
        <v>0</v>
      </c>
      <c r="AI102" s="43" t="n">
        <f aca="false">IF(Matrice_OD!AH102&lt;=Param!$B$2,3_Huff!AH102*3_Huff!AH$139*1_Friction!AH102,0)</f>
        <v>0</v>
      </c>
      <c r="AJ102" s="43" t="n">
        <f aca="false">IF(Matrice_OD!AI102&lt;=Param!$B$2,3_Huff!AI102*3_Huff!AI$139*1_Friction!AI102,0)</f>
        <v>0</v>
      </c>
      <c r="AK102" s="43" t="n">
        <f aca="false">IF(Matrice_OD!AJ102&lt;=Param!$B$2,3_Huff!AJ102*3_Huff!AJ$139*1_Friction!AJ102,0)</f>
        <v>0</v>
      </c>
      <c r="AL102" s="43" t="n">
        <f aca="false">IF(Matrice_OD!AK102&lt;=Param!$B$2,3_Huff!AK102*3_Huff!AK$139*1_Friction!AK102,0)</f>
        <v>0</v>
      </c>
      <c r="AM102" s="0" t="n">
        <f aca="false">IF(Matrice_OD!AL102&lt;=Param!$B$2,3_Huff!AL102*3_Huff!AL$139*1_Friction!AL102,0)</f>
        <v>0</v>
      </c>
      <c r="AN102" s="0" t="n">
        <f aca="false">IF(Matrice_OD!AM102&lt;=Param!$B$2,3_Huff!AM102*3_Huff!AM$139*1_Friction!AM102,0)</f>
        <v>0</v>
      </c>
      <c r="AO102" s="0" t="n">
        <f aca="false">IF(Matrice_OD!AN102&lt;=Param!$B$2,3_Huff!AN102*3_Huff!AN$139*1_Friction!AN102,0)</f>
        <v>0</v>
      </c>
      <c r="AP102" s="48" t="n">
        <f aca="false">SUM(D102:AO102)</f>
        <v>7.84137227938169E-006</v>
      </c>
      <c r="AQ102" s="43" t="n">
        <f aca="false">AP102*1000</f>
        <v>0.00784137227938169</v>
      </c>
      <c r="AR102" s="43" t="n">
        <f aca="false">RANK(AP102,AP$2:AP$136,0)</f>
        <v>120</v>
      </c>
      <c r="AS102" s="43" t="n">
        <f aca="false">COUNTIF(Matrice_OD!$C102:$AN102,"&lt;="&amp;Param!$B$2)</f>
        <v>1</v>
      </c>
    </row>
    <row r="103" customFormat="false" ht="15" hidden="false" customHeight="true" outlineLevel="0" collapsed="false">
      <c r="A103" s="0" t="s">
        <v>304</v>
      </c>
      <c r="B103" s="0" t="s">
        <v>305</v>
      </c>
      <c r="C103" s="0" t="n">
        <f aca="false">Demande!C103</f>
        <v>8018</v>
      </c>
      <c r="D103" s="43" t="n">
        <f aca="false">IF(Matrice_OD!C103&lt;=Param!$B$2,3_Huff!C103*3_Huff!C$139*1_Friction!C103,0)</f>
        <v>0</v>
      </c>
      <c r="E103" s="43" t="n">
        <f aca="false">IF(Matrice_OD!D103&lt;=Param!$B$2,3_Huff!D103*3_Huff!D$139*1_Friction!D103,0)</f>
        <v>0</v>
      </c>
      <c r="F103" s="43" t="n">
        <f aca="false">IF(Matrice_OD!E103&lt;=Param!$B$2,3_Huff!E103*3_Huff!E$139*1_Friction!E103,0)</f>
        <v>0</v>
      </c>
      <c r="G103" s="43" t="n">
        <f aca="false">IF(Matrice_OD!F103&lt;=Param!$B$2,3_Huff!F103*3_Huff!F$139*1_Friction!F103,0)</f>
        <v>0</v>
      </c>
      <c r="H103" s="43" t="n">
        <f aca="false">IF(Matrice_OD!G103&lt;=Param!$B$2,3_Huff!G103*3_Huff!G$139*1_Friction!G103,0)</f>
        <v>0</v>
      </c>
      <c r="I103" s="43" t="n">
        <f aca="false">IF(Matrice_OD!H103&lt;=Param!$B$2,3_Huff!H103*3_Huff!H$139*1_Friction!H103,0)</f>
        <v>0</v>
      </c>
      <c r="J103" s="43" t="n">
        <f aca="false">IF(Matrice_OD!I103&lt;=Param!$B$2,3_Huff!I103*3_Huff!I$139*1_Friction!I103,0)</f>
        <v>0</v>
      </c>
      <c r="K103" s="43" t="n">
        <f aca="false">IF(Matrice_OD!J103&lt;=Param!$B$2,3_Huff!J103*3_Huff!J$139*1_Friction!J103,0)</f>
        <v>0</v>
      </c>
      <c r="L103" s="43" t="n">
        <f aca="false">IF(Matrice_OD!K103&lt;=Param!$B$2,3_Huff!K103*3_Huff!K$139*1_Friction!K103,0)</f>
        <v>0</v>
      </c>
      <c r="M103" s="43" t="n">
        <f aca="false">IF(Matrice_OD!L103&lt;=Param!$B$2,3_Huff!L103*3_Huff!L$139*1_Friction!L103,0)</f>
        <v>0</v>
      </c>
      <c r="N103" s="43" t="n">
        <f aca="false">IF(Matrice_OD!M103&lt;=Param!$B$2,3_Huff!M103*3_Huff!M$139*1_Friction!M103,0)</f>
        <v>0</v>
      </c>
      <c r="O103" s="43" t="n">
        <f aca="false">IF(Matrice_OD!N103&lt;=Param!$B$2,3_Huff!N103*3_Huff!N$139*1_Friction!N103,0)</f>
        <v>0</v>
      </c>
      <c r="P103" s="43" t="n">
        <f aca="false">IF(Matrice_OD!O103&lt;=Param!$B$2,3_Huff!O103*3_Huff!O$139*1_Friction!O103,0)</f>
        <v>0</v>
      </c>
      <c r="Q103" s="43" t="n">
        <f aca="false">IF(Matrice_OD!P103&lt;=Param!$B$2,3_Huff!P103*3_Huff!P$139*1_Friction!P103,0)</f>
        <v>0</v>
      </c>
      <c r="R103" s="43" t="n">
        <f aca="false">IF(Matrice_OD!Q103&lt;=Param!$B$2,3_Huff!Q103*3_Huff!Q$139*1_Friction!Q103,0)</f>
        <v>0</v>
      </c>
      <c r="S103" s="43" t="n">
        <f aca="false">IF(Matrice_OD!R103&lt;=Param!$B$2,3_Huff!R103*3_Huff!R$139*1_Friction!R103,0)</f>
        <v>0</v>
      </c>
      <c r="T103" s="43" t="n">
        <f aca="false">IF(Matrice_OD!S103&lt;=Param!$B$2,3_Huff!S103*3_Huff!S$139*1_Friction!S103,0)</f>
        <v>0</v>
      </c>
      <c r="U103" s="43" t="n">
        <f aca="false">IF(Matrice_OD!T103&lt;=Param!$B$2,3_Huff!T103*3_Huff!T$139*1_Friction!T103,0)</f>
        <v>0</v>
      </c>
      <c r="V103" s="43" t="n">
        <f aca="false">IF(Matrice_OD!U103&lt;=Param!$B$2,3_Huff!U103*3_Huff!U$139*1_Friction!U103,0)</f>
        <v>1.50248432417315E-005</v>
      </c>
      <c r="W103" s="43" t="n">
        <f aca="false">IF(Matrice_OD!V103&lt;=Param!$B$2,3_Huff!V103*3_Huff!V$139*1_Friction!V103,0)</f>
        <v>0</v>
      </c>
      <c r="X103" s="43" t="n">
        <f aca="false">IF(Matrice_OD!W103&lt;=Param!$B$2,3_Huff!W103*3_Huff!W$139*1_Friction!W103,0)</f>
        <v>0</v>
      </c>
      <c r="Y103" s="43" t="n">
        <f aca="false">IF(Matrice_OD!X103&lt;=Param!$B$2,3_Huff!X103*3_Huff!X$139*1_Friction!X103,0)</f>
        <v>0</v>
      </c>
      <c r="Z103" s="43" t="n">
        <f aca="false">IF(Matrice_OD!Y103&lt;=Param!$B$2,3_Huff!Y103*3_Huff!Y$139*1_Friction!Y103,0)</f>
        <v>0</v>
      </c>
      <c r="AA103" s="43" t="n">
        <f aca="false">IF(Matrice_OD!Z103&lt;=Param!$B$2,3_Huff!Z103*3_Huff!Z$139*1_Friction!Z103,0)</f>
        <v>0</v>
      </c>
      <c r="AB103" s="43" t="n">
        <f aca="false">IF(Matrice_OD!AA103&lt;=Param!$B$2,3_Huff!AA103*3_Huff!AA$139*1_Friction!AA103,0)</f>
        <v>0</v>
      </c>
      <c r="AC103" s="43" t="n">
        <f aca="false">IF(Matrice_OD!AB103&lt;=Param!$B$2,3_Huff!AB103*3_Huff!AB$139*1_Friction!AB103,0)</f>
        <v>0</v>
      </c>
      <c r="AD103" s="43" t="n">
        <f aca="false">IF(Matrice_OD!AC103&lt;=Param!$B$2,3_Huff!AC103*3_Huff!AC$139*1_Friction!AC103,0)</f>
        <v>0</v>
      </c>
      <c r="AE103" s="43" t="n">
        <f aca="false">IF(Matrice_OD!AD103&lt;=Param!$B$2,3_Huff!AD103*3_Huff!AD$139*1_Friction!AD103,0)</f>
        <v>0</v>
      </c>
      <c r="AF103" s="43" t="n">
        <f aca="false">IF(Matrice_OD!AE103&lt;=Param!$B$2,3_Huff!AE103*3_Huff!AE$139*1_Friction!AE103,0)</f>
        <v>0</v>
      </c>
      <c r="AG103" s="43" t="n">
        <f aca="false">IF(Matrice_OD!AF103&lt;=Param!$B$2,3_Huff!AF103*3_Huff!AF$139*1_Friction!AF103,0)</f>
        <v>0</v>
      </c>
      <c r="AH103" s="43" t="n">
        <f aca="false">IF(Matrice_OD!AG103&lt;=Param!$B$2,3_Huff!AG103*3_Huff!AG$139*1_Friction!AG103,0)</f>
        <v>0</v>
      </c>
      <c r="AI103" s="43" t="n">
        <f aca="false">IF(Matrice_OD!AH103&lt;=Param!$B$2,3_Huff!AH103*3_Huff!AH$139*1_Friction!AH103,0)</f>
        <v>0</v>
      </c>
      <c r="AJ103" s="43" t="n">
        <f aca="false">IF(Matrice_OD!AI103&lt;=Param!$B$2,3_Huff!AI103*3_Huff!AI$139*1_Friction!AI103,0)</f>
        <v>0</v>
      </c>
      <c r="AK103" s="43" t="n">
        <f aca="false">IF(Matrice_OD!AJ103&lt;=Param!$B$2,3_Huff!AJ103*3_Huff!AJ$139*1_Friction!AJ103,0)</f>
        <v>0</v>
      </c>
      <c r="AL103" s="43" t="n">
        <f aca="false">IF(Matrice_OD!AK103&lt;=Param!$B$2,3_Huff!AK103*3_Huff!AK$139*1_Friction!AK103,0)</f>
        <v>0</v>
      </c>
      <c r="AM103" s="0" t="n">
        <f aca="false">IF(Matrice_OD!AL103&lt;=Param!$B$2,3_Huff!AL103*3_Huff!AL$139*1_Friction!AL103,0)</f>
        <v>0</v>
      </c>
      <c r="AN103" s="0" t="n">
        <f aca="false">IF(Matrice_OD!AM103&lt;=Param!$B$2,3_Huff!AM103*3_Huff!AM$139*1_Friction!AM103,0)</f>
        <v>0</v>
      </c>
      <c r="AO103" s="0" t="n">
        <f aca="false">IF(Matrice_OD!AN103&lt;=Param!$B$2,3_Huff!AN103*3_Huff!AN$139*1_Friction!AN103,0)</f>
        <v>0</v>
      </c>
      <c r="AP103" s="49" t="n">
        <f aca="false">SUM(D103:AO103)</f>
        <v>1.50248432417315E-005</v>
      </c>
      <c r="AQ103" s="43" t="n">
        <f aca="false">AP103*1000</f>
        <v>0.0150248432417315</v>
      </c>
      <c r="AR103" s="43" t="n">
        <f aca="false">RANK(AP103,AP$2:AP$136,0)</f>
        <v>113</v>
      </c>
      <c r="AS103" s="43" t="n">
        <f aca="false">COUNTIF(Matrice_OD!$C103:$AN103,"&lt;="&amp;Param!$B$2)</f>
        <v>1</v>
      </c>
    </row>
    <row r="104" customFormat="false" ht="15" hidden="false" customHeight="true" outlineLevel="0" collapsed="false">
      <c r="A104" s="0" t="s">
        <v>306</v>
      </c>
      <c r="B104" s="0" t="s">
        <v>307</v>
      </c>
      <c r="C104" s="0" t="n">
        <f aca="false">Demande!C104</f>
        <v>9697</v>
      </c>
      <c r="D104" s="43" t="n">
        <f aca="false">IF(Matrice_OD!C104&lt;=Param!$B$2,3_Huff!C104*3_Huff!C$139*1_Friction!C104,0)</f>
        <v>0</v>
      </c>
      <c r="E104" s="43" t="n">
        <f aca="false">IF(Matrice_OD!D104&lt;=Param!$B$2,3_Huff!D104*3_Huff!D$139*1_Friction!D104,0)</f>
        <v>0</v>
      </c>
      <c r="F104" s="43" t="n">
        <f aca="false">IF(Matrice_OD!E104&lt;=Param!$B$2,3_Huff!E104*3_Huff!E$139*1_Friction!E104,0)</f>
        <v>0</v>
      </c>
      <c r="G104" s="43" t="n">
        <f aca="false">IF(Matrice_OD!F104&lt;=Param!$B$2,3_Huff!F104*3_Huff!F$139*1_Friction!F104,0)</f>
        <v>0</v>
      </c>
      <c r="H104" s="43" t="n">
        <f aca="false">IF(Matrice_OD!G104&lt;=Param!$B$2,3_Huff!G104*3_Huff!G$139*1_Friction!G104,0)</f>
        <v>0</v>
      </c>
      <c r="I104" s="43" t="n">
        <f aca="false">IF(Matrice_OD!H104&lt;=Param!$B$2,3_Huff!H104*3_Huff!H$139*1_Friction!H104,0)</f>
        <v>0</v>
      </c>
      <c r="J104" s="43" t="n">
        <f aca="false">IF(Matrice_OD!I104&lt;=Param!$B$2,3_Huff!I104*3_Huff!I$139*1_Friction!I104,0)</f>
        <v>0</v>
      </c>
      <c r="K104" s="43" t="n">
        <f aca="false">IF(Matrice_OD!J104&lt;=Param!$B$2,3_Huff!J104*3_Huff!J$139*1_Friction!J104,0)</f>
        <v>0</v>
      </c>
      <c r="L104" s="43" t="n">
        <f aca="false">IF(Matrice_OD!K104&lt;=Param!$B$2,3_Huff!K104*3_Huff!K$139*1_Friction!K104,0)</f>
        <v>0</v>
      </c>
      <c r="M104" s="43" t="n">
        <f aca="false">IF(Matrice_OD!L104&lt;=Param!$B$2,3_Huff!L104*3_Huff!L$139*1_Friction!L104,0)</f>
        <v>0</v>
      </c>
      <c r="N104" s="43" t="n">
        <f aca="false">IF(Matrice_OD!M104&lt;=Param!$B$2,3_Huff!M104*3_Huff!M$139*1_Friction!M104,0)</f>
        <v>0</v>
      </c>
      <c r="O104" s="43" t="n">
        <f aca="false">IF(Matrice_OD!N104&lt;=Param!$B$2,3_Huff!N104*3_Huff!N$139*1_Friction!N104,0)</f>
        <v>0</v>
      </c>
      <c r="P104" s="43" t="n">
        <f aca="false">IF(Matrice_OD!O104&lt;=Param!$B$2,3_Huff!O104*3_Huff!O$139*1_Friction!O104,0)</f>
        <v>0</v>
      </c>
      <c r="Q104" s="43" t="n">
        <f aca="false">IF(Matrice_OD!P104&lt;=Param!$B$2,3_Huff!P104*3_Huff!P$139*1_Friction!P104,0)</f>
        <v>0</v>
      </c>
      <c r="R104" s="43" t="n">
        <f aca="false">IF(Matrice_OD!Q104&lt;=Param!$B$2,3_Huff!Q104*3_Huff!Q$139*1_Friction!Q104,0)</f>
        <v>0</v>
      </c>
      <c r="S104" s="43" t="n">
        <f aca="false">IF(Matrice_OD!R104&lt;=Param!$B$2,3_Huff!R104*3_Huff!R$139*1_Friction!R104,0)</f>
        <v>0</v>
      </c>
      <c r="T104" s="43" t="n">
        <f aca="false">IF(Matrice_OD!S104&lt;=Param!$B$2,3_Huff!S104*3_Huff!S$139*1_Friction!S104,0)</f>
        <v>0</v>
      </c>
      <c r="U104" s="43" t="n">
        <f aca="false">IF(Matrice_OD!T104&lt;=Param!$B$2,3_Huff!T104*3_Huff!T$139*1_Friction!T104,0)</f>
        <v>0</v>
      </c>
      <c r="V104" s="43" t="n">
        <f aca="false">IF(Matrice_OD!U104&lt;=Param!$B$2,3_Huff!U104*3_Huff!U$139*1_Friction!U104,0)</f>
        <v>0</v>
      </c>
      <c r="W104" s="43" t="n">
        <f aca="false">IF(Matrice_OD!V104&lt;=Param!$B$2,3_Huff!V104*3_Huff!V$139*1_Friction!V104,0)</f>
        <v>0</v>
      </c>
      <c r="X104" s="43" t="n">
        <f aca="false">IF(Matrice_OD!W104&lt;=Param!$B$2,3_Huff!W104*3_Huff!W$139*1_Friction!W104,0)</f>
        <v>0</v>
      </c>
      <c r="Y104" s="43" t="n">
        <f aca="false">IF(Matrice_OD!X104&lt;=Param!$B$2,3_Huff!X104*3_Huff!X$139*1_Friction!X104,0)</f>
        <v>0</v>
      </c>
      <c r="Z104" s="43" t="n">
        <f aca="false">IF(Matrice_OD!Y104&lt;=Param!$B$2,3_Huff!Y104*3_Huff!Y$139*1_Friction!Y104,0)</f>
        <v>0</v>
      </c>
      <c r="AA104" s="43" t="n">
        <f aca="false">IF(Matrice_OD!Z104&lt;=Param!$B$2,3_Huff!Z104*3_Huff!Z$139*1_Friction!Z104,0)</f>
        <v>0</v>
      </c>
      <c r="AB104" s="43" t="n">
        <f aca="false">IF(Matrice_OD!AA104&lt;=Param!$B$2,3_Huff!AA104*3_Huff!AA$139*1_Friction!AA104,0)</f>
        <v>0</v>
      </c>
      <c r="AC104" s="43" t="n">
        <f aca="false">IF(Matrice_OD!AB104&lt;=Param!$B$2,3_Huff!AB104*3_Huff!AB$139*1_Friction!AB104,0)</f>
        <v>0</v>
      </c>
      <c r="AD104" s="43" t="n">
        <f aca="false">IF(Matrice_OD!AC104&lt;=Param!$B$2,3_Huff!AC104*3_Huff!AC$139*1_Friction!AC104,0)</f>
        <v>2.24520267228365E-006</v>
      </c>
      <c r="AE104" s="43" t="n">
        <f aca="false">IF(Matrice_OD!AD104&lt;=Param!$B$2,3_Huff!AD104*3_Huff!AD$139*1_Friction!AD104,0)</f>
        <v>1.17126932698547E-005</v>
      </c>
      <c r="AF104" s="43" t="n">
        <f aca="false">IF(Matrice_OD!AE104&lt;=Param!$B$2,3_Huff!AE104*3_Huff!AE$139*1_Friction!AE104,0)</f>
        <v>7.4811739111959E-006</v>
      </c>
      <c r="AG104" s="43" t="n">
        <f aca="false">IF(Matrice_OD!AF104&lt;=Param!$B$2,3_Huff!AF104*3_Huff!AF$139*1_Friction!AF104,0)</f>
        <v>4.98084208237107E-006</v>
      </c>
      <c r="AH104" s="43" t="n">
        <f aca="false">IF(Matrice_OD!AG104&lt;=Param!$B$2,3_Huff!AG104*3_Huff!AG$139*1_Friction!AG104,0)</f>
        <v>0</v>
      </c>
      <c r="AI104" s="43" t="n">
        <f aca="false">IF(Matrice_OD!AH104&lt;=Param!$B$2,3_Huff!AH104*3_Huff!AH$139*1_Friction!AH104,0)</f>
        <v>0</v>
      </c>
      <c r="AJ104" s="43" t="n">
        <f aca="false">IF(Matrice_OD!AI104&lt;=Param!$B$2,3_Huff!AI104*3_Huff!AI$139*1_Friction!AI104,0)</f>
        <v>0</v>
      </c>
      <c r="AK104" s="43" t="n">
        <f aca="false">IF(Matrice_OD!AJ104&lt;=Param!$B$2,3_Huff!AJ104*3_Huff!AJ$139*1_Friction!AJ104,0)</f>
        <v>0</v>
      </c>
      <c r="AL104" s="43" t="n">
        <f aca="false">IF(Matrice_OD!AK104&lt;=Param!$B$2,3_Huff!AK104*3_Huff!AK$139*1_Friction!AK104,0)</f>
        <v>3.21098821842858E-005</v>
      </c>
      <c r="AM104" s="0" t="n">
        <f aca="false">IF(Matrice_OD!AL104&lt;=Param!$B$2,3_Huff!AL104*3_Huff!AL$139*1_Friction!AL104,0)</f>
        <v>2.25642223925198E-005</v>
      </c>
      <c r="AN104" s="0" t="n">
        <f aca="false">IF(Matrice_OD!AM104&lt;=Param!$B$2,3_Huff!AM104*3_Huff!AM$139*1_Friction!AM104,0)</f>
        <v>0</v>
      </c>
      <c r="AO104" s="0" t="n">
        <f aca="false">IF(Matrice_OD!AN104&lt;=Param!$B$2,3_Huff!AN104*3_Huff!AN$139*1_Friction!AN104,0)</f>
        <v>0</v>
      </c>
      <c r="AP104" s="48" t="n">
        <f aca="false">SUM(D104:AO104)</f>
        <v>8.10940165125109E-005</v>
      </c>
      <c r="AQ104" s="43" t="n">
        <f aca="false">AP104*1000</f>
        <v>0.0810940165125109</v>
      </c>
      <c r="AR104" s="43" t="n">
        <f aca="false">RANK(AP104,AP$2:AP$136,0)</f>
        <v>79</v>
      </c>
      <c r="AS104" s="43" t="n">
        <f aca="false">COUNTIF(Matrice_OD!$C104:$AN104,"&lt;="&amp;Param!$B$2)</f>
        <v>6</v>
      </c>
    </row>
    <row r="105" customFormat="false" ht="15" hidden="false" customHeight="true" outlineLevel="0" collapsed="false">
      <c r="A105" s="0" t="s">
        <v>308</v>
      </c>
      <c r="B105" s="0" t="s">
        <v>309</v>
      </c>
      <c r="C105" s="0" t="n">
        <f aca="false">Demande!C105</f>
        <v>7821</v>
      </c>
      <c r="D105" s="43" t="n">
        <f aca="false">IF(Matrice_OD!C105&lt;=Param!$B$2,3_Huff!C105*3_Huff!C$139*1_Friction!C105,0)</f>
        <v>0</v>
      </c>
      <c r="E105" s="43" t="n">
        <f aca="false">IF(Matrice_OD!D105&lt;=Param!$B$2,3_Huff!D105*3_Huff!D$139*1_Friction!D105,0)</f>
        <v>0</v>
      </c>
      <c r="F105" s="43" t="n">
        <f aca="false">IF(Matrice_OD!E105&lt;=Param!$B$2,3_Huff!E105*3_Huff!E$139*1_Friction!E105,0)</f>
        <v>0</v>
      </c>
      <c r="G105" s="43" t="n">
        <f aca="false">IF(Matrice_OD!F105&lt;=Param!$B$2,3_Huff!F105*3_Huff!F$139*1_Friction!F105,0)</f>
        <v>0</v>
      </c>
      <c r="H105" s="43" t="n">
        <f aca="false">IF(Matrice_OD!G105&lt;=Param!$B$2,3_Huff!G105*3_Huff!G$139*1_Friction!G105,0)</f>
        <v>0</v>
      </c>
      <c r="I105" s="43" t="n">
        <f aca="false">IF(Matrice_OD!H105&lt;=Param!$B$2,3_Huff!H105*3_Huff!H$139*1_Friction!H105,0)</f>
        <v>0</v>
      </c>
      <c r="J105" s="43" t="n">
        <f aca="false">IF(Matrice_OD!I105&lt;=Param!$B$2,3_Huff!I105*3_Huff!I$139*1_Friction!I105,0)</f>
        <v>0</v>
      </c>
      <c r="K105" s="43" t="n">
        <f aca="false">IF(Matrice_OD!J105&lt;=Param!$B$2,3_Huff!J105*3_Huff!J$139*1_Friction!J105,0)</f>
        <v>0</v>
      </c>
      <c r="L105" s="43" t="n">
        <f aca="false">IF(Matrice_OD!K105&lt;=Param!$B$2,3_Huff!K105*3_Huff!K$139*1_Friction!K105,0)</f>
        <v>0</v>
      </c>
      <c r="M105" s="43" t="n">
        <f aca="false">IF(Matrice_OD!L105&lt;=Param!$B$2,3_Huff!L105*3_Huff!L$139*1_Friction!L105,0)</f>
        <v>0</v>
      </c>
      <c r="N105" s="43" t="n">
        <f aca="false">IF(Matrice_OD!M105&lt;=Param!$B$2,3_Huff!M105*3_Huff!M$139*1_Friction!M105,0)</f>
        <v>0</v>
      </c>
      <c r="O105" s="43" t="n">
        <f aca="false">IF(Matrice_OD!N105&lt;=Param!$B$2,3_Huff!N105*3_Huff!N$139*1_Friction!N105,0)</f>
        <v>0</v>
      </c>
      <c r="P105" s="43" t="n">
        <f aca="false">IF(Matrice_OD!O105&lt;=Param!$B$2,3_Huff!O105*3_Huff!O$139*1_Friction!O105,0)</f>
        <v>0</v>
      </c>
      <c r="Q105" s="43" t="n">
        <f aca="false">IF(Matrice_OD!P105&lt;=Param!$B$2,3_Huff!P105*3_Huff!P$139*1_Friction!P105,0)</f>
        <v>0</v>
      </c>
      <c r="R105" s="43" t="n">
        <f aca="false">IF(Matrice_OD!Q105&lt;=Param!$B$2,3_Huff!Q105*3_Huff!Q$139*1_Friction!Q105,0)</f>
        <v>0</v>
      </c>
      <c r="S105" s="43" t="n">
        <f aca="false">IF(Matrice_OD!R105&lt;=Param!$B$2,3_Huff!R105*3_Huff!R$139*1_Friction!R105,0)</f>
        <v>0</v>
      </c>
      <c r="T105" s="43" t="n">
        <f aca="false">IF(Matrice_OD!S105&lt;=Param!$B$2,3_Huff!S105*3_Huff!S$139*1_Friction!S105,0)</f>
        <v>0</v>
      </c>
      <c r="U105" s="43" t="n">
        <f aca="false">IF(Matrice_OD!T105&lt;=Param!$B$2,3_Huff!T105*3_Huff!T$139*1_Friction!T105,0)</f>
        <v>0</v>
      </c>
      <c r="V105" s="43" t="n">
        <f aca="false">IF(Matrice_OD!U105&lt;=Param!$B$2,3_Huff!U105*3_Huff!U$139*1_Friction!U105,0)</f>
        <v>0</v>
      </c>
      <c r="W105" s="43" t="n">
        <f aca="false">IF(Matrice_OD!V105&lt;=Param!$B$2,3_Huff!V105*3_Huff!V$139*1_Friction!V105,0)</f>
        <v>0</v>
      </c>
      <c r="X105" s="43" t="n">
        <f aca="false">IF(Matrice_OD!W105&lt;=Param!$B$2,3_Huff!W105*3_Huff!W$139*1_Friction!W105,0)</f>
        <v>0</v>
      </c>
      <c r="Y105" s="43" t="n">
        <f aca="false">IF(Matrice_OD!X105&lt;=Param!$B$2,3_Huff!X105*3_Huff!X$139*1_Friction!X105,0)</f>
        <v>0</v>
      </c>
      <c r="Z105" s="43" t="n">
        <f aca="false">IF(Matrice_OD!Y105&lt;=Param!$B$2,3_Huff!Y105*3_Huff!Y$139*1_Friction!Y105,0)</f>
        <v>0</v>
      </c>
      <c r="AA105" s="43" t="n">
        <f aca="false">IF(Matrice_OD!Z105&lt;=Param!$B$2,3_Huff!Z105*3_Huff!Z$139*1_Friction!Z105,0)</f>
        <v>0</v>
      </c>
      <c r="AB105" s="43" t="n">
        <f aca="false">IF(Matrice_OD!AA105&lt;=Param!$B$2,3_Huff!AA105*3_Huff!AA$139*1_Friction!AA105,0)</f>
        <v>0</v>
      </c>
      <c r="AC105" s="43" t="n">
        <f aca="false">IF(Matrice_OD!AB105&lt;=Param!$B$2,3_Huff!AB105*3_Huff!AB$139*1_Friction!AB105,0)</f>
        <v>0</v>
      </c>
      <c r="AD105" s="43" t="n">
        <f aca="false">IF(Matrice_OD!AC105&lt;=Param!$B$2,3_Huff!AC105*3_Huff!AC$139*1_Friction!AC105,0)</f>
        <v>1.74762004233708E-006</v>
      </c>
      <c r="AE105" s="43" t="n">
        <f aca="false">IF(Matrice_OD!AD105&lt;=Param!$B$2,3_Huff!AD105*3_Huff!AD$139*1_Friction!AD105,0)</f>
        <v>9.15465983839771E-006</v>
      </c>
      <c r="AF105" s="43" t="n">
        <f aca="false">IF(Matrice_OD!AE105&lt;=Param!$B$2,3_Huff!AE105*3_Huff!AE$139*1_Friction!AE105,0)</f>
        <v>5.87852644452407E-006</v>
      </c>
      <c r="AG105" s="43" t="n">
        <f aca="false">IF(Matrice_OD!AF105&lt;=Param!$B$2,3_Huff!AF105*3_Huff!AF$139*1_Friction!AF105,0)</f>
        <v>3.90957365404962E-006</v>
      </c>
      <c r="AH105" s="43" t="n">
        <f aca="false">IF(Matrice_OD!AG105&lt;=Param!$B$2,3_Huff!AG105*3_Huff!AG$139*1_Friction!AG105,0)</f>
        <v>0</v>
      </c>
      <c r="AI105" s="43" t="n">
        <f aca="false">IF(Matrice_OD!AH105&lt;=Param!$B$2,3_Huff!AH105*3_Huff!AH$139*1_Friction!AH105,0)</f>
        <v>0</v>
      </c>
      <c r="AJ105" s="43" t="n">
        <f aca="false">IF(Matrice_OD!AI105&lt;=Param!$B$2,3_Huff!AI105*3_Huff!AI$139*1_Friction!AI105,0)</f>
        <v>0</v>
      </c>
      <c r="AK105" s="43" t="n">
        <f aca="false">IF(Matrice_OD!AJ105&lt;=Param!$B$2,3_Huff!AJ105*3_Huff!AJ$139*1_Friction!AJ105,0)</f>
        <v>0</v>
      </c>
      <c r="AL105" s="43" t="n">
        <f aca="false">IF(Matrice_OD!AK105&lt;=Param!$B$2,3_Huff!AK105*3_Huff!AK$139*1_Friction!AK105,0)</f>
        <v>2.03178792923235E-005</v>
      </c>
      <c r="AM105" s="0" t="n">
        <f aca="false">IF(Matrice_OD!AL105&lt;=Param!$B$2,3_Huff!AL105*3_Huff!AL$139*1_Friction!AL105,0)</f>
        <v>1.74916707742473E-005</v>
      </c>
      <c r="AN105" s="0" t="n">
        <f aca="false">IF(Matrice_OD!AM105&lt;=Param!$B$2,3_Huff!AM105*3_Huff!AM$139*1_Friction!AM105,0)</f>
        <v>0</v>
      </c>
      <c r="AO105" s="0" t="n">
        <f aca="false">IF(Matrice_OD!AN105&lt;=Param!$B$2,3_Huff!AN105*3_Huff!AN$139*1_Friction!AN105,0)</f>
        <v>0</v>
      </c>
      <c r="AP105" s="49" t="n">
        <f aca="false">SUM(D105:AO105)</f>
        <v>5.84999300458793E-005</v>
      </c>
      <c r="AQ105" s="43" t="n">
        <f aca="false">AP105*1000</f>
        <v>0.0584999300458793</v>
      </c>
      <c r="AR105" s="43" t="n">
        <f aca="false">RANK(AP105,AP$2:AP$136,0)</f>
        <v>89</v>
      </c>
      <c r="AS105" s="43" t="n">
        <f aca="false">COUNTIF(Matrice_OD!$C105:$AN105,"&lt;="&amp;Param!$B$2)</f>
        <v>6</v>
      </c>
    </row>
    <row r="106" customFormat="false" ht="15" hidden="false" customHeight="true" outlineLevel="0" collapsed="false">
      <c r="A106" s="0" t="s">
        <v>310</v>
      </c>
      <c r="B106" s="0" t="s">
        <v>311</v>
      </c>
      <c r="C106" s="0" t="n">
        <f aca="false">Demande!C106</f>
        <v>195931</v>
      </c>
      <c r="D106" s="43" t="n">
        <f aca="false">IF(Matrice_OD!C106&lt;=Param!$B$2,3_Huff!C106*3_Huff!C$139*1_Friction!C106,0)</f>
        <v>9.18100968837699E-008</v>
      </c>
      <c r="E106" s="43" t="n">
        <f aca="false">IF(Matrice_OD!D106&lt;=Param!$B$2,3_Huff!D106*3_Huff!D$139*1_Friction!D106,0)</f>
        <v>3.13249815282907E-008</v>
      </c>
      <c r="F106" s="43" t="n">
        <f aca="false">IF(Matrice_OD!E106&lt;=Param!$B$2,3_Huff!E106*3_Huff!E$139*1_Friction!E106,0)</f>
        <v>2.85574091705959E-007</v>
      </c>
      <c r="G106" s="43" t="n">
        <f aca="false">IF(Matrice_OD!F106&lt;=Param!$B$2,3_Huff!F106*3_Huff!F$139*1_Friction!F106,0)</f>
        <v>5.34173994905339E-008</v>
      </c>
      <c r="H106" s="43" t="n">
        <f aca="false">IF(Matrice_OD!G106&lt;=Param!$B$2,3_Huff!G106*3_Huff!G$139*1_Friction!G106,0)</f>
        <v>1.3316740852852E-007</v>
      </c>
      <c r="I106" s="43" t="n">
        <f aca="false">IF(Matrice_OD!H106&lt;=Param!$B$2,3_Huff!H106*3_Huff!H$139*1_Friction!H106,0)</f>
        <v>4.73186970177029E-008</v>
      </c>
      <c r="J106" s="43" t="n">
        <f aca="false">IF(Matrice_OD!I106&lt;=Param!$B$2,3_Huff!I106*3_Huff!I$139*1_Friction!I106,0)</f>
        <v>8.17235945521872E-008</v>
      </c>
      <c r="K106" s="43" t="n">
        <f aca="false">IF(Matrice_OD!J106&lt;=Param!$B$2,3_Huff!J106*3_Huff!J$139*1_Friction!J106,0)</f>
        <v>6.129064876917E-008</v>
      </c>
      <c r="L106" s="43" t="n">
        <f aca="false">IF(Matrice_OD!K106&lt;=Param!$B$2,3_Huff!K106*3_Huff!K$139*1_Friction!K106,0)</f>
        <v>3.77069659983934E-008</v>
      </c>
      <c r="M106" s="43" t="n">
        <f aca="false">IF(Matrice_OD!L106&lt;=Param!$B$2,3_Huff!L106*3_Huff!L$139*1_Friction!L106,0)</f>
        <v>4.12938204438202E-008</v>
      </c>
      <c r="N106" s="43" t="n">
        <f aca="false">IF(Matrice_OD!M106&lt;=Param!$B$2,3_Huff!M106*3_Huff!M$139*1_Friction!M106,0)</f>
        <v>2.57936329607868E-007</v>
      </c>
      <c r="O106" s="43" t="n">
        <f aca="false">IF(Matrice_OD!N106&lt;=Param!$B$2,3_Huff!N106*3_Huff!N$139*1_Friction!N106,0)</f>
        <v>3.03854423288575E-008</v>
      </c>
      <c r="P106" s="43" t="n">
        <f aca="false">IF(Matrice_OD!O106&lt;=Param!$B$2,3_Huff!O106*3_Huff!O$139*1_Friction!O106,0)</f>
        <v>9.18531844765952E-008</v>
      </c>
      <c r="Q106" s="43" t="n">
        <f aca="false">IF(Matrice_OD!P106&lt;=Param!$B$2,3_Huff!P106*3_Huff!P$139*1_Friction!P106,0)</f>
        <v>4.37183833545069E-008</v>
      </c>
      <c r="R106" s="43" t="n">
        <f aca="false">IF(Matrice_OD!Q106&lt;=Param!$B$2,3_Huff!Q106*3_Huff!Q$139*1_Friction!Q106,0)</f>
        <v>3.65704024208049E-007</v>
      </c>
      <c r="S106" s="43" t="n">
        <f aca="false">IF(Matrice_OD!R106&lt;=Param!$B$2,3_Huff!R106*3_Huff!R$139*1_Friction!R106,0)</f>
        <v>4.81270319484E-008</v>
      </c>
      <c r="T106" s="43" t="n">
        <f aca="false">IF(Matrice_OD!S106&lt;=Param!$B$2,3_Huff!S106*3_Huff!S$139*1_Friction!S106,0)</f>
        <v>3.49741844063945E-008</v>
      </c>
      <c r="U106" s="43" t="n">
        <f aca="false">IF(Matrice_OD!T106&lt;=Param!$B$2,3_Huff!T106*3_Huff!T$139*1_Friction!T106,0)</f>
        <v>3.26085412215471E-006</v>
      </c>
      <c r="V106" s="43" t="n">
        <f aca="false">IF(Matrice_OD!U106&lt;=Param!$B$2,3_Huff!U106*3_Huff!U$139*1_Friction!U106,0)</f>
        <v>5.68412659878355E-006</v>
      </c>
      <c r="W106" s="43" t="n">
        <f aca="false">IF(Matrice_OD!V106&lt;=Param!$B$2,3_Huff!V106*3_Huff!V$139*1_Friction!V106,0)</f>
        <v>0.000189631708606029</v>
      </c>
      <c r="X106" s="43" t="n">
        <f aca="false">IF(Matrice_OD!W106&lt;=Param!$B$2,3_Huff!W106*3_Huff!W$139*1_Friction!W106,0)</f>
        <v>3.6879830290789E-005</v>
      </c>
      <c r="Y106" s="43" t="n">
        <f aca="false">IF(Matrice_OD!X106&lt;=Param!$B$2,3_Huff!X106*3_Huff!X$139*1_Friction!X106,0)</f>
        <v>4.9040392381533E-005</v>
      </c>
      <c r="Z106" s="43" t="n">
        <f aca="false">IF(Matrice_OD!Y106&lt;=Param!$B$2,3_Huff!Y106*3_Huff!Y$139*1_Friction!Y106,0)</f>
        <v>3.28153672213742E-005</v>
      </c>
      <c r="AA106" s="43" t="n">
        <f aca="false">IF(Matrice_OD!Z106&lt;=Param!$B$2,3_Huff!Z106*3_Huff!Z$139*1_Friction!Z106,0)</f>
        <v>8.27811482022104E-005</v>
      </c>
      <c r="AB106" s="43" t="n">
        <f aca="false">IF(Matrice_OD!AA106&lt;=Param!$B$2,3_Huff!AA106*3_Huff!AA$139*1_Friction!AA106,0)</f>
        <v>0.000163018740846007</v>
      </c>
      <c r="AC106" s="43" t="n">
        <f aca="false">IF(Matrice_OD!AB106&lt;=Param!$B$2,3_Huff!AB106*3_Huff!AB$139*1_Friction!AB106,0)</f>
        <v>7.24821680375235E-005</v>
      </c>
      <c r="AD106" s="43" t="n">
        <f aca="false">IF(Matrice_OD!AC106&lt;=Param!$B$2,3_Huff!AC106*3_Huff!AC$139*1_Friction!AC106,0)</f>
        <v>0</v>
      </c>
      <c r="AE106" s="43" t="n">
        <f aca="false">IF(Matrice_OD!AD106&lt;=Param!$B$2,3_Huff!AD106*3_Huff!AD$139*1_Friction!AD106,0)</f>
        <v>0</v>
      </c>
      <c r="AF106" s="43" t="n">
        <f aca="false">IF(Matrice_OD!AE106&lt;=Param!$B$2,3_Huff!AE106*3_Huff!AE$139*1_Friction!AE106,0)</f>
        <v>0</v>
      </c>
      <c r="AG106" s="43" t="n">
        <f aca="false">IF(Matrice_OD!AF106&lt;=Param!$B$2,3_Huff!AF106*3_Huff!AF$139*1_Friction!AF106,0)</f>
        <v>0</v>
      </c>
      <c r="AH106" s="43" t="n">
        <f aca="false">IF(Matrice_OD!AG106&lt;=Param!$B$2,3_Huff!AG106*3_Huff!AG$139*1_Friction!AG106,0)</f>
        <v>0</v>
      </c>
      <c r="AI106" s="43" t="n">
        <f aca="false">IF(Matrice_OD!AH106&lt;=Param!$B$2,3_Huff!AH106*3_Huff!AH$139*1_Friction!AH106,0)</f>
        <v>1.06265202355884E-007</v>
      </c>
      <c r="AJ106" s="43" t="n">
        <f aca="false">IF(Matrice_OD!AI106&lt;=Param!$B$2,3_Huff!AI106*3_Huff!AI$139*1_Friction!AI106,0)</f>
        <v>1.28497467014458E-006</v>
      </c>
      <c r="AK106" s="43" t="n">
        <f aca="false">IF(Matrice_OD!AJ106&lt;=Param!$B$2,3_Huff!AJ106*3_Huff!AJ$139*1_Friction!AJ106,0)</f>
        <v>7.5420322988292E-005</v>
      </c>
      <c r="AL106" s="43" t="n">
        <f aca="false">IF(Matrice_OD!AK106&lt;=Param!$B$2,3_Huff!AK106*3_Huff!AK$139*1_Friction!AK106,0)</f>
        <v>0</v>
      </c>
      <c r="AM106" s="0" t="n">
        <f aca="false">IF(Matrice_OD!AL106&lt;=Param!$B$2,3_Huff!AL106*3_Huff!AL$139*1_Friction!AL106,0)</f>
        <v>0</v>
      </c>
      <c r="AN106" s="0" t="n">
        <f aca="false">IF(Matrice_OD!AM106&lt;=Param!$B$2,3_Huff!AM106*3_Huff!AM$139*1_Friction!AM106,0)</f>
        <v>2.12350129150787E-007</v>
      </c>
      <c r="AO106" s="0" t="n">
        <f aca="false">IF(Matrice_OD!AN106&lt;=Param!$B$2,3_Huff!AN106*3_Huff!AN$139*1_Friction!AN106,0)</f>
        <v>0</v>
      </c>
      <c r="AP106" s="48" t="n">
        <f aca="false">SUM(D106:AO106)</f>
        <v>0.000714355575581596</v>
      </c>
      <c r="AQ106" s="43" t="n">
        <f aca="false">AP106*1000</f>
        <v>0.714355575581596</v>
      </c>
      <c r="AR106" s="43" t="n">
        <f aca="false">RANK(AP106,AP$2:AP$136,0)</f>
        <v>1</v>
      </c>
      <c r="AS106" s="43" t="n">
        <f aca="false">COUNTIF(Matrice_OD!$C106:$AN106,"&lt;="&amp;Param!$B$2)</f>
        <v>30</v>
      </c>
    </row>
    <row r="107" customFormat="false" ht="15" hidden="false" customHeight="true" outlineLevel="0" collapsed="false">
      <c r="A107" s="0" t="s">
        <v>312</v>
      </c>
      <c r="B107" s="0" t="s">
        <v>313</v>
      </c>
      <c r="C107" s="0" t="n">
        <f aca="false">Demande!C107</f>
        <v>93776</v>
      </c>
      <c r="D107" s="43" t="n">
        <f aca="false">IF(Matrice_OD!C107&lt;=Param!$B$2,3_Huff!C107*3_Huff!C$139*1_Friction!C107,0)</f>
        <v>6.31932579738905E-008</v>
      </c>
      <c r="E107" s="43" t="n">
        <f aca="false">IF(Matrice_OD!D107&lt;=Param!$B$2,3_Huff!D107*3_Huff!D$139*1_Friction!D107,0)</f>
        <v>5.19607097717687E-007</v>
      </c>
      <c r="F107" s="43" t="n">
        <f aca="false">IF(Matrice_OD!E107&lt;=Param!$B$2,3_Huff!E107*3_Huff!E$139*1_Friction!E107,0)</f>
        <v>6.17967553073935E-006</v>
      </c>
      <c r="G107" s="43" t="n">
        <f aca="false">IF(Matrice_OD!F107&lt;=Param!$B$2,3_Huff!F107*3_Huff!F$139*1_Friction!F107,0)</f>
        <v>1.14152898518644E-006</v>
      </c>
      <c r="H107" s="43" t="n">
        <f aca="false">IF(Matrice_OD!G107&lt;=Param!$B$2,3_Huff!G107*3_Huff!G$139*1_Friction!G107,0)</f>
        <v>3.20539465366219E-006</v>
      </c>
      <c r="I107" s="43" t="n">
        <f aca="false">IF(Matrice_OD!H107&lt;=Param!$B$2,3_Huff!H107*3_Huff!H$139*1_Friction!H107,0)</f>
        <v>9.22410186155925E-007</v>
      </c>
      <c r="J107" s="43" t="n">
        <f aca="false">IF(Matrice_OD!I107&lt;=Param!$B$2,3_Huff!I107*3_Huff!I$139*1_Friction!I107,0)</f>
        <v>2.11472637016233E-006</v>
      </c>
      <c r="K107" s="43" t="n">
        <f aca="false">IF(Matrice_OD!J107&lt;=Param!$B$2,3_Huff!J107*3_Huff!J$139*1_Friction!J107,0)</f>
        <v>1.59643833797822E-006</v>
      </c>
      <c r="L107" s="43" t="n">
        <f aca="false">IF(Matrice_OD!K107&lt;=Param!$B$2,3_Huff!K107*3_Huff!K$139*1_Friction!K107,0)</f>
        <v>9.30847066414546E-007</v>
      </c>
      <c r="M107" s="43" t="n">
        <f aca="false">IF(Matrice_OD!L107&lt;=Param!$B$2,3_Huff!L107*3_Huff!L$139*1_Friction!L107,0)</f>
        <v>1.06693474794929E-006</v>
      </c>
      <c r="N107" s="43" t="n">
        <f aca="false">IF(Matrice_OD!M107&lt;=Param!$B$2,3_Huff!M107*3_Huff!M$139*1_Friction!M107,0)</f>
        <v>6.3963980600665E-006</v>
      </c>
      <c r="O107" s="43" t="n">
        <f aca="false">IF(Matrice_OD!N107&lt;=Param!$B$2,3_Huff!N107*3_Huff!N$139*1_Friction!N107,0)</f>
        <v>7.48894308735555E-007</v>
      </c>
      <c r="P107" s="43" t="n">
        <f aca="false">IF(Matrice_OD!O107&lt;=Param!$B$2,3_Huff!O107*3_Huff!O$139*1_Friction!O107,0)</f>
        <v>2.42018212516407E-006</v>
      </c>
      <c r="Q107" s="43" t="n">
        <f aca="false">IF(Matrice_OD!P107&lt;=Param!$B$2,3_Huff!P107*3_Huff!P$139*1_Friction!P107,0)</f>
        <v>1.22108369338855E-006</v>
      </c>
      <c r="R107" s="43" t="n">
        <f aca="false">IF(Matrice_OD!Q107&lt;=Param!$B$2,3_Huff!Q107*3_Huff!Q$139*1_Friction!Q107,0)</f>
        <v>1.09415470274321E-005</v>
      </c>
      <c r="S107" s="43" t="n">
        <f aca="false">IF(Matrice_OD!R107&lt;=Param!$B$2,3_Huff!R107*3_Huff!R$139*1_Friction!R107,0)</f>
        <v>1.43794759466765E-006</v>
      </c>
      <c r="T107" s="43" t="n">
        <f aca="false">IF(Matrice_OD!S107&lt;=Param!$B$2,3_Huff!S107*3_Huff!S$139*1_Friction!S107,0)</f>
        <v>1.02233813931803E-006</v>
      </c>
      <c r="U107" s="43" t="n">
        <f aca="false">IF(Matrice_OD!T107&lt;=Param!$B$2,3_Huff!T107*3_Huff!T$139*1_Friction!T107,0)</f>
        <v>2.77113003696011E-006</v>
      </c>
      <c r="V107" s="43" t="n">
        <f aca="false">IF(Matrice_OD!U107&lt;=Param!$B$2,3_Huff!U107*3_Huff!U$139*1_Friction!U107,0)</f>
        <v>2.38491270500446E-005</v>
      </c>
      <c r="W107" s="43" t="n">
        <f aca="false">IF(Matrice_OD!V107&lt;=Param!$B$2,3_Huff!V107*3_Huff!V$139*1_Friction!V107,0)</f>
        <v>6.17714649038682E-005</v>
      </c>
      <c r="X107" s="43" t="n">
        <f aca="false">IF(Matrice_OD!W107&lt;=Param!$B$2,3_Huff!W107*3_Huff!W$139*1_Friction!W107,0)</f>
        <v>1.25486731370202E-005</v>
      </c>
      <c r="Y107" s="43" t="n">
        <f aca="false">IF(Matrice_OD!X107&lt;=Param!$B$2,3_Huff!X107*3_Huff!X$139*1_Friction!X107,0)</f>
        <v>1.79647386577656E-005</v>
      </c>
      <c r="Z107" s="43" t="n">
        <f aca="false">IF(Matrice_OD!Y107&lt;=Param!$B$2,3_Huff!Y107*3_Huff!Y$139*1_Friction!Y107,0)</f>
        <v>1.16437686866743E-005</v>
      </c>
      <c r="AA107" s="43" t="n">
        <f aca="false">IF(Matrice_OD!Z107&lt;=Param!$B$2,3_Huff!Z107*3_Huff!Z$139*1_Friction!Z107,0)</f>
        <v>2.80910928624273E-005</v>
      </c>
      <c r="AB107" s="43" t="n">
        <f aca="false">IF(Matrice_OD!AA107&lt;=Param!$B$2,3_Huff!AA107*3_Huff!AA$139*1_Friction!AA107,0)</f>
        <v>6.36494600548705E-005</v>
      </c>
      <c r="AC107" s="43" t="n">
        <f aca="false">IF(Matrice_OD!AB107&lt;=Param!$B$2,3_Huff!AB107*3_Huff!AB$139*1_Friction!AB107,0)</f>
        <v>2.77690931958573E-005</v>
      </c>
      <c r="AD107" s="43" t="n">
        <f aca="false">IF(Matrice_OD!AC107&lt;=Param!$B$2,3_Huff!AC107*3_Huff!AC$139*1_Friction!AC107,0)</f>
        <v>0</v>
      </c>
      <c r="AE107" s="43" t="n">
        <f aca="false">IF(Matrice_OD!AD107&lt;=Param!$B$2,3_Huff!AD107*3_Huff!AD$139*1_Friction!AD107,0)</f>
        <v>0</v>
      </c>
      <c r="AF107" s="43" t="n">
        <f aca="false">IF(Matrice_OD!AE107&lt;=Param!$B$2,3_Huff!AE107*3_Huff!AE$139*1_Friction!AE107,0)</f>
        <v>0</v>
      </c>
      <c r="AG107" s="43" t="n">
        <f aca="false">IF(Matrice_OD!AF107&lt;=Param!$B$2,3_Huff!AF107*3_Huff!AF$139*1_Friction!AF107,0)</f>
        <v>0</v>
      </c>
      <c r="AH107" s="43" t="n">
        <f aca="false">IF(Matrice_OD!AG107&lt;=Param!$B$2,3_Huff!AG107*3_Huff!AG$139*1_Friction!AG107,0)</f>
        <v>0</v>
      </c>
      <c r="AI107" s="43" t="n">
        <f aca="false">IF(Matrice_OD!AH107&lt;=Param!$B$2,3_Huff!AH107*3_Huff!AH$139*1_Friction!AH107,0)</f>
        <v>3.9786561845205E-006</v>
      </c>
      <c r="AJ107" s="43" t="n">
        <f aca="false">IF(Matrice_OD!AI107&lt;=Param!$B$2,3_Huff!AI107*3_Huff!AI$139*1_Friction!AI107,0)</f>
        <v>1.07590916781845E-006</v>
      </c>
      <c r="AK107" s="43" t="n">
        <f aca="false">IF(Matrice_OD!AJ107&lt;=Param!$B$2,3_Huff!AJ107*3_Huff!AJ$139*1_Friction!AJ107,0)</f>
        <v>2.74701970662858E-005</v>
      </c>
      <c r="AL107" s="43" t="n">
        <f aca="false">IF(Matrice_OD!AK107&lt;=Param!$B$2,3_Huff!AK107*3_Huff!AK$139*1_Friction!AK107,0)</f>
        <v>0</v>
      </c>
      <c r="AM107" s="0" t="n">
        <f aca="false">IF(Matrice_OD!AL107&lt;=Param!$B$2,3_Huff!AL107*3_Huff!AL$139*1_Friction!AL107,0)</f>
        <v>0</v>
      </c>
      <c r="AN107" s="0" t="n">
        <f aca="false">IF(Matrice_OD!AM107&lt;=Param!$B$2,3_Huff!AM107*3_Huff!AM$139*1_Friction!AM107,0)</f>
        <v>1.46783795717072E-007</v>
      </c>
      <c r="AO107" s="0" t="n">
        <f aca="false">IF(Matrice_OD!AN107&lt;=Param!$B$2,3_Huff!AN107*3_Huff!AN$139*1_Friction!AN107,0)</f>
        <v>0</v>
      </c>
      <c r="AP107" s="49" t="n">
        <f aca="false">SUM(D107:AO107)</f>
        <v>0.000324659241982542</v>
      </c>
      <c r="AQ107" s="43" t="n">
        <f aca="false">AP107*1000</f>
        <v>0.324659241982542</v>
      </c>
      <c r="AR107" s="43" t="n">
        <f aca="false">RANK(AP107,AP$2:AP$136,0)</f>
        <v>21</v>
      </c>
      <c r="AS107" s="43" t="n">
        <f aca="false">COUNTIF(Matrice_OD!$C107:$AN107,"&lt;="&amp;Param!$B$2)</f>
        <v>30</v>
      </c>
    </row>
    <row r="108" customFormat="false" ht="15" hidden="false" customHeight="true" outlineLevel="0" collapsed="false">
      <c r="A108" s="0" t="s">
        <v>314</v>
      </c>
      <c r="B108" s="0" t="s">
        <v>315</v>
      </c>
      <c r="C108" s="0" t="n">
        <f aca="false">Demande!C108</f>
        <v>47209</v>
      </c>
      <c r="D108" s="43" t="n">
        <f aca="false">IF(Matrice_OD!C108&lt;=Param!$B$2,3_Huff!C108*3_Huff!C$139*1_Friction!C108,0)</f>
        <v>2.67573312607718E-008</v>
      </c>
      <c r="E108" s="43" t="n">
        <f aca="false">IF(Matrice_OD!D108&lt;=Param!$B$2,3_Huff!D108*3_Huff!D$139*1_Friction!D108,0)</f>
        <v>7.16823215292982E-007</v>
      </c>
      <c r="F108" s="43" t="n">
        <f aca="false">IF(Matrice_OD!E108&lt;=Param!$B$2,3_Huff!E108*3_Huff!E$139*1_Friction!E108,0)</f>
        <v>8.53151805676071E-006</v>
      </c>
      <c r="G108" s="43" t="n">
        <f aca="false">IF(Matrice_OD!F108&lt;=Param!$B$2,3_Huff!F108*3_Huff!F$139*1_Friction!F108,0)</f>
        <v>1.57706254822511E-006</v>
      </c>
      <c r="H108" s="43" t="n">
        <f aca="false">IF(Matrice_OD!G108&lt;=Param!$B$2,3_Huff!G108*3_Huff!G$139*1_Friction!G108,0)</f>
        <v>4.41970980455177E-006</v>
      </c>
      <c r="I108" s="43" t="n">
        <f aca="false">IF(Matrice_OD!H108&lt;=Param!$B$2,3_Huff!H108*3_Huff!H$139*1_Friction!H108,0)</f>
        <v>1.27932512549187E-006</v>
      </c>
      <c r="J108" s="43" t="n">
        <f aca="false">IF(Matrice_OD!I108&lt;=Param!$B$2,3_Huff!I108*3_Huff!I$139*1_Friction!I108,0)</f>
        <v>2.93488820744649E-006</v>
      </c>
      <c r="K108" s="43" t="n">
        <f aca="false">IF(Matrice_OD!J108&lt;=Param!$B$2,3_Huff!J108*3_Huff!J$139*1_Friction!J108,0)</f>
        <v>2.20894241935194E-006</v>
      </c>
      <c r="L108" s="43" t="n">
        <f aca="false">IF(Matrice_OD!K108&lt;=Param!$B$2,3_Huff!K108*3_Huff!K$139*1_Friction!K108,0)</f>
        <v>1.28715523284849E-006</v>
      </c>
      <c r="M108" s="43" t="n">
        <f aca="false">IF(Matrice_OD!L108&lt;=Param!$B$2,3_Huff!L108*3_Huff!L$139*1_Friction!L108,0)</f>
        <v>1.47908125103107E-006</v>
      </c>
      <c r="N108" s="43" t="n">
        <f aca="false">IF(Matrice_OD!M108&lt;=Param!$B$2,3_Huff!M108*3_Huff!M$139*1_Friction!M108,0)</f>
        <v>8.8951243914622E-006</v>
      </c>
      <c r="O108" s="43" t="n">
        <f aca="false">IF(Matrice_OD!N108&lt;=Param!$B$2,3_Huff!N108*3_Huff!N$139*1_Friction!N108,0)</f>
        <v>1.03792603629775E-006</v>
      </c>
      <c r="P108" s="43" t="n">
        <f aca="false">IF(Matrice_OD!O108&lt;=Param!$B$2,3_Huff!O108*3_Huff!O$139*1_Friction!O108,0)</f>
        <v>3.35168434117556E-006</v>
      </c>
      <c r="Q108" s="43" t="n">
        <f aca="false">IF(Matrice_OD!P108&lt;=Param!$B$2,3_Huff!P108*3_Huff!P$139*1_Friction!P108,0)</f>
        <v>1.692688663411E-006</v>
      </c>
      <c r="R108" s="43" t="n">
        <f aca="false">IF(Matrice_OD!Q108&lt;=Param!$B$2,3_Huff!Q108*3_Huff!Q$139*1_Friction!Q108,0)</f>
        <v>1.51713063443867E-005</v>
      </c>
      <c r="S108" s="43" t="n">
        <f aca="false">IF(Matrice_OD!R108&lt;=Param!$B$2,3_Huff!R108*3_Huff!R$139*1_Friction!R108,0)</f>
        <v>1.99517041615812E-006</v>
      </c>
      <c r="T108" s="43" t="n">
        <f aca="false">IF(Matrice_OD!S108&lt;=Param!$B$2,3_Huff!S108*3_Huff!S$139*1_Friction!S108,0)</f>
        <v>1.41635797302748E-006</v>
      </c>
      <c r="U108" s="43" t="n">
        <f aca="false">IF(Matrice_OD!T108&lt;=Param!$B$2,3_Huff!T108*3_Huff!T$139*1_Friction!T108,0)</f>
        <v>1.95222155201122E-006</v>
      </c>
      <c r="V108" s="43" t="n">
        <f aca="false">IF(Matrice_OD!U108&lt;=Param!$B$2,3_Huff!U108*3_Huff!U$139*1_Friction!U108,0)</f>
        <v>2.14653179783407E-005</v>
      </c>
      <c r="W108" s="43" t="n">
        <f aca="false">IF(Matrice_OD!V108&lt;=Param!$B$2,3_Huff!V108*3_Huff!V$139*1_Friction!V108,0)</f>
        <v>1.45917956794616E-005</v>
      </c>
      <c r="X108" s="43" t="n">
        <f aca="false">IF(Matrice_OD!W108&lt;=Param!$B$2,3_Huff!W108*3_Huff!W$139*1_Friction!W108,0)</f>
        <v>3.54442633665859E-006</v>
      </c>
      <c r="Y108" s="43" t="n">
        <f aca="false">IF(Matrice_OD!X108&lt;=Param!$B$2,3_Huff!X108*3_Huff!X$139*1_Friction!X108,0)</f>
        <v>5.51140512094806E-006</v>
      </c>
      <c r="Z108" s="43" t="n">
        <f aca="false">IF(Matrice_OD!Y108&lt;=Param!$B$2,3_Huff!Y108*3_Huff!Y$139*1_Friction!Y108,0)</f>
        <v>3.68449116506788E-006</v>
      </c>
      <c r="AA108" s="43" t="n">
        <f aca="false">IF(Matrice_OD!Z108&lt;=Param!$B$2,3_Huff!Z108*3_Huff!Z$139*1_Friction!Z108,0)</f>
        <v>9.02015330937303E-006</v>
      </c>
      <c r="AB108" s="43" t="n">
        <f aca="false">IF(Matrice_OD!AA108&lt;=Param!$B$2,3_Huff!AA108*3_Huff!AA$139*1_Friction!AA108,0)</f>
        <v>1.91380979438063E-005</v>
      </c>
      <c r="AC108" s="43" t="n">
        <f aca="false">IF(Matrice_OD!AB108&lt;=Param!$B$2,3_Huff!AB108*3_Huff!AB$139*1_Friction!AB108,0)</f>
        <v>9.85424323563849E-006</v>
      </c>
      <c r="AD108" s="43" t="n">
        <f aca="false">IF(Matrice_OD!AC108&lt;=Param!$B$2,3_Huff!AC108*3_Huff!AC$139*1_Friction!AC108,0)</f>
        <v>0</v>
      </c>
      <c r="AE108" s="43" t="n">
        <f aca="false">IF(Matrice_OD!AD108&lt;=Param!$B$2,3_Huff!AD108*3_Huff!AD$139*1_Friction!AD108,0)</f>
        <v>0</v>
      </c>
      <c r="AF108" s="43" t="n">
        <f aca="false">IF(Matrice_OD!AE108&lt;=Param!$B$2,3_Huff!AE108*3_Huff!AE$139*1_Friction!AE108,0)</f>
        <v>0</v>
      </c>
      <c r="AG108" s="43" t="n">
        <f aca="false">IF(Matrice_OD!AF108&lt;=Param!$B$2,3_Huff!AF108*3_Huff!AF$139*1_Friction!AF108,0)</f>
        <v>0</v>
      </c>
      <c r="AH108" s="43" t="n">
        <f aca="false">IF(Matrice_OD!AG108&lt;=Param!$B$2,3_Huff!AG108*3_Huff!AG$139*1_Friction!AG108,0)</f>
        <v>0</v>
      </c>
      <c r="AI108" s="43" t="n">
        <f aca="false">IF(Matrice_OD!AH108&lt;=Param!$B$2,3_Huff!AH108*3_Huff!AH$139*1_Friction!AH108,0)</f>
        <v>5.53378695887071E-006</v>
      </c>
      <c r="AJ108" s="43" t="n">
        <f aca="false">IF(Matrice_OD!AI108&lt;=Param!$B$2,3_Huff!AI108*3_Huff!AI$139*1_Friction!AI108,0)</f>
        <v>7.32695391015774E-007</v>
      </c>
      <c r="AK108" s="43" t="n">
        <f aca="false">IF(Matrice_OD!AJ108&lt;=Param!$B$2,3_Huff!AJ108*3_Huff!AJ$139*1_Friction!AJ108,0)</f>
        <v>7.77196544548112E-006</v>
      </c>
      <c r="AL108" s="43" t="n">
        <f aca="false">IF(Matrice_OD!AK108&lt;=Param!$B$2,3_Huff!AK108*3_Huff!AK$139*1_Friction!AK108,0)</f>
        <v>0</v>
      </c>
      <c r="AM108" s="0" t="n">
        <f aca="false">IF(Matrice_OD!AL108&lt;=Param!$B$2,3_Huff!AL108*3_Huff!AL$139*1_Friction!AL108,0)</f>
        <v>0</v>
      </c>
      <c r="AN108" s="0" t="n">
        <f aca="false">IF(Matrice_OD!AM108&lt;=Param!$B$2,3_Huff!AM108*3_Huff!AM$139*1_Friction!AM108,0)</f>
        <v>6.04390280605498E-008</v>
      </c>
      <c r="AO108" s="0" t="n">
        <f aca="false">IF(Matrice_OD!AN108&lt;=Param!$B$2,3_Huff!AN108*3_Huff!AN$139*1_Friction!AN108,0)</f>
        <v>0</v>
      </c>
      <c r="AP108" s="48" t="n">
        <f aca="false">SUM(D108:AO108)</f>
        <v>0.000160882560502914</v>
      </c>
      <c r="AQ108" s="43" t="n">
        <f aca="false">AP108*1000</f>
        <v>0.160882560502914</v>
      </c>
      <c r="AR108" s="43" t="n">
        <f aca="false">RANK(AP108,AP$2:AP$136,0)</f>
        <v>55</v>
      </c>
      <c r="AS108" s="43" t="n">
        <f aca="false">COUNTIF(Matrice_OD!$C108:$AN108,"&lt;="&amp;Param!$B$2)</f>
        <v>30</v>
      </c>
    </row>
    <row r="109" customFormat="false" ht="15" hidden="false" customHeight="true" outlineLevel="0" collapsed="false">
      <c r="A109" s="0" t="s">
        <v>316</v>
      </c>
      <c r="B109" s="0" t="s">
        <v>317</v>
      </c>
      <c r="C109" s="0" t="n">
        <f aca="false">Demande!C109</f>
        <v>14722</v>
      </c>
      <c r="D109" s="43" t="n">
        <f aca="false">IF(Matrice_OD!C109&lt;=Param!$B$2,3_Huff!C109*3_Huff!C$139*1_Friction!C109,0)</f>
        <v>1.00654979883174E-008</v>
      </c>
      <c r="E109" s="43" t="n">
        <f aca="false">IF(Matrice_OD!D109&lt;=Param!$B$2,3_Huff!D109*3_Huff!D$139*1_Friction!D109,0)</f>
        <v>2.5034772217735E-008</v>
      </c>
      <c r="F109" s="43" t="n">
        <f aca="false">IF(Matrice_OD!E109&lt;=Param!$B$2,3_Huff!E109*3_Huff!E$139*1_Friction!E109,0)</f>
        <v>3.01866338212736E-007</v>
      </c>
      <c r="G109" s="43" t="n">
        <f aca="false">IF(Matrice_OD!F109&lt;=Param!$B$2,3_Huff!F109*3_Huff!F$139*1_Friction!F109,0)</f>
        <v>5.64812054767371E-008</v>
      </c>
      <c r="H109" s="43" t="n">
        <f aca="false">IF(Matrice_OD!G109&lt;=Param!$B$2,3_Huff!G109*3_Huff!G$139*1_Friction!G109,0)</f>
        <v>1.56239918453788E-007</v>
      </c>
      <c r="I109" s="43" t="n">
        <f aca="false">IF(Matrice_OD!H109&lt;=Param!$B$2,3_Huff!H109*3_Huff!H$139*1_Friction!H109,0)</f>
        <v>5.01387040143959E-008</v>
      </c>
      <c r="J109" s="43" t="n">
        <f aca="false">IF(Matrice_OD!I109&lt;=Param!$B$2,3_Huff!I109*3_Huff!I$139*1_Friction!I109,0)</f>
        <v>1.13807931016718E-007</v>
      </c>
      <c r="K109" s="43" t="n">
        <f aca="false">IF(Matrice_OD!J109&lt;=Param!$B$2,3_Huff!J109*3_Huff!J$139*1_Friction!J109,0)</f>
        <v>8.29690232498294E-008</v>
      </c>
      <c r="L109" s="43" t="n">
        <f aca="false">IF(Matrice_OD!K109&lt;=Param!$B$2,3_Huff!K109*3_Huff!K$139*1_Friction!K109,0)</f>
        <v>4.68288104659365E-008</v>
      </c>
      <c r="M109" s="43" t="n">
        <f aca="false">IF(Matrice_OD!L109&lt;=Param!$B$2,3_Huff!L109*3_Huff!L$139*1_Friction!L109,0)</f>
        <v>5.74067711064467E-008</v>
      </c>
      <c r="N109" s="43" t="n">
        <f aca="false">IF(Matrice_OD!M109&lt;=Param!$B$2,3_Huff!M109*3_Huff!M$139*1_Friction!M109,0)</f>
        <v>3.64523543377005E-007</v>
      </c>
      <c r="O109" s="43" t="n">
        <f aca="false">IF(Matrice_OD!N109&lt;=Param!$B$2,3_Huff!N109*3_Huff!N$139*1_Friction!N109,0)</f>
        <v>3.93014975953015E-008</v>
      </c>
      <c r="P109" s="43" t="n">
        <f aca="false">IF(Matrice_OD!O109&lt;=Param!$B$2,3_Huff!O109*3_Huff!O$139*1_Friction!O109,0)</f>
        <v>1.28039036166132E-007</v>
      </c>
      <c r="Q109" s="43" t="n">
        <f aca="false">IF(Matrice_OD!P109&lt;=Param!$B$2,3_Huff!P109*3_Huff!P$139*1_Friction!P109,0)</f>
        <v>6.56384097184637E-008</v>
      </c>
      <c r="R109" s="43" t="n">
        <f aca="false">IF(Matrice_OD!Q109&lt;=Param!$B$2,3_Huff!Q109*3_Huff!Q$139*1_Friction!Q109,0)</f>
        <v>5.91923419213137E-007</v>
      </c>
      <c r="S109" s="43" t="n">
        <f aca="false">IF(Matrice_OD!R109&lt;=Param!$B$2,3_Huff!R109*3_Huff!R$139*1_Friction!R109,0)</f>
        <v>7.7055812814507E-008</v>
      </c>
      <c r="T109" s="43" t="n">
        <f aca="false">IF(Matrice_OD!S109&lt;=Param!$B$2,3_Huff!S109*3_Huff!S$139*1_Friction!S109,0)</f>
        <v>5.32708711555597E-008</v>
      </c>
      <c r="U109" s="43" t="n">
        <f aca="false">IF(Matrice_OD!T109&lt;=Param!$B$2,3_Huff!T109*3_Huff!T$139*1_Friction!T109,0)</f>
        <v>8.85799641011618E-007</v>
      </c>
      <c r="V109" s="43" t="n">
        <f aca="false">IF(Matrice_OD!U109&lt;=Param!$B$2,3_Huff!U109*3_Huff!U$139*1_Friction!U109,0)</f>
        <v>1.37288182431271E-005</v>
      </c>
      <c r="W109" s="43" t="n">
        <f aca="false">IF(Matrice_OD!V109&lt;=Param!$B$2,3_Huff!V109*3_Huff!V$139*1_Friction!V109,0)</f>
        <v>0.000149542680695542</v>
      </c>
      <c r="X109" s="43" t="n">
        <f aca="false">IF(Matrice_OD!W109&lt;=Param!$B$2,3_Huff!W109*3_Huff!W$139*1_Friction!W109,0)</f>
        <v>3.00168894127296E-005</v>
      </c>
      <c r="Y109" s="43" t="n">
        <f aca="false">IF(Matrice_OD!X109&lt;=Param!$B$2,3_Huff!X109*3_Huff!X$139*1_Friction!X109,0)</f>
        <v>4.1554613847524E-005</v>
      </c>
      <c r="Z109" s="43" t="n">
        <f aca="false">IF(Matrice_OD!Y109&lt;=Param!$B$2,3_Huff!Y109*3_Huff!Y$139*1_Friction!Y109,0)</f>
        <v>2.73322430805267E-005</v>
      </c>
      <c r="AA109" s="43" t="n">
        <f aca="false">IF(Matrice_OD!Z109&lt;=Param!$B$2,3_Huff!Z109*3_Huff!Z$139*1_Friction!Z109,0)</f>
        <v>6.74025099323656E-005</v>
      </c>
      <c r="AB109" s="43" t="n">
        <f aca="false">IF(Matrice_OD!AA109&lt;=Param!$B$2,3_Huff!AA109*3_Huff!AA$139*1_Friction!AA109,0)</f>
        <v>0.000144127973712213</v>
      </c>
      <c r="AC109" s="43" t="n">
        <f aca="false">IF(Matrice_OD!AB109&lt;=Param!$B$2,3_Huff!AB109*3_Huff!AB$139*1_Friction!AB109,0)</f>
        <v>6.27320139624938E-005</v>
      </c>
      <c r="AD109" s="43" t="n">
        <f aca="false">IF(Matrice_OD!AC109&lt;=Param!$B$2,3_Huff!AC109*3_Huff!AC$139*1_Friction!AC109,0)</f>
        <v>0</v>
      </c>
      <c r="AE109" s="43" t="n">
        <f aca="false">IF(Matrice_OD!AD109&lt;=Param!$B$2,3_Huff!AD109*3_Huff!AD$139*1_Friction!AD109,0)</f>
        <v>0</v>
      </c>
      <c r="AF109" s="43" t="n">
        <f aca="false">IF(Matrice_OD!AE109&lt;=Param!$B$2,3_Huff!AE109*3_Huff!AE$139*1_Friction!AE109,0)</f>
        <v>0</v>
      </c>
      <c r="AG109" s="43" t="n">
        <f aca="false">IF(Matrice_OD!AF109&lt;=Param!$B$2,3_Huff!AF109*3_Huff!AF$139*1_Friction!AF109,0)</f>
        <v>0</v>
      </c>
      <c r="AH109" s="43" t="n">
        <f aca="false">IF(Matrice_OD!AG109&lt;=Param!$B$2,3_Huff!AG109*3_Huff!AG$139*1_Friction!AG109,0)</f>
        <v>0</v>
      </c>
      <c r="AI109" s="43" t="n">
        <f aca="false">IF(Matrice_OD!AH109&lt;=Param!$B$2,3_Huff!AH109*3_Huff!AH$139*1_Friction!AH109,0)</f>
        <v>2.22937767273297E-007</v>
      </c>
      <c r="AJ109" s="43" t="n">
        <f aca="false">IF(Matrice_OD!AI109&lt;=Param!$B$2,3_Huff!AI109*3_Huff!AI$139*1_Friction!AI109,0)</f>
        <v>3.28328081852794E-007</v>
      </c>
      <c r="AK109" s="43" t="n">
        <f aca="false">IF(Matrice_OD!AJ109&lt;=Param!$B$2,3_Huff!AJ109*3_Huff!AJ$139*1_Friction!AJ109,0)</f>
        <v>6.39792121263684E-005</v>
      </c>
      <c r="AL109" s="43" t="n">
        <f aca="false">IF(Matrice_OD!AK109&lt;=Param!$B$2,3_Huff!AK109*3_Huff!AK$139*1_Friction!AK109,0)</f>
        <v>0</v>
      </c>
      <c r="AM109" s="0" t="n">
        <f aca="false">IF(Matrice_OD!AL109&lt;=Param!$B$2,3_Huff!AL109*3_Huff!AL$139*1_Friction!AL109,0)</f>
        <v>0</v>
      </c>
      <c r="AN109" s="0" t="n">
        <f aca="false">IF(Matrice_OD!AM109&lt;=Param!$B$2,3_Huff!AM109*3_Huff!AM$139*1_Friction!AM109,0)</f>
        <v>2.2679217508893E-008</v>
      </c>
      <c r="AO109" s="0" t="n">
        <f aca="false">IF(Matrice_OD!AN109&lt;=Param!$B$2,3_Huff!AN109*3_Huff!AN$139*1_Friction!AN109,0)</f>
        <v>0</v>
      </c>
      <c r="AP109" s="49" t="n">
        <f aca="false">SUM(D109:AO109)</f>
        <v>0.00060409729128278</v>
      </c>
      <c r="AQ109" s="43" t="n">
        <f aca="false">AP109*1000</f>
        <v>0.60409729128278</v>
      </c>
      <c r="AR109" s="43" t="n">
        <f aca="false">RANK(AP109,AP$2:AP$136,0)</f>
        <v>4</v>
      </c>
      <c r="AS109" s="43" t="n">
        <f aca="false">COUNTIF(Matrice_OD!$C109:$AN109,"&lt;="&amp;Param!$B$2)</f>
        <v>30</v>
      </c>
    </row>
    <row r="110" customFormat="false" ht="15" hidden="false" customHeight="true" outlineLevel="0" collapsed="false">
      <c r="A110" s="0" t="s">
        <v>318</v>
      </c>
      <c r="B110" s="0" t="s">
        <v>319</v>
      </c>
      <c r="C110" s="0" t="n">
        <f aca="false">Demande!C110</f>
        <v>9727</v>
      </c>
      <c r="D110" s="43" t="n">
        <f aca="false">IF(Matrice_OD!C110&lt;=Param!$B$2,3_Huff!C110*3_Huff!C$139*1_Friction!C110,0)</f>
        <v>9.02667726605894E-008</v>
      </c>
      <c r="E110" s="43" t="n">
        <f aca="false">IF(Matrice_OD!D110&lt;=Param!$B$2,3_Huff!D110*3_Huff!D$139*1_Friction!D110,0)</f>
        <v>3.0186807273752E-008</v>
      </c>
      <c r="F110" s="43" t="n">
        <f aca="false">IF(Matrice_OD!E110&lt;=Param!$B$2,3_Huff!E110*3_Huff!E$139*1_Friction!E110,0)</f>
        <v>2.73982729103962E-007</v>
      </c>
      <c r="G110" s="43" t="n">
        <f aca="false">IF(Matrice_OD!F110&lt;=Param!$B$2,3_Huff!F110*3_Huff!F$139*1_Friction!F110,0)</f>
        <v>5.12932784239037E-008</v>
      </c>
      <c r="H110" s="43" t="n">
        <f aca="false">IF(Matrice_OD!G110&lt;=Param!$B$2,3_Huff!G110*3_Huff!G$139*1_Friction!G110,0)</f>
        <v>1.27502116272538E-007</v>
      </c>
      <c r="I110" s="43" t="n">
        <f aca="false">IF(Matrice_OD!H110&lt;=Param!$B$2,3_Huff!H110*3_Huff!H$139*1_Friction!H110,0)</f>
        <v>4.56487732581902E-008</v>
      </c>
      <c r="J110" s="43" t="n">
        <f aca="false">IF(Matrice_OD!I110&lt;=Param!$B$2,3_Huff!I110*3_Huff!I$139*1_Friction!I110,0)</f>
        <v>7.85013771697357E-008</v>
      </c>
      <c r="K110" s="43" t="n">
        <f aca="false">IF(Matrice_OD!J110&lt;=Param!$B$2,3_Huff!J110*3_Huff!J$139*1_Friction!J110,0)</f>
        <v>5.87748046290974E-008</v>
      </c>
      <c r="L110" s="43" t="n">
        <f aca="false">IF(Matrice_OD!K110&lt;=Param!$B$2,3_Huff!K110*3_Huff!K$139*1_Friction!K110,0)</f>
        <v>3.6137312308506E-008</v>
      </c>
      <c r="M110" s="43" t="n">
        <f aca="false">IF(Matrice_OD!L110&lt;=Param!$B$2,3_Huff!L110*3_Huff!L$139*1_Friction!L110,0)</f>
        <v>3.96021740747173E-008</v>
      </c>
      <c r="N110" s="43" t="n">
        <f aca="false">IF(Matrice_OD!M110&lt;=Param!$B$2,3_Huff!M110*3_Huff!M$139*1_Friction!M110,0)</f>
        <v>2.4865143664978E-007</v>
      </c>
      <c r="O110" s="43" t="n">
        <f aca="false">IF(Matrice_OD!N110&lt;=Param!$B$2,3_Huff!N110*3_Huff!N$139*1_Friction!N110,0)</f>
        <v>2.9179964609609E-008</v>
      </c>
      <c r="P110" s="43" t="n">
        <f aca="false">IF(Matrice_OD!O110&lt;=Param!$B$2,3_Huff!O110*3_Huff!O$139*1_Friction!O110,0)</f>
        <v>8.81305042529744E-008</v>
      </c>
      <c r="Q110" s="43" t="n">
        <f aca="false">IF(Matrice_OD!P110&lt;=Param!$B$2,3_Huff!P110*3_Huff!P$139*1_Friction!P110,0)</f>
        <v>4.18629291746292E-008</v>
      </c>
      <c r="R110" s="43" t="n">
        <f aca="false">IF(Matrice_OD!Q110&lt;=Param!$B$2,3_Huff!Q110*3_Huff!Q$139*1_Friction!Q110,0)</f>
        <v>3.50402510378404E-007</v>
      </c>
      <c r="S110" s="43" t="n">
        <f aca="false">IF(Matrice_OD!R110&lt;=Param!$B$2,3_Huff!R110*3_Huff!R$139*1_Friction!R110,0)</f>
        <v>4.60942545177351E-008</v>
      </c>
      <c r="T110" s="43" t="n">
        <f aca="false">IF(Matrice_OD!S110&lt;=Param!$B$2,3_Huff!S110*3_Huff!S$139*1_Friction!S110,0)</f>
        <v>3.34671054088448E-008</v>
      </c>
      <c r="U110" s="43" t="n">
        <f aca="false">IF(Matrice_OD!T110&lt;=Param!$B$2,3_Huff!T110*3_Huff!T$139*1_Friction!T110,0)</f>
        <v>3.50743060402239E-006</v>
      </c>
      <c r="V110" s="43" t="n">
        <f aca="false">IF(Matrice_OD!U110&lt;=Param!$B$2,3_Huff!U110*3_Huff!U$139*1_Friction!U110,0)</f>
        <v>8.64990986624888E-006</v>
      </c>
      <c r="W110" s="43" t="n">
        <f aca="false">IF(Matrice_OD!V110&lt;=Param!$B$2,3_Huff!V110*3_Huff!V$139*1_Friction!V110,0)</f>
        <v>0.000161859964210572</v>
      </c>
      <c r="X110" s="43" t="n">
        <f aca="false">IF(Matrice_OD!W110&lt;=Param!$B$2,3_Huff!W110*3_Huff!W$139*1_Friction!W110,0)</f>
        <v>2.85397189569036E-005</v>
      </c>
      <c r="Y110" s="43" t="n">
        <f aca="false">IF(Matrice_OD!X110&lt;=Param!$B$2,3_Huff!X110*3_Huff!X$139*1_Friction!X110,0)</f>
        <v>3.91290280463781E-005</v>
      </c>
      <c r="Z110" s="43" t="n">
        <f aca="false">IF(Matrice_OD!Y110&lt;=Param!$B$2,3_Huff!Y110*3_Huff!Y$139*1_Friction!Y110,0)</f>
        <v>2.56600386433459E-005</v>
      </c>
      <c r="AA110" s="43" t="n">
        <f aca="false">IF(Matrice_OD!Z110&lt;=Param!$B$2,3_Huff!Z110*3_Huff!Z$139*1_Friction!Z110,0)</f>
        <v>6.30699441403981E-005</v>
      </c>
      <c r="AB110" s="43" t="n">
        <f aca="false">IF(Matrice_OD!AA110&lt;=Param!$B$2,3_Huff!AA110*3_Huff!AA$139*1_Friction!AA110,0)</f>
        <v>0.000122217994227669</v>
      </c>
      <c r="AC110" s="43" t="n">
        <f aca="false">IF(Matrice_OD!AB110&lt;=Param!$B$2,3_Huff!AB110*3_Huff!AB$139*1_Friction!AB110,0)</f>
        <v>5.26617948741891E-005</v>
      </c>
      <c r="AD110" s="43" t="n">
        <f aca="false">IF(Matrice_OD!AC110&lt;=Param!$B$2,3_Huff!AC110*3_Huff!AC$139*1_Friction!AC110,0)</f>
        <v>0</v>
      </c>
      <c r="AE110" s="43" t="n">
        <f aca="false">IF(Matrice_OD!AD110&lt;=Param!$B$2,3_Huff!AD110*3_Huff!AD$139*1_Friction!AD110,0)</f>
        <v>0</v>
      </c>
      <c r="AF110" s="43" t="n">
        <f aca="false">IF(Matrice_OD!AE110&lt;=Param!$B$2,3_Huff!AE110*3_Huff!AE$139*1_Friction!AE110,0)</f>
        <v>0</v>
      </c>
      <c r="AG110" s="43" t="n">
        <f aca="false">IF(Matrice_OD!AF110&lt;=Param!$B$2,3_Huff!AF110*3_Huff!AF$139*1_Friction!AF110,0)</f>
        <v>0</v>
      </c>
      <c r="AH110" s="43" t="n">
        <f aca="false">IF(Matrice_OD!AG110&lt;=Param!$B$2,3_Huff!AG110*3_Huff!AG$139*1_Friction!AG110,0)</f>
        <v>0</v>
      </c>
      <c r="AI110" s="43" t="n">
        <f aca="false">IF(Matrice_OD!AH110&lt;=Param!$B$2,3_Huff!AH110*3_Huff!AH$139*1_Friction!AH110,0)</f>
        <v>9.52244112539731E-008</v>
      </c>
      <c r="AJ110" s="43" t="n">
        <f aca="false">IF(Matrice_OD!AI110&lt;=Param!$B$2,3_Huff!AI110*3_Huff!AI$139*1_Friction!AI110,0)</f>
        <v>1.37265507179884E-006</v>
      </c>
      <c r="AK110" s="43" t="n">
        <f aca="false">IF(Matrice_OD!AJ110&lt;=Param!$B$2,3_Huff!AJ110*3_Huff!AJ$139*1_Friction!AJ110,0)</f>
        <v>6.01647209714029E-005</v>
      </c>
      <c r="AL110" s="43" t="n">
        <f aca="false">IF(Matrice_OD!AK110&lt;=Param!$B$2,3_Huff!AK110*3_Huff!AK$139*1_Friction!AK110,0)</f>
        <v>0</v>
      </c>
      <c r="AM110" s="0" t="n">
        <f aca="false">IF(Matrice_OD!AL110&lt;=Param!$B$2,3_Huff!AL110*3_Huff!AL$139*1_Friction!AL110,0)</f>
        <v>0</v>
      </c>
      <c r="AN110" s="0" t="n">
        <f aca="false">IF(Matrice_OD!AM110&lt;=Param!$B$2,3_Huff!AM110*3_Huff!AM$139*1_Friction!AM110,0)</f>
        <v>2.08163256377764E-007</v>
      </c>
      <c r="AO110" s="0" t="n">
        <f aca="false">IF(Matrice_OD!AN110&lt;=Param!$B$2,3_Huff!AN110*3_Huff!AN$139*1_Friction!AN110,0)</f>
        <v>0</v>
      </c>
      <c r="AP110" s="48" t="n">
        <f aca="false">SUM(D110:AO110)</f>
        <v>0.000568806272130727</v>
      </c>
      <c r="AQ110" s="43" t="n">
        <f aca="false">AP110*1000</f>
        <v>0.568806272130727</v>
      </c>
      <c r="AR110" s="43" t="n">
        <f aca="false">RANK(AP110,AP$2:AP$136,0)</f>
        <v>7</v>
      </c>
      <c r="AS110" s="43" t="n">
        <f aca="false">COUNTIF(Matrice_OD!$C110:$AN110,"&lt;="&amp;Param!$B$2)</f>
        <v>30</v>
      </c>
    </row>
    <row r="111" customFormat="false" ht="15" hidden="false" customHeight="true" outlineLevel="0" collapsed="false">
      <c r="A111" s="0" t="s">
        <v>320</v>
      </c>
      <c r="B111" s="0" t="s">
        <v>321</v>
      </c>
      <c r="C111" s="0" t="n">
        <f aca="false">Demande!C111</f>
        <v>3353</v>
      </c>
      <c r="D111" s="43" t="n">
        <f aca="false">IF(Matrice_OD!C111&lt;=Param!$B$2,3_Huff!C111*3_Huff!C$139*1_Friction!C111,0)</f>
        <v>0</v>
      </c>
      <c r="E111" s="43" t="n">
        <f aca="false">IF(Matrice_OD!D111&lt;=Param!$B$2,3_Huff!D111*3_Huff!D$139*1_Friction!D111,0)</f>
        <v>0</v>
      </c>
      <c r="F111" s="43" t="n">
        <f aca="false">IF(Matrice_OD!E111&lt;=Param!$B$2,3_Huff!E111*3_Huff!E$139*1_Friction!E111,0)</f>
        <v>0</v>
      </c>
      <c r="G111" s="43" t="n">
        <f aca="false">IF(Matrice_OD!F111&lt;=Param!$B$2,3_Huff!F111*3_Huff!F$139*1_Friction!F111,0)</f>
        <v>0</v>
      </c>
      <c r="H111" s="43" t="n">
        <f aca="false">IF(Matrice_OD!G111&lt;=Param!$B$2,3_Huff!G111*3_Huff!G$139*1_Friction!G111,0)</f>
        <v>0</v>
      </c>
      <c r="I111" s="43" t="n">
        <f aca="false">IF(Matrice_OD!H111&lt;=Param!$B$2,3_Huff!H111*3_Huff!H$139*1_Friction!H111,0)</f>
        <v>0</v>
      </c>
      <c r="J111" s="43" t="n">
        <f aca="false">IF(Matrice_OD!I111&lt;=Param!$B$2,3_Huff!I111*3_Huff!I$139*1_Friction!I111,0)</f>
        <v>0</v>
      </c>
      <c r="K111" s="43" t="n">
        <f aca="false">IF(Matrice_OD!J111&lt;=Param!$B$2,3_Huff!J111*3_Huff!J$139*1_Friction!J111,0)</f>
        <v>0</v>
      </c>
      <c r="L111" s="43" t="n">
        <f aca="false">IF(Matrice_OD!K111&lt;=Param!$B$2,3_Huff!K111*3_Huff!K$139*1_Friction!K111,0)</f>
        <v>0</v>
      </c>
      <c r="M111" s="43" t="n">
        <f aca="false">IF(Matrice_OD!L111&lt;=Param!$B$2,3_Huff!L111*3_Huff!L$139*1_Friction!L111,0)</f>
        <v>0</v>
      </c>
      <c r="N111" s="43" t="n">
        <f aca="false">IF(Matrice_OD!M111&lt;=Param!$B$2,3_Huff!M111*3_Huff!M$139*1_Friction!M111,0)</f>
        <v>0</v>
      </c>
      <c r="O111" s="43" t="n">
        <f aca="false">IF(Matrice_OD!N111&lt;=Param!$B$2,3_Huff!N111*3_Huff!N$139*1_Friction!N111,0)</f>
        <v>0</v>
      </c>
      <c r="P111" s="43" t="n">
        <f aca="false">IF(Matrice_OD!O111&lt;=Param!$B$2,3_Huff!O111*3_Huff!O$139*1_Friction!O111,0)</f>
        <v>0</v>
      </c>
      <c r="Q111" s="43" t="n">
        <f aca="false">IF(Matrice_OD!P111&lt;=Param!$B$2,3_Huff!P111*3_Huff!P$139*1_Friction!P111,0)</f>
        <v>0</v>
      </c>
      <c r="R111" s="43" t="n">
        <f aca="false">IF(Matrice_OD!Q111&lt;=Param!$B$2,3_Huff!Q111*3_Huff!Q$139*1_Friction!Q111,0)</f>
        <v>0</v>
      </c>
      <c r="S111" s="43" t="n">
        <f aca="false">IF(Matrice_OD!R111&lt;=Param!$B$2,3_Huff!R111*3_Huff!R$139*1_Friction!R111,0)</f>
        <v>0</v>
      </c>
      <c r="T111" s="43" t="n">
        <f aca="false">IF(Matrice_OD!S111&lt;=Param!$B$2,3_Huff!S111*3_Huff!S$139*1_Friction!S111,0)</f>
        <v>0</v>
      </c>
      <c r="U111" s="43" t="n">
        <f aca="false">IF(Matrice_OD!T111&lt;=Param!$B$2,3_Huff!T111*3_Huff!T$139*1_Friction!T111,0)</f>
        <v>0</v>
      </c>
      <c r="V111" s="43" t="n">
        <f aca="false">IF(Matrice_OD!U111&lt;=Param!$B$2,3_Huff!U111*3_Huff!U$139*1_Friction!U111,0)</f>
        <v>3.05149156423311E-005</v>
      </c>
      <c r="W111" s="43" t="n">
        <f aca="false">IF(Matrice_OD!V111&lt;=Param!$B$2,3_Huff!V111*3_Huff!V$139*1_Friction!V111,0)</f>
        <v>0</v>
      </c>
      <c r="X111" s="43" t="n">
        <f aca="false">IF(Matrice_OD!W111&lt;=Param!$B$2,3_Huff!W111*3_Huff!W$139*1_Friction!W111,0)</f>
        <v>0</v>
      </c>
      <c r="Y111" s="43" t="n">
        <f aca="false">IF(Matrice_OD!X111&lt;=Param!$B$2,3_Huff!X111*3_Huff!X$139*1_Friction!X111,0)</f>
        <v>4.2470725186605E-007</v>
      </c>
      <c r="Z111" s="43" t="n">
        <f aca="false">IF(Matrice_OD!Y111&lt;=Param!$B$2,3_Huff!Y111*3_Huff!Y$139*1_Friction!Y111,0)</f>
        <v>2.83672351536902E-007</v>
      </c>
      <c r="AA111" s="43" t="n">
        <f aca="false">IF(Matrice_OD!Z111&lt;=Param!$B$2,3_Huff!Z111*3_Huff!Z$139*1_Friction!Z111,0)</f>
        <v>6.76714846578891E-007</v>
      </c>
      <c r="AB111" s="43" t="n">
        <f aca="false">IF(Matrice_OD!AA111&lt;=Param!$B$2,3_Huff!AA111*3_Huff!AA$139*1_Friction!AA111,0)</f>
        <v>1.5026955591193E-006</v>
      </c>
      <c r="AC111" s="43" t="n">
        <f aca="false">IF(Matrice_OD!AB111&lt;=Param!$B$2,3_Huff!AB111*3_Huff!AB$139*1_Friction!AB111,0)</f>
        <v>8.63577434890079E-007</v>
      </c>
      <c r="AD111" s="43" t="n">
        <f aca="false">IF(Matrice_OD!AC111&lt;=Param!$B$2,3_Huff!AC111*3_Huff!AC$139*1_Friction!AC111,0)</f>
        <v>0</v>
      </c>
      <c r="AE111" s="43" t="n">
        <f aca="false">IF(Matrice_OD!AD111&lt;=Param!$B$2,3_Huff!AD111*3_Huff!AD$139*1_Friction!AD111,0)</f>
        <v>0</v>
      </c>
      <c r="AF111" s="43" t="n">
        <f aca="false">IF(Matrice_OD!AE111&lt;=Param!$B$2,3_Huff!AE111*3_Huff!AE$139*1_Friction!AE111,0)</f>
        <v>0</v>
      </c>
      <c r="AG111" s="43" t="n">
        <f aca="false">IF(Matrice_OD!AF111&lt;=Param!$B$2,3_Huff!AF111*3_Huff!AF$139*1_Friction!AF111,0)</f>
        <v>0</v>
      </c>
      <c r="AH111" s="43" t="n">
        <f aca="false">IF(Matrice_OD!AG111&lt;=Param!$B$2,3_Huff!AG111*3_Huff!AG$139*1_Friction!AG111,0)</f>
        <v>0</v>
      </c>
      <c r="AI111" s="43" t="n">
        <f aca="false">IF(Matrice_OD!AH111&lt;=Param!$B$2,3_Huff!AH111*3_Huff!AH$139*1_Friction!AH111,0)</f>
        <v>0</v>
      </c>
      <c r="AJ111" s="43" t="n">
        <f aca="false">IF(Matrice_OD!AI111&lt;=Param!$B$2,3_Huff!AI111*3_Huff!AI$139*1_Friction!AI111,0)</f>
        <v>0</v>
      </c>
      <c r="AK111" s="43" t="n">
        <f aca="false">IF(Matrice_OD!AJ111&lt;=Param!$B$2,3_Huff!AJ111*3_Huff!AJ$139*1_Friction!AJ111,0)</f>
        <v>5.55620993492547E-007</v>
      </c>
      <c r="AL111" s="43" t="n">
        <f aca="false">IF(Matrice_OD!AK111&lt;=Param!$B$2,3_Huff!AK111*3_Huff!AK$139*1_Friction!AK111,0)</f>
        <v>0</v>
      </c>
      <c r="AM111" s="0" t="n">
        <f aca="false">IF(Matrice_OD!AL111&lt;=Param!$B$2,3_Huff!AL111*3_Huff!AL$139*1_Friction!AL111,0)</f>
        <v>0</v>
      </c>
      <c r="AN111" s="0" t="n">
        <f aca="false">IF(Matrice_OD!AM111&lt;=Param!$B$2,3_Huff!AM111*3_Huff!AM$139*1_Friction!AM111,0)</f>
        <v>0</v>
      </c>
      <c r="AO111" s="0" t="n">
        <f aca="false">IF(Matrice_OD!AN111&lt;=Param!$B$2,3_Huff!AN111*3_Huff!AN$139*1_Friction!AN111,0)</f>
        <v>0</v>
      </c>
      <c r="AP111" s="49" t="n">
        <f aca="false">SUM(D111:AO111)</f>
        <v>3.48219040798149E-005</v>
      </c>
      <c r="AQ111" s="43" t="n">
        <f aca="false">AP111*1000</f>
        <v>0.0348219040798149</v>
      </c>
      <c r="AR111" s="43" t="n">
        <f aca="false">RANK(AP111,AP$2:AP$136,0)</f>
        <v>104</v>
      </c>
      <c r="AS111" s="43" t="n">
        <f aca="false">COUNTIF(Matrice_OD!$C111:$AN111,"&lt;="&amp;Param!$B$2)</f>
        <v>7</v>
      </c>
    </row>
    <row r="112" customFormat="false" ht="15" hidden="false" customHeight="true" outlineLevel="0" collapsed="false">
      <c r="A112" s="0" t="s">
        <v>322</v>
      </c>
      <c r="B112" s="0" t="s">
        <v>323</v>
      </c>
      <c r="C112" s="0" t="n">
        <f aca="false">Demande!C112</f>
        <v>5591</v>
      </c>
      <c r="D112" s="43" t="n">
        <f aca="false">IF(Matrice_OD!C112&lt;=Param!$B$2,3_Huff!C112*3_Huff!C$139*1_Friction!C112,0)</f>
        <v>0</v>
      </c>
      <c r="E112" s="43" t="n">
        <f aca="false">IF(Matrice_OD!D112&lt;=Param!$B$2,3_Huff!D112*3_Huff!D$139*1_Friction!D112,0)</f>
        <v>0</v>
      </c>
      <c r="F112" s="43" t="n">
        <f aca="false">IF(Matrice_OD!E112&lt;=Param!$B$2,3_Huff!E112*3_Huff!E$139*1_Friction!E112,0)</f>
        <v>0</v>
      </c>
      <c r="G112" s="43" t="n">
        <f aca="false">IF(Matrice_OD!F112&lt;=Param!$B$2,3_Huff!F112*3_Huff!F$139*1_Friction!F112,0)</f>
        <v>0</v>
      </c>
      <c r="H112" s="43" t="n">
        <f aca="false">IF(Matrice_OD!G112&lt;=Param!$B$2,3_Huff!G112*3_Huff!G$139*1_Friction!G112,0)</f>
        <v>0</v>
      </c>
      <c r="I112" s="43" t="n">
        <f aca="false">IF(Matrice_OD!H112&lt;=Param!$B$2,3_Huff!H112*3_Huff!H$139*1_Friction!H112,0)</f>
        <v>0</v>
      </c>
      <c r="J112" s="43" t="n">
        <f aca="false">IF(Matrice_OD!I112&lt;=Param!$B$2,3_Huff!I112*3_Huff!I$139*1_Friction!I112,0)</f>
        <v>0</v>
      </c>
      <c r="K112" s="43" t="n">
        <f aca="false">IF(Matrice_OD!J112&lt;=Param!$B$2,3_Huff!J112*3_Huff!J$139*1_Friction!J112,0)</f>
        <v>0</v>
      </c>
      <c r="L112" s="43" t="n">
        <f aca="false">IF(Matrice_OD!K112&lt;=Param!$B$2,3_Huff!K112*3_Huff!K$139*1_Friction!K112,0)</f>
        <v>0</v>
      </c>
      <c r="M112" s="43" t="n">
        <f aca="false">IF(Matrice_OD!L112&lt;=Param!$B$2,3_Huff!L112*3_Huff!L$139*1_Friction!L112,0)</f>
        <v>0</v>
      </c>
      <c r="N112" s="43" t="n">
        <f aca="false">IF(Matrice_OD!M112&lt;=Param!$B$2,3_Huff!M112*3_Huff!M$139*1_Friction!M112,0)</f>
        <v>0</v>
      </c>
      <c r="O112" s="43" t="n">
        <f aca="false">IF(Matrice_OD!N112&lt;=Param!$B$2,3_Huff!N112*3_Huff!N$139*1_Friction!N112,0)</f>
        <v>0</v>
      </c>
      <c r="P112" s="43" t="n">
        <f aca="false">IF(Matrice_OD!O112&lt;=Param!$B$2,3_Huff!O112*3_Huff!O$139*1_Friction!O112,0)</f>
        <v>0</v>
      </c>
      <c r="Q112" s="43" t="n">
        <f aca="false">IF(Matrice_OD!P112&lt;=Param!$B$2,3_Huff!P112*3_Huff!P$139*1_Friction!P112,0)</f>
        <v>0</v>
      </c>
      <c r="R112" s="43" t="n">
        <f aca="false">IF(Matrice_OD!Q112&lt;=Param!$B$2,3_Huff!Q112*3_Huff!Q$139*1_Friction!Q112,0)</f>
        <v>0</v>
      </c>
      <c r="S112" s="43" t="n">
        <f aca="false">IF(Matrice_OD!R112&lt;=Param!$B$2,3_Huff!R112*3_Huff!R$139*1_Friction!R112,0)</f>
        <v>0</v>
      </c>
      <c r="T112" s="43" t="n">
        <f aca="false">IF(Matrice_OD!S112&lt;=Param!$B$2,3_Huff!S112*3_Huff!S$139*1_Friction!S112,0)</f>
        <v>0</v>
      </c>
      <c r="U112" s="43" t="n">
        <f aca="false">IF(Matrice_OD!T112&lt;=Param!$B$2,3_Huff!T112*3_Huff!T$139*1_Friction!T112,0)</f>
        <v>5.51279708536354E-008</v>
      </c>
      <c r="V112" s="43" t="n">
        <f aca="false">IF(Matrice_OD!U112&lt;=Param!$B$2,3_Huff!U112*3_Huff!U$139*1_Friction!U112,0)</f>
        <v>3.70771972432319E-005</v>
      </c>
      <c r="W112" s="43" t="n">
        <f aca="false">IF(Matrice_OD!V112&lt;=Param!$B$2,3_Huff!V112*3_Huff!V$139*1_Friction!V112,0)</f>
        <v>2.42076445086141E-006</v>
      </c>
      <c r="X112" s="43" t="n">
        <f aca="false">IF(Matrice_OD!W112&lt;=Param!$B$2,3_Huff!W112*3_Huff!W$139*1_Friction!W112,0)</f>
        <v>5.68255857361543E-007</v>
      </c>
      <c r="Y112" s="43" t="n">
        <f aca="false">IF(Matrice_OD!X112&lt;=Param!$B$2,3_Huff!X112*3_Huff!X$139*1_Friction!X112,0)</f>
        <v>9.7026954581834E-007</v>
      </c>
      <c r="Z112" s="43" t="n">
        <f aca="false">IF(Matrice_OD!Y112&lt;=Param!$B$2,3_Huff!Y112*3_Huff!Y$139*1_Friction!Y112,0)</f>
        <v>6.48199689817696E-007</v>
      </c>
      <c r="AA112" s="43" t="n">
        <f aca="false">IF(Matrice_OD!Z112&lt;=Param!$B$2,3_Huff!Z112*3_Huff!Z$139*1_Friction!Z112,0)</f>
        <v>1.55553941833289E-006</v>
      </c>
      <c r="AB112" s="43" t="n">
        <f aca="false">IF(Matrice_OD!AA112&lt;=Param!$B$2,3_Huff!AA112*3_Huff!AA$139*1_Friction!AA112,0)</f>
        <v>3.4182428319631E-006</v>
      </c>
      <c r="AC112" s="43" t="n">
        <f aca="false">IF(Matrice_OD!AB112&lt;=Param!$B$2,3_Huff!AB112*3_Huff!AB$139*1_Friction!AB112,0)</f>
        <v>1.91547092835865E-006</v>
      </c>
      <c r="AD112" s="43" t="n">
        <f aca="false">IF(Matrice_OD!AC112&lt;=Param!$B$2,3_Huff!AC112*3_Huff!AC$139*1_Friction!AC112,0)</f>
        <v>0</v>
      </c>
      <c r="AE112" s="43" t="n">
        <f aca="false">IF(Matrice_OD!AD112&lt;=Param!$B$2,3_Huff!AD112*3_Huff!AD$139*1_Friction!AD112,0)</f>
        <v>0</v>
      </c>
      <c r="AF112" s="43" t="n">
        <f aca="false">IF(Matrice_OD!AE112&lt;=Param!$B$2,3_Huff!AE112*3_Huff!AE$139*1_Friction!AE112,0)</f>
        <v>0</v>
      </c>
      <c r="AG112" s="43" t="n">
        <f aca="false">IF(Matrice_OD!AF112&lt;=Param!$B$2,3_Huff!AF112*3_Huff!AF$139*1_Friction!AF112,0)</f>
        <v>0</v>
      </c>
      <c r="AH112" s="43" t="n">
        <f aca="false">IF(Matrice_OD!AG112&lt;=Param!$B$2,3_Huff!AG112*3_Huff!AG$139*1_Friction!AG112,0)</f>
        <v>0</v>
      </c>
      <c r="AI112" s="43" t="n">
        <f aca="false">IF(Matrice_OD!AH112&lt;=Param!$B$2,3_Huff!AH112*3_Huff!AH$139*1_Friction!AH112,0)</f>
        <v>0</v>
      </c>
      <c r="AJ112" s="43" t="n">
        <f aca="false">IF(Matrice_OD!AI112&lt;=Param!$B$2,3_Huff!AI112*3_Huff!AI$139*1_Friction!AI112,0)</f>
        <v>0</v>
      </c>
      <c r="AK112" s="43" t="n">
        <f aca="false">IF(Matrice_OD!AJ112&lt;=Param!$B$2,3_Huff!AJ112*3_Huff!AJ$139*1_Friction!AJ112,0)</f>
        <v>1.29141144081711E-006</v>
      </c>
      <c r="AL112" s="43" t="n">
        <f aca="false">IF(Matrice_OD!AK112&lt;=Param!$B$2,3_Huff!AK112*3_Huff!AK$139*1_Friction!AK112,0)</f>
        <v>0</v>
      </c>
      <c r="AM112" s="0" t="n">
        <f aca="false">IF(Matrice_OD!AL112&lt;=Param!$B$2,3_Huff!AL112*3_Huff!AL$139*1_Friction!AL112,0)</f>
        <v>0</v>
      </c>
      <c r="AN112" s="0" t="n">
        <f aca="false">IF(Matrice_OD!AM112&lt;=Param!$B$2,3_Huff!AM112*3_Huff!AM$139*1_Friction!AM112,0)</f>
        <v>0</v>
      </c>
      <c r="AO112" s="0" t="n">
        <f aca="false">IF(Matrice_OD!AN112&lt;=Param!$B$2,3_Huff!AN112*3_Huff!AN$139*1_Friction!AN112,0)</f>
        <v>0</v>
      </c>
      <c r="AP112" s="48" t="n">
        <f aca="false">SUM(D112:AO112)</f>
        <v>4.99204793774163E-005</v>
      </c>
      <c r="AQ112" s="43" t="n">
        <f aca="false">AP112*1000</f>
        <v>0.0499204793774163</v>
      </c>
      <c r="AR112" s="43" t="n">
        <f aca="false">RANK(AP112,AP$2:AP$136,0)</f>
        <v>93</v>
      </c>
      <c r="AS112" s="43" t="n">
        <f aca="false">COUNTIF(Matrice_OD!$C112:$AN112,"&lt;="&amp;Param!$B$2)</f>
        <v>10</v>
      </c>
    </row>
    <row r="113" customFormat="false" ht="15" hidden="false" customHeight="true" outlineLevel="0" collapsed="false">
      <c r="A113" s="0" t="s">
        <v>324</v>
      </c>
      <c r="B113" s="0" t="s">
        <v>325</v>
      </c>
      <c r="C113" s="0" t="n">
        <f aca="false">Demande!C113</f>
        <v>3082</v>
      </c>
      <c r="D113" s="43" t="n">
        <f aca="false">IF(Matrice_OD!C113&lt;=Param!$B$2,3_Huff!C113*3_Huff!C$139*1_Friction!C113,0)</f>
        <v>1.90369597737449E-008</v>
      </c>
      <c r="E113" s="43" t="n">
        <f aca="false">IF(Matrice_OD!D113&lt;=Param!$B$2,3_Huff!D113*3_Huff!D$139*1_Friction!D113,0)</f>
        <v>6.00551992323569E-007</v>
      </c>
      <c r="F113" s="43" t="n">
        <f aca="false">IF(Matrice_OD!E113&lt;=Param!$B$2,3_Huff!E113*3_Huff!E$139*1_Friction!E113,0)</f>
        <v>7.16291834004654E-006</v>
      </c>
      <c r="G113" s="43" t="n">
        <f aca="false">IF(Matrice_OD!F113&lt;=Param!$B$2,3_Huff!F113*3_Huff!F$139*1_Friction!F113,0)</f>
        <v>1.32670369114806E-006</v>
      </c>
      <c r="H113" s="43" t="n">
        <f aca="false">IF(Matrice_OD!G113&lt;=Param!$B$2,3_Huff!G113*3_Huff!G$139*1_Friction!G113,0)</f>
        <v>3.71503383839607E-006</v>
      </c>
      <c r="I113" s="43" t="n">
        <f aca="false">IF(Matrice_OD!H113&lt;=Param!$B$2,3_Huff!H113*3_Huff!H$139*1_Friction!H113,0)</f>
        <v>1.0932948604362E-006</v>
      </c>
      <c r="J113" s="43" t="n">
        <f aca="false">IF(Matrice_OD!I113&lt;=Param!$B$2,3_Huff!I113*3_Huff!I$139*1_Friction!I113,0)</f>
        <v>2.50444726269824E-006</v>
      </c>
      <c r="K113" s="43" t="n">
        <f aca="false">IF(Matrice_OD!J113&lt;=Param!$B$2,3_Huff!J113*3_Huff!J$139*1_Friction!J113,0)</f>
        <v>1.87519634430531E-006</v>
      </c>
      <c r="L113" s="43" t="n">
        <f aca="false">IF(Matrice_OD!K113&lt;=Param!$B$2,3_Huff!K113*3_Huff!K$139*1_Friction!K113,0)</f>
        <v>1.08560663493417E-006</v>
      </c>
      <c r="M113" s="43" t="n">
        <f aca="false">IF(Matrice_OD!L113&lt;=Param!$B$2,3_Huff!L113*3_Huff!L$139*1_Friction!L113,0)</f>
        <v>1.26233889732288E-006</v>
      </c>
      <c r="N113" s="43" t="n">
        <f aca="false">IF(Matrice_OD!M113&lt;=Param!$B$2,3_Huff!M113*3_Huff!M$139*1_Friction!M113,0)</f>
        <v>7.65921141147087E-006</v>
      </c>
      <c r="O113" s="43" t="n">
        <f aca="false">IF(Matrice_OD!N113&lt;=Param!$B$2,3_Huff!N113*3_Huff!N$139*1_Friction!N113,0)</f>
        <v>8.81144588822884E-007</v>
      </c>
      <c r="P113" s="43" t="n">
        <f aca="false">IF(Matrice_OD!O113&lt;=Param!$B$2,3_Huff!O113*3_Huff!O$139*1_Friction!O113,0)</f>
        <v>2.85237582377895E-006</v>
      </c>
      <c r="Q113" s="43" t="n">
        <f aca="false">IF(Matrice_OD!P113&lt;=Param!$B$2,3_Huff!P113*3_Huff!P$139*1_Friction!P113,0)</f>
        <v>1.44443303800263E-006</v>
      </c>
      <c r="R113" s="43" t="n">
        <f aca="false">IF(Matrice_OD!Q113&lt;=Param!$B$2,3_Huff!Q113*3_Huff!Q$139*1_Friction!Q113,0)</f>
        <v>1.29557133439667E-005</v>
      </c>
      <c r="S113" s="43" t="n">
        <f aca="false">IF(Matrice_OD!R113&lt;=Param!$B$2,3_Huff!R113*3_Huff!R$139*1_Friction!R113,0)</f>
        <v>1.69927795431536E-006</v>
      </c>
      <c r="T113" s="43" t="n">
        <f aca="false">IF(Matrice_OD!S113&lt;=Param!$B$2,3_Huff!S113*3_Huff!S$139*1_Friction!S113,0)</f>
        <v>1.20108926483975E-006</v>
      </c>
      <c r="U113" s="43" t="n">
        <f aca="false">IF(Matrice_OD!T113&lt;=Param!$B$2,3_Huff!T113*3_Huff!T$139*1_Friction!T113,0)</f>
        <v>1.70789933810353E-006</v>
      </c>
      <c r="V113" s="43" t="n">
        <f aca="false">IF(Matrice_OD!U113&lt;=Param!$B$2,3_Huff!U113*3_Huff!U$139*1_Friction!U113,0)</f>
        <v>2.02692511282167E-005</v>
      </c>
      <c r="W113" s="43" t="n">
        <f aca="false">IF(Matrice_OD!V113&lt;=Param!$B$2,3_Huff!V113*3_Huff!V$139*1_Friction!V113,0)</f>
        <v>9.6391633302182E-006</v>
      </c>
      <c r="X113" s="43" t="n">
        <f aca="false">IF(Matrice_OD!W113&lt;=Param!$B$2,3_Huff!W113*3_Huff!W$139*1_Friction!W113,0)</f>
        <v>2.3868446814807E-006</v>
      </c>
      <c r="Y113" s="43" t="n">
        <f aca="false">IF(Matrice_OD!X113&lt;=Param!$B$2,3_Huff!X113*3_Huff!X$139*1_Friction!X113,0)</f>
        <v>3.77618000116376E-006</v>
      </c>
      <c r="Z113" s="43" t="n">
        <f aca="false">IF(Matrice_OD!Y113&lt;=Param!$B$2,3_Huff!Y113*3_Huff!Y$139*1_Friction!Y113,0)</f>
        <v>2.52101670689604E-006</v>
      </c>
      <c r="AA113" s="43" t="n">
        <f aca="false">IF(Matrice_OD!Z113&lt;=Param!$B$2,3_Huff!Z113*3_Huff!Z$139*1_Friction!Z113,0)</f>
        <v>6.15071501136245E-006</v>
      </c>
      <c r="AB113" s="43" t="n">
        <f aca="false">IF(Matrice_OD!AA113&lt;=Param!$B$2,3_Huff!AA113*3_Huff!AA$139*1_Friction!AA113,0)</f>
        <v>1.31450879343413E-005</v>
      </c>
      <c r="AC113" s="43" t="n">
        <f aca="false">IF(Matrice_OD!AB113&lt;=Param!$B$2,3_Huff!AB113*3_Huff!AB$139*1_Friction!AB113,0)</f>
        <v>6.85889374169369E-006</v>
      </c>
      <c r="AD113" s="43" t="n">
        <f aca="false">IF(Matrice_OD!AC113&lt;=Param!$B$2,3_Huff!AC113*3_Huff!AC$139*1_Friction!AC113,0)</f>
        <v>0</v>
      </c>
      <c r="AE113" s="43" t="n">
        <f aca="false">IF(Matrice_OD!AD113&lt;=Param!$B$2,3_Huff!AD113*3_Huff!AD$139*1_Friction!AD113,0)</f>
        <v>0</v>
      </c>
      <c r="AF113" s="43" t="n">
        <f aca="false">IF(Matrice_OD!AE113&lt;=Param!$B$2,3_Huff!AE113*3_Huff!AE$139*1_Friction!AE113,0)</f>
        <v>0</v>
      </c>
      <c r="AG113" s="43" t="n">
        <f aca="false">IF(Matrice_OD!AF113&lt;=Param!$B$2,3_Huff!AF113*3_Huff!AF$139*1_Friction!AF113,0)</f>
        <v>0</v>
      </c>
      <c r="AH113" s="43" t="n">
        <f aca="false">IF(Matrice_OD!AG113&lt;=Param!$B$2,3_Huff!AG113*3_Huff!AG$139*1_Friction!AG113,0)</f>
        <v>0</v>
      </c>
      <c r="AI113" s="43" t="n">
        <f aca="false">IF(Matrice_OD!AH113&lt;=Param!$B$2,3_Huff!AH113*3_Huff!AH$139*1_Friction!AH113,0)</f>
        <v>4.75166673508395E-006</v>
      </c>
      <c r="AJ113" s="43" t="n">
        <f aca="false">IF(Matrice_OD!AI113&lt;=Param!$B$2,3_Huff!AI113*3_Huff!AI$139*1_Friction!AI113,0)</f>
        <v>6.32233876659471E-007</v>
      </c>
      <c r="AK113" s="43" t="n">
        <f aca="false">IF(Matrice_OD!AJ113&lt;=Param!$B$2,3_Huff!AJ113*3_Huff!AJ$139*1_Friction!AJ113,0)</f>
        <v>5.26592351402874E-006</v>
      </c>
      <c r="AL113" s="43" t="n">
        <f aca="false">IF(Matrice_OD!AK113&lt;=Param!$B$2,3_Huff!AK113*3_Huff!AK$139*1_Friction!AK113,0)</f>
        <v>0</v>
      </c>
      <c r="AM113" s="0" t="n">
        <f aca="false">IF(Matrice_OD!AL113&lt;=Param!$B$2,3_Huff!AL113*3_Huff!AL$139*1_Friction!AL113,0)</f>
        <v>0</v>
      </c>
      <c r="AN113" s="0" t="n">
        <f aca="false">IF(Matrice_OD!AM113&lt;=Param!$B$2,3_Huff!AM113*3_Huff!AM$139*1_Friction!AM113,0)</f>
        <v>4.28667701623154E-008</v>
      </c>
      <c r="AO113" s="0" t="n">
        <f aca="false">IF(Matrice_OD!AN113&lt;=Param!$B$2,3_Huff!AN113*3_Huff!AN$139*1_Friction!AN113,0)</f>
        <v>0</v>
      </c>
      <c r="AP113" s="49" t="n">
        <f aca="false">SUM(D113:AO113)</f>
        <v>0.000126486117015993</v>
      </c>
      <c r="AQ113" s="43" t="n">
        <f aca="false">AP113*1000</f>
        <v>0.126486117015993</v>
      </c>
      <c r="AR113" s="43" t="n">
        <f aca="false">RANK(AP113,AP$2:AP$136,0)</f>
        <v>63</v>
      </c>
      <c r="AS113" s="43" t="n">
        <f aca="false">COUNTIF(Matrice_OD!$C113:$AN113,"&lt;="&amp;Param!$B$2)</f>
        <v>30</v>
      </c>
    </row>
    <row r="114" customFormat="false" ht="15" hidden="false" customHeight="true" outlineLevel="0" collapsed="false">
      <c r="A114" s="0" t="s">
        <v>326</v>
      </c>
      <c r="B114" s="0" t="s">
        <v>327</v>
      </c>
      <c r="C114" s="0" t="n">
        <f aca="false">Demande!C114</f>
        <v>3900</v>
      </c>
      <c r="D114" s="43" t="n">
        <f aca="false">IF(Matrice_OD!C114&lt;=Param!$B$2,3_Huff!C114*3_Huff!C$139*1_Friction!C114,0)</f>
        <v>3.71372657588168E-007</v>
      </c>
      <c r="E114" s="43" t="n">
        <f aca="false">IF(Matrice_OD!D114&lt;=Param!$B$2,3_Huff!D114*3_Huff!D$139*1_Friction!D114,0)</f>
        <v>1.65160937905802E-007</v>
      </c>
      <c r="F114" s="43" t="n">
        <f aca="false">IF(Matrice_OD!E114&lt;=Param!$B$2,3_Huff!E114*3_Huff!E$139*1_Friction!E114,0)</f>
        <v>1.51508466081697E-006</v>
      </c>
      <c r="G114" s="43" t="n">
        <f aca="false">IF(Matrice_OD!F114&lt;=Param!$B$2,3_Huff!F114*3_Huff!F$139*1_Friction!F114,0)</f>
        <v>2.82971157949422E-007</v>
      </c>
      <c r="H114" s="43" t="n">
        <f aca="false">IF(Matrice_OD!G114&lt;=Param!$B$2,3_Huff!G114*3_Huff!G$139*1_Friction!G114,0)</f>
        <v>7.09050764191649E-007</v>
      </c>
      <c r="I114" s="43" t="n">
        <f aca="false">IF(Matrice_OD!H114&lt;=Param!$B$2,3_Huff!H114*3_Huff!H$139*1_Friction!H114,0)</f>
        <v>2.47891699822252E-007</v>
      </c>
      <c r="J114" s="43" t="n">
        <f aca="false">IF(Matrice_OD!I114&lt;=Param!$B$2,3_Huff!I114*3_Huff!I$139*1_Friction!I114,0)</f>
        <v>4.3334905509056E-007</v>
      </c>
      <c r="K114" s="43" t="n">
        <f aca="false">IF(Matrice_OD!J114&lt;=Param!$B$2,3_Huff!J114*3_Huff!J$139*1_Friction!J114,0)</f>
        <v>3.25445478006686E-007</v>
      </c>
      <c r="L114" s="43" t="n">
        <f aca="false">IF(Matrice_OD!K114&lt;=Param!$B$2,3_Huff!K114*3_Huff!K$139*1_Friction!K114,0)</f>
        <v>2.00432950017287E-007</v>
      </c>
      <c r="M114" s="43" t="n">
        <f aca="false">IF(Matrice_OD!L114&lt;=Param!$B$2,3_Huff!L114*3_Huff!L$139*1_Friction!L114,0)</f>
        <v>2.18576246929548E-007</v>
      </c>
      <c r="N114" s="43" t="n">
        <f aca="false">IF(Matrice_OD!M114&lt;=Param!$B$2,3_Huff!M114*3_Huff!M$139*1_Friction!M114,0)</f>
        <v>1.35912562386265E-006</v>
      </c>
      <c r="O114" s="43" t="n">
        <f aca="false">IF(Matrice_OD!N114&lt;=Param!$B$2,3_Huff!N114*3_Huff!N$139*1_Friction!N114,0)</f>
        <v>1.60935483145098E-007</v>
      </c>
      <c r="P114" s="43" t="n">
        <f aca="false">IF(Matrice_OD!O114&lt;=Param!$B$2,3_Huff!O114*3_Huff!O$139*1_Friction!O114,0)</f>
        <v>4.87263100739994E-007</v>
      </c>
      <c r="Q114" s="43" t="n">
        <f aca="false">IF(Matrice_OD!P114&lt;=Param!$B$2,3_Huff!P114*3_Huff!P$139*1_Friction!P114,0)</f>
        <v>2.32034710426929E-007</v>
      </c>
      <c r="R114" s="43" t="n">
        <f aca="false">IF(Matrice_OD!Q114&lt;=Param!$B$2,3_Huff!Q114*3_Huff!Q$139*1_Friction!Q114,0)</f>
        <v>1.94467949073127E-006</v>
      </c>
      <c r="S114" s="43" t="n">
        <f aca="false">IF(Matrice_OD!R114&lt;=Param!$B$2,3_Huff!R114*3_Huff!R$139*1_Friction!R114,0)</f>
        <v>2.56108804865674E-007</v>
      </c>
      <c r="T114" s="43" t="n">
        <f aca="false">IF(Matrice_OD!S114&lt;=Param!$B$2,3_Huff!S114*3_Huff!S$139*1_Friction!S114,0)</f>
        <v>1.86408661392893E-007</v>
      </c>
      <c r="U114" s="43" t="n">
        <f aca="false">IF(Matrice_OD!T114&lt;=Param!$B$2,3_Huff!T114*3_Huff!T$139*1_Friction!T114,0)</f>
        <v>1.24523549737611E-005</v>
      </c>
      <c r="V114" s="43" t="n">
        <f aca="false">IF(Matrice_OD!U114&lt;=Param!$B$2,3_Huff!U114*3_Huff!U$139*1_Friction!U114,0)</f>
        <v>3.33147042894377E-005</v>
      </c>
      <c r="W114" s="43" t="n">
        <f aca="false">IF(Matrice_OD!V114&lt;=Param!$B$2,3_Huff!V114*3_Huff!V$139*1_Friction!V114,0)</f>
        <v>1.39273522989489E-005</v>
      </c>
      <c r="X114" s="43" t="n">
        <f aca="false">IF(Matrice_OD!W114&lt;=Param!$B$2,3_Huff!W114*3_Huff!W$139*1_Friction!W114,0)</f>
        <v>2.89040772849704E-006</v>
      </c>
      <c r="Y114" s="43" t="n">
        <f aca="false">IF(Matrice_OD!X114&lt;=Param!$B$2,3_Huff!X114*3_Huff!X$139*1_Friction!X114,0)</f>
        <v>4.37927936522412E-006</v>
      </c>
      <c r="Z114" s="43" t="n">
        <f aca="false">IF(Matrice_OD!Y114&lt;=Param!$B$2,3_Huff!Y114*3_Huff!Y$139*1_Friction!Y114,0)</f>
        <v>2.76778847497007E-006</v>
      </c>
      <c r="AA114" s="43" t="n">
        <f aca="false">IF(Matrice_OD!Z114&lt;=Param!$B$2,3_Huff!Z114*3_Huff!Z$139*1_Friction!Z114,0)</f>
        <v>6.43712163956429E-006</v>
      </c>
      <c r="AB114" s="43" t="n">
        <f aca="false">IF(Matrice_OD!AA114&lt;=Param!$B$2,3_Huff!AA114*3_Huff!AA$139*1_Friction!AA114,0)</f>
        <v>1.60674384087706E-005</v>
      </c>
      <c r="AC114" s="43" t="n">
        <f aca="false">IF(Matrice_OD!AB114&lt;=Param!$B$2,3_Huff!AB114*3_Huff!AB$139*1_Friction!AB114,0)</f>
        <v>6.47582345914044E-006</v>
      </c>
      <c r="AD114" s="43" t="n">
        <f aca="false">IF(Matrice_OD!AC114&lt;=Param!$B$2,3_Huff!AC114*3_Huff!AC$139*1_Friction!AC114,0)</f>
        <v>0</v>
      </c>
      <c r="AE114" s="43" t="n">
        <f aca="false">IF(Matrice_OD!AD114&lt;=Param!$B$2,3_Huff!AD114*3_Huff!AD$139*1_Friction!AD114,0)</f>
        <v>0</v>
      </c>
      <c r="AF114" s="43" t="n">
        <f aca="false">IF(Matrice_OD!AE114&lt;=Param!$B$2,3_Huff!AE114*3_Huff!AE$139*1_Friction!AE114,0)</f>
        <v>0</v>
      </c>
      <c r="AG114" s="43" t="n">
        <f aca="false">IF(Matrice_OD!AF114&lt;=Param!$B$2,3_Huff!AF114*3_Huff!AF$139*1_Friction!AF114,0)</f>
        <v>0</v>
      </c>
      <c r="AH114" s="43" t="n">
        <f aca="false">IF(Matrice_OD!AG114&lt;=Param!$B$2,3_Huff!AG114*3_Huff!AG$139*1_Friction!AG114,0)</f>
        <v>0</v>
      </c>
      <c r="AI114" s="43" t="n">
        <f aca="false">IF(Matrice_OD!AH114&lt;=Param!$B$2,3_Huff!AH114*3_Huff!AH$139*1_Friction!AH114,0)</f>
        <v>6.36701592523848E-007</v>
      </c>
      <c r="AJ114" s="43" t="n">
        <f aca="false">IF(Matrice_OD!AI114&lt;=Param!$B$2,3_Huff!AI114*3_Huff!AI$139*1_Friction!AI114,0)</f>
        <v>4.92188630694149E-006</v>
      </c>
      <c r="AK114" s="43" t="n">
        <f aca="false">IF(Matrice_OD!AJ114&lt;=Param!$B$2,3_Huff!AJ114*3_Huff!AJ$139*1_Friction!AJ114,0)</f>
        <v>6.62017843083189E-006</v>
      </c>
      <c r="AL114" s="43" t="n">
        <f aca="false">IF(Matrice_OD!AK114&lt;=Param!$B$2,3_Huff!AK114*3_Huff!AK$139*1_Friction!AK114,0)</f>
        <v>0</v>
      </c>
      <c r="AM114" s="0" t="n">
        <f aca="false">IF(Matrice_OD!AL114&lt;=Param!$B$2,3_Huff!AL114*3_Huff!AL$139*1_Friction!AL114,0)</f>
        <v>0</v>
      </c>
      <c r="AN114" s="0" t="n">
        <f aca="false">IF(Matrice_OD!AM114&lt;=Param!$B$2,3_Huff!AM114*3_Huff!AM$139*1_Friction!AM114,0)</f>
        <v>8.59322253531756E-007</v>
      </c>
      <c r="AO114" s="0" t="n">
        <f aca="false">IF(Matrice_OD!AN114&lt;=Param!$B$2,3_Huff!AN114*3_Huff!AN$139*1_Friction!AN114,0)</f>
        <v>0</v>
      </c>
      <c r="AP114" s="48" t="n">
        <f aca="false">SUM(D114:AO114)</f>
        <v>0.000120846250705626</v>
      </c>
      <c r="AQ114" s="43" t="n">
        <f aca="false">AP114*1000</f>
        <v>0.120846250705626</v>
      </c>
      <c r="AR114" s="43" t="n">
        <f aca="false">RANK(AP114,AP$2:AP$136,0)</f>
        <v>64</v>
      </c>
      <c r="AS114" s="43" t="n">
        <f aca="false">COUNTIF(Matrice_OD!$C114:$AN114,"&lt;="&amp;Param!$B$2)</f>
        <v>30</v>
      </c>
    </row>
    <row r="115" customFormat="false" ht="15" hidden="false" customHeight="true" outlineLevel="0" collapsed="false">
      <c r="A115" s="0" t="s">
        <v>328</v>
      </c>
      <c r="B115" s="0" t="s">
        <v>329</v>
      </c>
      <c r="C115" s="0" t="n">
        <f aca="false">Demande!C115</f>
        <v>4191</v>
      </c>
      <c r="D115" s="43" t="n">
        <f aca="false">IF(Matrice_OD!C115&lt;=Param!$B$2,3_Huff!C115*3_Huff!C$139*1_Friction!C115,0)</f>
        <v>0</v>
      </c>
      <c r="E115" s="43" t="n">
        <f aca="false">IF(Matrice_OD!D115&lt;=Param!$B$2,3_Huff!D115*3_Huff!D$139*1_Friction!D115,0)</f>
        <v>8.39409902402878E-008</v>
      </c>
      <c r="F115" s="43" t="n">
        <f aca="false">IF(Matrice_OD!E115&lt;=Param!$B$2,3_Huff!E115*3_Huff!E$139*1_Friction!E115,0)</f>
        <v>1.01604971342818E-006</v>
      </c>
      <c r="G115" s="43" t="n">
        <f aca="false">IF(Matrice_OD!F115&lt;=Param!$B$2,3_Huff!F115*3_Huff!F$139*1_Friction!F115,0)</f>
        <v>1.90791444040175E-007</v>
      </c>
      <c r="H115" s="43" t="n">
        <f aca="false">IF(Matrice_OD!G115&lt;=Param!$B$2,3_Huff!G115*3_Huff!G$139*1_Friction!G115,0)</f>
        <v>5.26704453817197E-007</v>
      </c>
      <c r="I115" s="43" t="n">
        <f aca="false">IF(Matrice_OD!H115&lt;=Param!$B$2,3_Huff!H115*3_Huff!H$139*1_Friction!H115,0)</f>
        <v>1.73871712173683E-007</v>
      </c>
      <c r="J115" s="43" t="n">
        <f aca="false">IF(Matrice_OD!I115&lt;=Param!$B$2,3_Huff!I115*3_Huff!I$139*1_Friction!I115,0)</f>
        <v>3.93567446990944E-007</v>
      </c>
      <c r="K115" s="43" t="n">
        <f aca="false">IF(Matrice_OD!J115&lt;=Param!$B$2,3_Huff!J115*3_Huff!J$139*1_Friction!J115,0)</f>
        <v>2.84741628520339E-007</v>
      </c>
      <c r="L115" s="43" t="n">
        <f aca="false">IF(Matrice_OD!K115&lt;=Param!$B$2,3_Huff!K115*3_Huff!K$139*1_Friction!K115,0)</f>
        <v>1.58921762356227E-007</v>
      </c>
      <c r="M115" s="43" t="n">
        <f aca="false">IF(Matrice_OD!L115&lt;=Param!$B$2,3_Huff!L115*3_Huff!L$139*1_Friction!L115,0)</f>
        <v>1.98575160508435E-007</v>
      </c>
      <c r="N115" s="43" t="n">
        <f aca="false">IF(Matrice_OD!M115&lt;=Param!$B$2,3_Huff!M115*3_Huff!M$139*1_Friction!M115,0)</f>
        <v>1.28354759641636E-006</v>
      </c>
      <c r="O115" s="43" t="n">
        <f aca="false">IF(Matrice_OD!N115&lt;=Param!$B$2,3_Huff!N115*3_Huff!N$139*1_Friction!N115,0)</f>
        <v>1.3495966389419E-007</v>
      </c>
      <c r="P115" s="43" t="n">
        <f aca="false">IF(Matrice_OD!O115&lt;=Param!$B$2,3_Huff!O115*3_Huff!O$139*1_Friction!O115,0)</f>
        <v>4.40672702415155E-007</v>
      </c>
      <c r="Q115" s="43" t="n">
        <f aca="false">IF(Matrice_OD!P115&lt;=Param!$B$2,3_Huff!P115*3_Huff!P$139*1_Friction!P115,0)</f>
        <v>2.27391498053406E-007</v>
      </c>
      <c r="R115" s="43" t="n">
        <f aca="false">IF(Matrice_OD!Q115&lt;=Param!$B$2,3_Huff!Q115*3_Huff!Q$139*1_Friction!Q115,0)</f>
        <v>2.0499607564779E-006</v>
      </c>
      <c r="S115" s="43" t="n">
        <f aca="false">IF(Matrice_OD!R115&lt;=Param!$B$2,3_Huff!R115*3_Huff!R$139*1_Friction!R115,0)</f>
        <v>2.66154507218043E-007</v>
      </c>
      <c r="T115" s="43" t="n">
        <f aca="false">IF(Matrice_OD!S115&lt;=Param!$B$2,3_Huff!S115*3_Huff!S$139*1_Friction!S115,0)</f>
        <v>1.82566455421005E-007</v>
      </c>
      <c r="U115" s="43" t="n">
        <f aca="false">IF(Matrice_OD!T115&lt;=Param!$B$2,3_Huff!T115*3_Huff!T$139*1_Friction!T115,0)</f>
        <v>3.19047231869329E-007</v>
      </c>
      <c r="V115" s="43" t="n">
        <f aca="false">IF(Matrice_OD!U115&lt;=Param!$B$2,3_Huff!U115*3_Huff!U$139*1_Friction!U115,0)</f>
        <v>1.64934515850137E-005</v>
      </c>
      <c r="W115" s="43" t="n">
        <f aca="false">IF(Matrice_OD!V115&lt;=Param!$B$2,3_Huff!V115*3_Huff!V$139*1_Friction!V115,0)</f>
        <v>1.92184964547699E-006</v>
      </c>
      <c r="X115" s="43" t="n">
        <f aca="false">IF(Matrice_OD!W115&lt;=Param!$B$2,3_Huff!W115*3_Huff!W$139*1_Friction!W115,0)</f>
        <v>5.1563624584501E-007</v>
      </c>
      <c r="Y115" s="43" t="n">
        <f aca="false">IF(Matrice_OD!X115&lt;=Param!$B$2,3_Huff!X115*3_Huff!X$139*1_Friction!X115,0)</f>
        <v>8.69283424498454E-007</v>
      </c>
      <c r="Z115" s="43" t="n">
        <f aca="false">IF(Matrice_OD!Y115&lt;=Param!$B$2,3_Huff!Y115*3_Huff!Y$139*1_Friction!Y115,0)</f>
        <v>5.79804616630198E-007</v>
      </c>
      <c r="AA115" s="43" t="n">
        <f aca="false">IF(Matrice_OD!Z115&lt;=Param!$B$2,3_Huff!Z115*3_Huff!Z$139*1_Friction!Z115,0)</f>
        <v>1.39569798437516E-006</v>
      </c>
      <c r="AB115" s="43" t="n">
        <f aca="false">IF(Matrice_OD!AA115&lt;=Param!$B$2,3_Huff!AA115*3_Huff!AA$139*1_Friction!AA115,0)</f>
        <v>3.05563336431274E-006</v>
      </c>
      <c r="AC115" s="43" t="n">
        <f aca="false">IF(Matrice_OD!AB115&lt;=Param!$B$2,3_Huff!AB115*3_Huff!AB$139*1_Friction!AB115,0)</f>
        <v>1.68717648541094E-006</v>
      </c>
      <c r="AD115" s="43" t="n">
        <f aca="false">IF(Matrice_OD!AC115&lt;=Param!$B$2,3_Huff!AC115*3_Huff!AC$139*1_Friction!AC115,0)</f>
        <v>0</v>
      </c>
      <c r="AE115" s="43" t="n">
        <f aca="false">IF(Matrice_OD!AD115&lt;=Param!$B$2,3_Huff!AD115*3_Huff!AD$139*1_Friction!AD115,0)</f>
        <v>1.23761110320908E-008</v>
      </c>
      <c r="AF115" s="43" t="n">
        <f aca="false">IF(Matrice_OD!AE115&lt;=Param!$B$2,3_Huff!AE115*3_Huff!AE$139*1_Friction!AE115,0)</f>
        <v>0</v>
      </c>
      <c r="AG115" s="43" t="n">
        <f aca="false">IF(Matrice_OD!AF115&lt;=Param!$B$2,3_Huff!AF115*3_Huff!AF$139*1_Friction!AF115,0)</f>
        <v>0</v>
      </c>
      <c r="AH115" s="43" t="n">
        <f aca="false">IF(Matrice_OD!AG115&lt;=Param!$B$2,3_Huff!AG115*3_Huff!AG$139*1_Friction!AG115,0)</f>
        <v>0</v>
      </c>
      <c r="AI115" s="43" t="n">
        <f aca="false">IF(Matrice_OD!AH115&lt;=Param!$B$2,3_Huff!AH115*3_Huff!AH$139*1_Friction!AH115,0)</f>
        <v>7.79694749758646E-007</v>
      </c>
      <c r="AJ115" s="43" t="n">
        <f aca="false">IF(Matrice_OD!AI115&lt;=Param!$B$2,3_Huff!AI115*3_Huff!AI$139*1_Friction!AI115,0)</f>
        <v>1.07524433908566E-007</v>
      </c>
      <c r="AK115" s="43" t="n">
        <f aca="false">IF(Matrice_OD!AJ115&lt;=Param!$B$2,3_Huff!AJ115*3_Huff!AJ$139*1_Friction!AJ115,0)</f>
        <v>1.16537507898645E-006</v>
      </c>
      <c r="AL115" s="43" t="n">
        <f aca="false">IF(Matrice_OD!AK115&lt;=Param!$B$2,3_Huff!AK115*3_Huff!AK$139*1_Friction!AK115,0)</f>
        <v>0</v>
      </c>
      <c r="AM115" s="0" t="n">
        <f aca="false">IF(Matrice_OD!AL115&lt;=Param!$B$2,3_Huff!AL115*3_Huff!AL$139*1_Friction!AL115,0)</f>
        <v>0</v>
      </c>
      <c r="AN115" s="0" t="n">
        <f aca="false">IF(Matrice_OD!AM115&lt;=Param!$B$2,3_Huff!AM115*3_Huff!AM$139*1_Friction!AM115,0)</f>
        <v>0</v>
      </c>
      <c r="AO115" s="0" t="n">
        <f aca="false">IF(Matrice_OD!AN115&lt;=Param!$B$2,3_Huff!AN115*3_Huff!AN$139*1_Friction!AN115,0)</f>
        <v>0</v>
      </c>
      <c r="AP115" s="49" t="n">
        <f aca="false">SUM(D115:AO115)</f>
        <v>3.65149684490898E-005</v>
      </c>
      <c r="AQ115" s="43" t="n">
        <f aca="false">AP115*1000</f>
        <v>0.0365149684490898</v>
      </c>
      <c r="AR115" s="43" t="n">
        <f aca="false">RANK(AP115,AP$2:AP$136,0)</f>
        <v>100</v>
      </c>
      <c r="AS115" s="43" t="n">
        <f aca="false">COUNTIF(Matrice_OD!$C115:$AN115,"&lt;="&amp;Param!$B$2)</f>
        <v>29</v>
      </c>
    </row>
    <row r="116" customFormat="false" ht="15" hidden="false" customHeight="true" outlineLevel="0" collapsed="false">
      <c r="A116" s="0" t="s">
        <v>330</v>
      </c>
      <c r="B116" s="0" t="s">
        <v>331</v>
      </c>
      <c r="C116" s="0" t="n">
        <f aca="false">Demande!C116</f>
        <v>4323</v>
      </c>
      <c r="D116" s="43" t="n">
        <f aca="false">IF(Matrice_OD!C116&lt;=Param!$B$2,3_Huff!C116*3_Huff!C$139*1_Friction!C116,0)</f>
        <v>0</v>
      </c>
      <c r="E116" s="43" t="n">
        <f aca="false">IF(Matrice_OD!D116&lt;=Param!$B$2,3_Huff!D116*3_Huff!D$139*1_Friction!D116,0)</f>
        <v>4.53640466468043E-008</v>
      </c>
      <c r="F116" s="43" t="n">
        <f aca="false">IF(Matrice_OD!E116&lt;=Param!$B$2,3_Huff!E116*3_Huff!E$139*1_Friction!E116,0)</f>
        <v>5.50671823578679E-007</v>
      </c>
      <c r="G116" s="43" t="n">
        <f aca="false">IF(Matrice_OD!F116&lt;=Param!$B$2,3_Huff!F116*3_Huff!F$139*1_Friction!F116,0)</f>
        <v>1.03679157483408E-007</v>
      </c>
      <c r="H116" s="43" t="n">
        <f aca="false">IF(Matrice_OD!G116&lt;=Param!$B$2,3_Huff!G116*3_Huff!G$139*1_Friction!G116,0)</f>
        <v>2.84884933098172E-007</v>
      </c>
      <c r="I116" s="43" t="n">
        <f aca="false">IF(Matrice_OD!H116&lt;=Param!$B$2,3_Huff!H116*3_Huff!H$139*1_Friction!H116,0)</f>
        <v>9.61653750426757E-008</v>
      </c>
      <c r="J116" s="43" t="n">
        <f aca="false">IF(Matrice_OD!I116&lt;=Param!$B$2,3_Huff!I116*3_Huff!I$139*1_Friction!I116,0)</f>
        <v>2.17631229402195E-007</v>
      </c>
      <c r="K116" s="43" t="n">
        <f aca="false">IF(Matrice_OD!J116&lt;=Param!$B$2,3_Huff!J116*3_Huff!J$139*1_Friction!J116,0)</f>
        <v>1.56077435825984E-007</v>
      </c>
      <c r="L116" s="43" t="n">
        <f aca="false">IF(Matrice_OD!K116&lt;=Param!$B$2,3_Huff!K116*3_Huff!K$139*1_Friction!K116,0)</f>
        <v>8.66588111867121E-008</v>
      </c>
      <c r="M116" s="43" t="n">
        <f aca="false">IF(Matrice_OD!L116&lt;=Param!$B$2,3_Huff!L116*3_Huff!L$139*1_Friction!L116,0)</f>
        <v>1.09827854308296E-007</v>
      </c>
      <c r="N116" s="43" t="n">
        <f aca="false">IF(Matrice_OD!M116&lt;=Param!$B$2,3_Huff!M116*3_Huff!M$139*1_Friction!M116,0)</f>
        <v>7.171612062452E-007</v>
      </c>
      <c r="O116" s="43" t="n">
        <f aca="false">IF(Matrice_OD!N116&lt;=Param!$B$2,3_Huff!N116*3_Huff!N$139*1_Friction!N116,0)</f>
        <v>7.42402568782555E-008</v>
      </c>
      <c r="P116" s="43" t="n">
        <f aca="false">IF(Matrice_OD!O116&lt;=Param!$B$2,3_Huff!O116*3_Huff!O$139*1_Friction!O116,0)</f>
        <v>2.42360973621612E-007</v>
      </c>
      <c r="Q116" s="43" t="n">
        <f aca="false">IF(Matrice_OD!P116&lt;=Param!$B$2,3_Huff!P116*3_Huff!P$139*1_Friction!P116,0)</f>
        <v>1.25518210158269E-007</v>
      </c>
      <c r="R116" s="43" t="n">
        <f aca="false">IF(Matrice_OD!Q116&lt;=Param!$B$2,3_Huff!Q116*3_Huff!Q$139*1_Friction!Q116,0)</f>
        <v>1.13267862287071E-006</v>
      </c>
      <c r="S116" s="43" t="n">
        <f aca="false">IF(Matrice_OD!R116&lt;=Param!$B$2,3_Huff!R116*3_Huff!R$139*1_Friction!R116,0)</f>
        <v>1.47045243914025E-007</v>
      </c>
      <c r="T116" s="43" t="n">
        <f aca="false">IF(Matrice_OD!S116&lt;=Param!$B$2,3_Huff!S116*3_Huff!S$139*1_Friction!S116,0)</f>
        <v>1.00280151202303E-007</v>
      </c>
      <c r="U116" s="43" t="n">
        <f aca="false">IF(Matrice_OD!T116&lt;=Param!$B$2,3_Huff!T116*3_Huff!T$139*1_Friction!T116,0)</f>
        <v>1.82430426579834E-007</v>
      </c>
      <c r="V116" s="43" t="n">
        <f aca="false">IF(Matrice_OD!U116&lt;=Param!$B$2,3_Huff!U116*3_Huff!U$139*1_Friction!U116,0)</f>
        <v>1.22403487916204E-005</v>
      </c>
      <c r="W116" s="43" t="n">
        <f aca="false">IF(Matrice_OD!V116&lt;=Param!$B$2,3_Huff!V116*3_Huff!V$139*1_Friction!V116,0)</f>
        <v>1.05729101169211E-006</v>
      </c>
      <c r="X116" s="43" t="n">
        <f aca="false">IF(Matrice_OD!W116&lt;=Param!$B$2,3_Huff!W116*3_Huff!W$139*1_Friction!W116,0)</f>
        <v>2.89089717089657E-007</v>
      </c>
      <c r="Y116" s="43" t="n">
        <f aca="false">IF(Matrice_OD!X116&lt;=Param!$B$2,3_Huff!X116*3_Huff!X$139*1_Friction!X116,0)</f>
        <v>4.93087998354752E-007</v>
      </c>
      <c r="Z116" s="43" t="n">
        <f aca="false">IF(Matrice_OD!Y116&lt;=Param!$B$2,3_Huff!Y116*3_Huff!Y$139*1_Friction!Y116,0)</f>
        <v>3.29415635392551E-007</v>
      </c>
      <c r="AA116" s="43" t="n">
        <f aca="false">IF(Matrice_OD!Z116&lt;=Param!$B$2,3_Huff!Z116*3_Huff!Z$139*1_Friction!Z116,0)</f>
        <v>7.90703740739455E-007</v>
      </c>
      <c r="AB116" s="43" t="n">
        <f aca="false">IF(Matrice_OD!AA116&lt;=Param!$B$2,3_Huff!AA116*3_Huff!AA$139*1_Friction!AA116,0)</f>
        <v>1.73685844660244E-006</v>
      </c>
      <c r="AC116" s="43" t="n">
        <f aca="false">IF(Matrice_OD!AB116&lt;=Param!$B$2,3_Huff!AB116*3_Huff!AB$139*1_Friction!AB116,0)</f>
        <v>9.72353185219893E-007</v>
      </c>
      <c r="AD116" s="43" t="n">
        <f aca="false">IF(Matrice_OD!AC116&lt;=Param!$B$2,3_Huff!AC116*3_Huff!AC$139*1_Friction!AC116,0)</f>
        <v>9.61474047867228E-008</v>
      </c>
      <c r="AE116" s="43" t="n">
        <f aca="false">IF(Matrice_OD!AD116&lt;=Param!$B$2,3_Huff!AD116*3_Huff!AD$139*1_Friction!AD116,0)</f>
        <v>5.11086303783998E-007</v>
      </c>
      <c r="AF116" s="43" t="n">
        <f aca="false">IF(Matrice_OD!AE116&lt;=Param!$B$2,3_Huff!AE116*3_Huff!AE$139*1_Friction!AE116,0)</f>
        <v>3.08198122483397E-007</v>
      </c>
      <c r="AG116" s="43" t="n">
        <f aca="false">IF(Matrice_OD!AF116&lt;=Param!$B$2,3_Huff!AF116*3_Huff!AF$139*1_Friction!AF116,0)</f>
        <v>1.85578053684182E-007</v>
      </c>
      <c r="AH116" s="43" t="n">
        <f aca="false">IF(Matrice_OD!AG116&lt;=Param!$B$2,3_Huff!AG116*3_Huff!AG$139*1_Friction!AG116,0)</f>
        <v>0</v>
      </c>
      <c r="AI116" s="43" t="n">
        <f aca="false">IF(Matrice_OD!AH116&lt;=Param!$B$2,3_Huff!AH116*3_Huff!AH$139*1_Friction!AH116,0)</f>
        <v>4.34772150447783E-007</v>
      </c>
      <c r="AJ116" s="43" t="n">
        <f aca="false">IF(Matrice_OD!AI116&lt;=Param!$B$2,3_Huff!AI116*3_Huff!AI$139*1_Friction!AI116,0)</f>
        <v>6.02497206650637E-008</v>
      </c>
      <c r="AK116" s="43" t="n">
        <f aca="false">IF(Matrice_OD!AJ116&lt;=Param!$B$2,3_Huff!AJ116*3_Huff!AJ$139*1_Friction!AJ116,0)</f>
        <v>6.56717720849032E-007</v>
      </c>
      <c r="AL116" s="43" t="n">
        <f aca="false">IF(Matrice_OD!AK116&lt;=Param!$B$2,3_Huff!AK116*3_Huff!AK$139*1_Friction!AK116,0)</f>
        <v>3.80952260581856E-007</v>
      </c>
      <c r="AM116" s="0" t="n">
        <f aca="false">IF(Matrice_OD!AL116&lt;=Param!$B$2,3_Huff!AL116*3_Huff!AL$139*1_Friction!AL116,0)</f>
        <v>9.63813937124789E-007</v>
      </c>
      <c r="AN116" s="0" t="n">
        <f aca="false">IF(Matrice_OD!AM116&lt;=Param!$B$2,3_Huff!AM116*3_Huff!AM$139*1_Friction!AM116,0)</f>
        <v>0</v>
      </c>
      <c r="AO116" s="0" t="n">
        <f aca="false">IF(Matrice_OD!AN116&lt;=Param!$B$2,3_Huff!AN116*3_Huff!AN$139*1_Friction!AN116,0)</f>
        <v>0</v>
      </c>
      <c r="AP116" s="48" t="n">
        <f aca="false">SUM(D116:AO116)</f>
        <v>2.58793399591612E-005</v>
      </c>
      <c r="AQ116" s="43" t="n">
        <f aca="false">AP116*1000</f>
        <v>0.0258793399591612</v>
      </c>
      <c r="AR116" s="43" t="n">
        <f aca="false">RANK(AP116,AP$2:AP$136,0)</f>
        <v>108</v>
      </c>
      <c r="AS116" s="43" t="n">
        <f aca="false">COUNTIF(Matrice_OD!$C116:$AN116,"&lt;="&amp;Param!$B$2)</f>
        <v>34</v>
      </c>
    </row>
    <row r="117" customFormat="false" ht="15" hidden="false" customHeight="true" outlineLevel="0" collapsed="false">
      <c r="A117" s="0" t="s">
        <v>332</v>
      </c>
      <c r="B117" s="0" t="s">
        <v>333</v>
      </c>
      <c r="C117" s="0" t="n">
        <f aca="false">Demande!C117</f>
        <v>5533</v>
      </c>
      <c r="D117" s="43" t="n">
        <f aca="false">IF(Matrice_OD!C117&lt;=Param!$B$2,3_Huff!C117*3_Huff!C$139*1_Friction!C117,0)</f>
        <v>0</v>
      </c>
      <c r="E117" s="43" t="n">
        <f aca="false">IF(Matrice_OD!D117&lt;=Param!$B$2,3_Huff!D117*3_Huff!D$139*1_Friction!D117,0)</f>
        <v>2.52074731891891E-007</v>
      </c>
      <c r="F117" s="43" t="n">
        <f aca="false">IF(Matrice_OD!E117&lt;=Param!$B$2,3_Huff!E117*3_Huff!E$139*1_Friction!E117,0)</f>
        <v>3.03568118377064E-006</v>
      </c>
      <c r="G117" s="43" t="n">
        <f aca="false">IF(Matrice_OD!F117&lt;=Param!$B$2,3_Huff!F117*3_Huff!F$139*1_Friction!F117,0)</f>
        <v>5.67333936504849E-007</v>
      </c>
      <c r="H117" s="43" t="n">
        <f aca="false">IF(Matrice_OD!G117&lt;=Param!$B$2,3_Huff!G117*3_Huff!G$139*1_Friction!G117,0)</f>
        <v>1.57392682575722E-006</v>
      </c>
      <c r="I117" s="43" t="n">
        <f aca="false">IF(Matrice_OD!H117&lt;=Param!$B$2,3_Huff!H117*3_Huff!H$139*1_Friction!H117,0)</f>
        <v>4.99335397613263E-007</v>
      </c>
      <c r="J117" s="43" t="n">
        <f aca="false">IF(Matrice_OD!I117&lt;=Param!$B$2,3_Huff!I117*3_Huff!I$139*1_Friction!I117,0)</f>
        <v>1.13445128690703E-006</v>
      </c>
      <c r="K117" s="43" t="n">
        <f aca="false">IF(Matrice_OD!J117&lt;=Param!$B$2,3_Huff!J117*3_Huff!J$139*1_Friction!J117,0)</f>
        <v>8.30925036064616E-007</v>
      </c>
      <c r="L117" s="43" t="n">
        <f aca="false">IF(Matrice_OD!K117&lt;=Param!$B$2,3_Huff!K117*3_Huff!K$139*1_Friction!K117,0)</f>
        <v>4.69668183989903E-007</v>
      </c>
      <c r="M117" s="43" t="n">
        <f aca="false">IF(Matrice_OD!L117&lt;=Param!$B$2,3_Huff!L117*3_Huff!L$139*1_Friction!L117,0)</f>
        <v>5.72188221255646E-007</v>
      </c>
      <c r="N117" s="43" t="n">
        <f aca="false">IF(Matrice_OD!M117&lt;=Param!$B$2,3_Huff!M117*3_Huff!M$139*1_Friction!M117,0)</f>
        <v>3.62002688635285E-006</v>
      </c>
      <c r="O117" s="43" t="n">
        <f aca="false">IF(Matrice_OD!N117&lt;=Param!$B$2,3_Huff!N117*3_Huff!N$139*1_Friction!N117,0)</f>
        <v>3.92660297698037E-007</v>
      </c>
      <c r="P117" s="43" t="n">
        <f aca="false">IF(Matrice_OD!O117&lt;=Param!$B$2,3_Huff!O117*3_Huff!O$139*1_Friction!O117,0)</f>
        <v>1.27829554635398E-006</v>
      </c>
      <c r="Q117" s="43" t="n">
        <f aca="false">IF(Matrice_OD!P117&lt;=Param!$B$2,3_Huff!P117*3_Huff!P$139*1_Friction!P117,0)</f>
        <v>6.55336805261869E-007</v>
      </c>
      <c r="R117" s="43" t="n">
        <f aca="false">IF(Matrice_OD!Q117&lt;=Param!$B$2,3_Huff!Q117*3_Huff!Q$139*1_Friction!Q117,0)</f>
        <v>5.89756080504405E-006</v>
      </c>
      <c r="S117" s="43" t="n">
        <f aca="false">IF(Matrice_OD!R117&lt;=Param!$B$2,3_Huff!R117*3_Huff!R$139*1_Friction!R117,0)</f>
        <v>7.68400464634367E-007</v>
      </c>
      <c r="T117" s="43" t="n">
        <f aca="false">IF(Matrice_OD!S117&lt;=Param!$B$2,3_Huff!S117*3_Huff!S$139*1_Friction!S117,0)</f>
        <v>5.32573033436631E-007</v>
      </c>
      <c r="U117" s="43" t="n">
        <f aca="false">IF(Matrice_OD!T117&lt;=Param!$B$2,3_Huff!T117*3_Huff!T$139*1_Friction!T117,0)</f>
        <v>1.27421134028102E-007</v>
      </c>
      <c r="V117" s="43" t="n">
        <f aca="false">IF(Matrice_OD!U117&lt;=Param!$B$2,3_Huff!U117*3_Huff!U$139*1_Friction!U117,0)</f>
        <v>7.55697886833044E-006</v>
      </c>
      <c r="W117" s="43" t="n">
        <f aca="false">IF(Matrice_OD!V117&lt;=Param!$B$2,3_Huff!V117*3_Huff!V$139*1_Friction!V117,0)</f>
        <v>6.36744136842712E-007</v>
      </c>
      <c r="X117" s="43" t="n">
        <f aca="false">IF(Matrice_OD!W117&lt;=Param!$B$2,3_Huff!W117*3_Huff!W$139*1_Friction!W117,0)</f>
        <v>1.7434990908998E-007</v>
      </c>
      <c r="Y117" s="43" t="n">
        <f aca="false">IF(Matrice_OD!X117&lt;=Param!$B$2,3_Huff!X117*3_Huff!X$139*1_Friction!X117,0)</f>
        <v>2.98253577277646E-007</v>
      </c>
      <c r="Z117" s="43" t="n">
        <f aca="false">IF(Matrice_OD!Y117&lt;=Param!$B$2,3_Huff!Y117*3_Huff!Y$139*1_Friction!Y117,0)</f>
        <v>1.98890156660283E-007</v>
      </c>
      <c r="AA117" s="43" t="n">
        <f aca="false">IF(Matrice_OD!Z117&lt;=Param!$B$2,3_Huff!Z117*3_Huff!Z$139*1_Friction!Z117,0)</f>
        <v>4.77287173555224E-007</v>
      </c>
      <c r="AB117" s="43" t="n">
        <f aca="false">IF(Matrice_OD!AA117&lt;=Param!$B$2,3_Huff!AA117*3_Huff!AA$139*1_Friction!AA117,0)</f>
        <v>1.05074721340687E-006</v>
      </c>
      <c r="AC117" s="43" t="n">
        <f aca="false">IF(Matrice_OD!AB117&lt;=Param!$B$2,3_Huff!AB117*3_Huff!AB$139*1_Friction!AB117,0)</f>
        <v>5.87771708188263E-007</v>
      </c>
      <c r="AD117" s="43" t="n">
        <f aca="false">IF(Matrice_OD!AC117&lt;=Param!$B$2,3_Huff!AC117*3_Huff!AC$139*1_Friction!AC117,0)</f>
        <v>2.6158145051999E-009</v>
      </c>
      <c r="AE117" s="43" t="n">
        <f aca="false">IF(Matrice_OD!AD117&lt;=Param!$B$2,3_Huff!AD117*3_Huff!AD$139*1_Friction!AD117,0)</f>
        <v>1.41159139724889E-008</v>
      </c>
      <c r="AF117" s="43" t="n">
        <f aca="false">IF(Matrice_OD!AE117&lt;=Param!$B$2,3_Huff!AE117*3_Huff!AE$139*1_Friction!AE117,0)</f>
        <v>8.50550795393357E-009</v>
      </c>
      <c r="AG117" s="43" t="n">
        <f aca="false">IF(Matrice_OD!AF117&lt;=Param!$B$2,3_Huff!AF117*3_Huff!AF$139*1_Friction!AF117,0)</f>
        <v>4.98324047014822E-009</v>
      </c>
      <c r="AH117" s="43" t="n">
        <f aca="false">IF(Matrice_OD!AG117&lt;=Param!$B$2,3_Huff!AG117*3_Huff!AG$139*1_Friction!AG117,0)</f>
        <v>0</v>
      </c>
      <c r="AI117" s="43" t="n">
        <f aca="false">IF(Matrice_OD!AH117&lt;=Param!$B$2,3_Huff!AH117*3_Huff!AH$139*1_Friction!AH117,0)</f>
        <v>2.21412384768726E-006</v>
      </c>
      <c r="AJ117" s="43" t="n">
        <f aca="false">IF(Matrice_OD!AI117&lt;=Param!$B$2,3_Huff!AI117*3_Huff!AI$139*1_Friction!AI117,0)</f>
        <v>5.00972112756495E-008</v>
      </c>
      <c r="AK117" s="43" t="n">
        <f aca="false">IF(Matrice_OD!AJ117&lt;=Param!$B$2,3_Huff!AJ117*3_Huff!AJ$139*1_Friction!AJ117,0)</f>
        <v>3.96234882059883E-007</v>
      </c>
      <c r="AL117" s="43" t="n">
        <f aca="false">IF(Matrice_OD!AK117&lt;=Param!$B$2,3_Huff!AK117*3_Huff!AK$139*1_Friction!AK117,0)</f>
        <v>0</v>
      </c>
      <c r="AM117" s="0" t="n">
        <f aca="false">IF(Matrice_OD!AL117&lt;=Param!$B$2,3_Huff!AL117*3_Huff!AL$139*1_Friction!AL117,0)</f>
        <v>2.63085343144902E-008</v>
      </c>
      <c r="AN117" s="0" t="n">
        <f aca="false">IF(Matrice_OD!AM117&lt;=Param!$B$2,3_Huff!AM117*3_Huff!AM$139*1_Friction!AM117,0)</f>
        <v>0</v>
      </c>
      <c r="AO117" s="0" t="n">
        <f aca="false">IF(Matrice_OD!AN117&lt;=Param!$B$2,3_Huff!AN117*3_Huff!AN$139*1_Friction!AN117,0)</f>
        <v>0</v>
      </c>
      <c r="AP117" s="49" t="n">
        <f aca="false">SUM(D117:AO117)</f>
        <v>3.59058674721554E-005</v>
      </c>
      <c r="AQ117" s="43" t="n">
        <f aca="false">AP117*1000</f>
        <v>0.0359058674721554</v>
      </c>
      <c r="AR117" s="43" t="n">
        <f aca="false">RANK(AP117,AP$2:AP$136,0)</f>
        <v>103</v>
      </c>
      <c r="AS117" s="43" t="n">
        <f aca="false">COUNTIF(Matrice_OD!$C117:$AN117,"&lt;="&amp;Param!$B$2)</f>
        <v>33</v>
      </c>
    </row>
    <row r="118" customFormat="false" ht="15" hidden="false" customHeight="true" outlineLevel="0" collapsed="false">
      <c r="A118" s="0" t="s">
        <v>334</v>
      </c>
      <c r="B118" s="0" t="s">
        <v>335</v>
      </c>
      <c r="C118" s="0" t="n">
        <f aca="false">Demande!C118</f>
        <v>2474</v>
      </c>
      <c r="D118" s="43" t="n">
        <f aca="false">IF(Matrice_OD!C118&lt;=Param!$B$2,3_Huff!C118*3_Huff!C$139*1_Friction!C118,0)</f>
        <v>0</v>
      </c>
      <c r="E118" s="43" t="n">
        <f aca="false">IF(Matrice_OD!D118&lt;=Param!$B$2,3_Huff!D118*3_Huff!D$139*1_Friction!D118,0)</f>
        <v>3.84222699673583E-007</v>
      </c>
      <c r="F118" s="43" t="n">
        <f aca="false">IF(Matrice_OD!E118&lt;=Param!$B$2,3_Huff!E118*3_Huff!E$139*1_Friction!E118,0)</f>
        <v>4.60716551251489E-006</v>
      </c>
      <c r="G118" s="43" t="n">
        <f aca="false">IF(Matrice_OD!F118&lt;=Param!$B$2,3_Huff!F118*3_Huff!F$139*1_Friction!F118,0)</f>
        <v>8.57570339749724E-007</v>
      </c>
      <c r="H118" s="43" t="n">
        <f aca="false">IF(Matrice_OD!G118&lt;=Param!$B$2,3_Huff!G118*3_Huff!G$139*1_Friction!G118,0)</f>
        <v>2.38905905228805E-006</v>
      </c>
      <c r="I118" s="43" t="n">
        <f aca="false">IF(Matrice_OD!H118&lt;=Param!$B$2,3_Huff!H118*3_Huff!H$139*1_Friction!H118,0)</f>
        <v>7.32848923656789E-007</v>
      </c>
      <c r="J118" s="43" t="n">
        <f aca="false">IF(Matrice_OD!I118&lt;=Param!$B$2,3_Huff!I118*3_Huff!I$139*1_Friction!I118,0)</f>
        <v>1.67019227604298E-006</v>
      </c>
      <c r="K118" s="43" t="n">
        <f aca="false">IF(Matrice_OD!J118&lt;=Param!$B$2,3_Huff!J118*3_Huff!J$139*1_Friction!J118,0)</f>
        <v>1.23614910421798E-006</v>
      </c>
      <c r="L118" s="43" t="n">
        <f aca="false">IF(Matrice_OD!K118&lt;=Param!$B$2,3_Huff!K118*3_Huff!K$139*1_Friction!K118,0)</f>
        <v>7.06249141783507E-007</v>
      </c>
      <c r="M118" s="43" t="n">
        <f aca="false">IF(Matrice_OD!L118&lt;=Param!$B$2,3_Huff!L118*3_Huff!L$139*1_Friction!L118,0)</f>
        <v>8.43370577518879E-007</v>
      </c>
      <c r="N118" s="43" t="n">
        <f aca="false">IF(Matrice_OD!M118&lt;=Param!$B$2,3_Huff!M118*3_Huff!M$139*1_Friction!M118,0)</f>
        <v>5.23203555356094E-006</v>
      </c>
      <c r="O118" s="43" t="n">
        <f aca="false">IF(Matrice_OD!N118&lt;=Param!$B$2,3_Huff!N118*3_Huff!N$139*1_Friction!N118,0)</f>
        <v>5.82674822170454E-007</v>
      </c>
      <c r="P118" s="43" t="n">
        <f aca="false">IF(Matrice_OD!O118&lt;=Param!$B$2,3_Huff!O118*3_Huff!O$139*1_Friction!O118,0)</f>
        <v>1.89208561330415E-006</v>
      </c>
      <c r="Q118" s="43" t="n">
        <f aca="false">IF(Matrice_OD!P118&lt;=Param!$B$2,3_Huff!P118*3_Huff!P$139*1_Friction!P118,0)</f>
        <v>9.64673808007968E-007</v>
      </c>
      <c r="R118" s="43" t="n">
        <f aca="false">IF(Matrice_OD!Q118&lt;=Param!$B$2,3_Huff!Q118*3_Huff!Q$139*1_Friction!Q118,0)</f>
        <v>8.66844985259971E-006</v>
      </c>
      <c r="S118" s="43" t="n">
        <f aca="false">IF(Matrice_OD!R118&lt;=Param!$B$2,3_Huff!R118*3_Huff!R$139*1_Friction!R118,0)</f>
        <v>1.13279274740999E-006</v>
      </c>
      <c r="T118" s="43" t="n">
        <f aca="false">IF(Matrice_OD!S118&lt;=Param!$B$2,3_Huff!S118*3_Huff!S$139*1_Friction!S118,0)</f>
        <v>7.92061316946127E-007</v>
      </c>
      <c r="U118" s="43" t="n">
        <f aca="false">IF(Matrice_OD!T118&lt;=Param!$B$2,3_Huff!T118*3_Huff!T$139*1_Friction!T118,0)</f>
        <v>7.00438143757022E-007</v>
      </c>
      <c r="V118" s="43" t="n">
        <f aca="false">IF(Matrice_OD!U118&lt;=Param!$B$2,3_Huff!U118*3_Huff!U$139*1_Friction!U118,0)</f>
        <v>1.38589730047964E-005</v>
      </c>
      <c r="W118" s="43" t="n">
        <f aca="false">IF(Matrice_OD!V118&lt;=Param!$B$2,3_Huff!V118*3_Huff!V$139*1_Friction!V118,0)</f>
        <v>2.56354608406652E-006</v>
      </c>
      <c r="X118" s="43" t="n">
        <f aca="false">IF(Matrice_OD!W118&lt;=Param!$B$2,3_Huff!W118*3_Huff!W$139*1_Friction!W118,0)</f>
        <v>6.70975694488862E-007</v>
      </c>
      <c r="Y118" s="43" t="n">
        <f aca="false">IF(Matrice_OD!X118&lt;=Param!$B$2,3_Huff!X118*3_Huff!X$139*1_Friction!X118,0)</f>
        <v>1.10603670417047E-006</v>
      </c>
      <c r="Z118" s="43" t="n">
        <f aca="false">IF(Matrice_OD!Y118&lt;=Param!$B$2,3_Huff!Y118*3_Huff!Y$139*1_Friction!Y118,0)</f>
        <v>7.39091747508054E-007</v>
      </c>
      <c r="AA118" s="43" t="n">
        <f aca="false">IF(Matrice_OD!Z118&lt;=Param!$B$2,3_Huff!Z118*3_Huff!Z$139*1_Friction!Z118,0)</f>
        <v>1.78702246396284E-006</v>
      </c>
      <c r="AB118" s="43" t="n">
        <f aca="false">IF(Matrice_OD!AA118&lt;=Param!$B$2,3_Huff!AA118*3_Huff!AA$139*1_Friction!AA118,0)</f>
        <v>3.87542873086362E-006</v>
      </c>
      <c r="AC118" s="43" t="n">
        <f aca="false">IF(Matrice_OD!AB118&lt;=Param!$B$2,3_Huff!AB118*3_Huff!AB$139*1_Friction!AB118,0)</f>
        <v>2.10362253836929E-006</v>
      </c>
      <c r="AD118" s="43" t="n">
        <f aca="false">IF(Matrice_OD!AC118&lt;=Param!$B$2,3_Huff!AC118*3_Huff!AC$139*1_Friction!AC118,0)</f>
        <v>0</v>
      </c>
      <c r="AE118" s="43" t="n">
        <f aca="false">IF(Matrice_OD!AD118&lt;=Param!$B$2,3_Huff!AD118*3_Huff!AD$139*1_Friction!AD118,0)</f>
        <v>0</v>
      </c>
      <c r="AF118" s="43" t="n">
        <f aca="false">IF(Matrice_OD!AE118&lt;=Param!$B$2,3_Huff!AE118*3_Huff!AE$139*1_Friction!AE118,0)</f>
        <v>0</v>
      </c>
      <c r="AG118" s="43" t="n">
        <f aca="false">IF(Matrice_OD!AF118&lt;=Param!$B$2,3_Huff!AF118*3_Huff!AF$139*1_Friction!AF118,0)</f>
        <v>0</v>
      </c>
      <c r="AH118" s="43" t="n">
        <f aca="false">IF(Matrice_OD!AG118&lt;=Param!$B$2,3_Huff!AG118*3_Huff!AG$139*1_Friction!AG118,0)</f>
        <v>0</v>
      </c>
      <c r="AI118" s="43" t="n">
        <f aca="false">IF(Matrice_OD!AH118&lt;=Param!$B$2,3_Huff!AH118*3_Huff!AH$139*1_Friction!AH118,0)</f>
        <v>3.21872418312132E-006</v>
      </c>
      <c r="AJ118" s="43" t="n">
        <f aca="false">IF(Matrice_OD!AI118&lt;=Param!$B$2,3_Huff!AI118*3_Huff!AI$139*1_Friction!AI118,0)</f>
        <v>2.46364467600578E-007</v>
      </c>
      <c r="AK118" s="43" t="n">
        <f aca="false">IF(Matrice_OD!AJ118&lt;=Param!$B$2,3_Huff!AJ118*3_Huff!AJ$139*1_Friction!AJ118,0)</f>
        <v>1.50446799713801E-006</v>
      </c>
      <c r="AL118" s="43" t="n">
        <f aca="false">IF(Matrice_OD!AK118&lt;=Param!$B$2,3_Huff!AK118*3_Huff!AK$139*1_Friction!AK118,0)</f>
        <v>0</v>
      </c>
      <c r="AM118" s="0" t="n">
        <f aca="false">IF(Matrice_OD!AL118&lt;=Param!$B$2,3_Huff!AL118*3_Huff!AL$139*1_Friction!AL118,0)</f>
        <v>0</v>
      </c>
      <c r="AN118" s="0" t="n">
        <f aca="false">IF(Matrice_OD!AM118&lt;=Param!$B$2,3_Huff!AM118*3_Huff!AM$139*1_Friction!AM118,0)</f>
        <v>0</v>
      </c>
      <c r="AO118" s="0" t="n">
        <f aca="false">IF(Matrice_OD!AN118&lt;=Param!$B$2,3_Huff!AN118*3_Huff!AN$139*1_Friction!AN118,0)</f>
        <v>0</v>
      </c>
      <c r="AP118" s="48" t="n">
        <f aca="false">SUM(D118:AO118)</f>
        <v>6.50662931012887E-005</v>
      </c>
      <c r="AQ118" s="43" t="n">
        <f aca="false">AP118*1000</f>
        <v>0.0650662931012887</v>
      </c>
      <c r="AR118" s="43" t="n">
        <f aca="false">RANK(AP118,AP$2:AP$136,0)</f>
        <v>85</v>
      </c>
      <c r="AS118" s="43" t="n">
        <f aca="false">COUNTIF(Matrice_OD!$C118:$AN118,"&lt;="&amp;Param!$B$2)</f>
        <v>28</v>
      </c>
    </row>
    <row r="119" customFormat="false" ht="15" hidden="false" customHeight="true" outlineLevel="0" collapsed="false">
      <c r="A119" s="0" t="s">
        <v>336</v>
      </c>
      <c r="B119" s="0" t="s">
        <v>337</v>
      </c>
      <c r="C119" s="0" t="n">
        <f aca="false">Demande!C119</f>
        <v>8928</v>
      </c>
      <c r="D119" s="43" t="n">
        <f aca="false">IF(Matrice_OD!C119&lt;=Param!$B$2,3_Huff!C119*3_Huff!C$139*1_Friction!C119,0)</f>
        <v>3.61129944207205E-009</v>
      </c>
      <c r="E119" s="43" t="n">
        <f aca="false">IF(Matrice_OD!D119&lt;=Param!$B$2,3_Huff!D119*3_Huff!D$139*1_Friction!D119,0)</f>
        <v>7.1958794420796E-009</v>
      </c>
      <c r="F119" s="43" t="n">
        <f aca="false">IF(Matrice_OD!E119&lt;=Param!$B$2,3_Huff!E119*3_Huff!E$139*1_Friction!E119,0)</f>
        <v>8.72053577159373E-008</v>
      </c>
      <c r="G119" s="43" t="n">
        <f aca="false">IF(Matrice_OD!F119&lt;=Param!$B$2,3_Huff!F119*3_Huff!F$139*1_Friction!F119,0)</f>
        <v>1.64238383099168E-008</v>
      </c>
      <c r="H119" s="43" t="n">
        <f aca="false">IF(Matrice_OD!G119&lt;=Param!$B$2,3_Huff!G119*3_Huff!G$139*1_Friction!G119,0)</f>
        <v>4.52040476909953E-008</v>
      </c>
      <c r="I119" s="43" t="n">
        <f aca="false">IF(Matrice_OD!H119&lt;=Param!$B$2,3_Huff!H119*3_Huff!H$139*1_Friction!H119,0)</f>
        <v>1.50618862434794E-008</v>
      </c>
      <c r="J119" s="43" t="n">
        <f aca="false">IF(Matrice_OD!I119&lt;=Param!$B$2,3_Huff!I119*3_Huff!I$139*1_Friction!I119,0)</f>
        <v>3.41257026296526E-008</v>
      </c>
      <c r="K119" s="43" t="n">
        <f aca="false">IF(Matrice_OD!J119&lt;=Param!$B$2,3_Huff!J119*3_Huff!J$139*1_Friction!J119,0)</f>
        <v>2.45739308337944E-008</v>
      </c>
      <c r="L119" s="43" t="n">
        <f aca="false">IF(Matrice_OD!K119&lt;=Param!$B$2,3_Huff!K119*3_Huff!K$139*1_Friction!K119,0)</f>
        <v>1.36747667836077E-008</v>
      </c>
      <c r="M119" s="43" t="n">
        <f aca="false">IF(Matrice_OD!L119&lt;=Param!$B$2,3_Huff!L119*3_Huff!L$139*1_Friction!L119,0)</f>
        <v>1.72195941077518E-008</v>
      </c>
      <c r="N119" s="43" t="n">
        <f aca="false">IF(Matrice_OD!M119&lt;=Param!$B$2,3_Huff!M119*3_Huff!M$139*1_Friction!M119,0)</f>
        <v>1.11661560815758E-007</v>
      </c>
      <c r="O119" s="43" t="n">
        <f aca="false">IF(Matrice_OD!N119&lt;=Param!$B$2,3_Huff!N119*3_Huff!N$139*1_Friction!N119,0)</f>
        <v>1.16555173784216E-008</v>
      </c>
      <c r="P119" s="43" t="n">
        <f aca="false">IF(Matrice_OD!O119&lt;=Param!$B$2,3_Huff!O119*3_Huff!O$139*1_Friction!O119,0)</f>
        <v>3.80844438840797E-008</v>
      </c>
      <c r="Q119" s="43" t="n">
        <f aca="false">IF(Matrice_OD!P119&lt;=Param!$B$2,3_Huff!P119*3_Huff!P$139*1_Friction!P119,0)</f>
        <v>1.96819046891077E-008</v>
      </c>
      <c r="R119" s="43" t="n">
        <f aca="false">IF(Matrice_OD!Q119&lt;=Param!$B$2,3_Huff!Q119*3_Huff!Q$139*1_Friction!Q119,0)</f>
        <v>1.77507707111851E-007</v>
      </c>
      <c r="S119" s="43" t="n">
        <f aca="false">IF(Matrice_OD!R119&lt;=Param!$B$2,3_Huff!R119*3_Huff!R$139*1_Friction!R119,0)</f>
        <v>2.30693977836159E-008</v>
      </c>
      <c r="T119" s="43" t="n">
        <f aca="false">IF(Matrice_OD!S119&lt;=Param!$B$2,3_Huff!S119*3_Huff!S$139*1_Friction!S119,0)</f>
        <v>1.57860882825559E-008</v>
      </c>
      <c r="U119" s="43" t="n">
        <f aca="false">IF(Matrice_OD!T119&lt;=Param!$B$2,3_Huff!T119*3_Huff!T$139*1_Friction!T119,0)</f>
        <v>4.67130849455393E-007</v>
      </c>
      <c r="V119" s="43" t="n">
        <f aca="false">IF(Matrice_OD!U119&lt;=Param!$B$2,3_Huff!U119*3_Huff!U$139*1_Friction!U119,0)</f>
        <v>6.70842852930137E-006</v>
      </c>
      <c r="W119" s="43" t="n">
        <f aca="false">IF(Matrice_OD!V119&lt;=Param!$B$2,3_Huff!V119*3_Huff!V$139*1_Friction!V119,0)</f>
        <v>0.000139320167693381</v>
      </c>
      <c r="X119" s="43" t="n">
        <f aca="false">IF(Matrice_OD!W119&lt;=Param!$B$2,3_Huff!W119*3_Huff!W$139*1_Friction!W119,0)</f>
        <v>2.99731194398847E-005</v>
      </c>
      <c r="Y119" s="43" t="n">
        <f aca="false">IF(Matrice_OD!X119&lt;=Param!$B$2,3_Huff!X119*3_Huff!X$139*1_Friction!X119,0)</f>
        <v>4.24229792279215E-005</v>
      </c>
      <c r="Z119" s="43" t="n">
        <f aca="false">IF(Matrice_OD!Y119&lt;=Param!$B$2,3_Huff!Y119*3_Huff!Y$139*1_Friction!Y119,0)</f>
        <v>2.83680951909537E-005</v>
      </c>
      <c r="AA119" s="43" t="n">
        <f aca="false">IF(Matrice_OD!Z119&lt;=Param!$B$2,3_Huff!Z119*3_Huff!Z$139*1_Friction!Z119,0)</f>
        <v>7.08625372922179E-005</v>
      </c>
      <c r="AB119" s="43" t="n">
        <f aca="false">IF(Matrice_OD!AA119&lt;=Param!$B$2,3_Huff!AA119*3_Huff!AA$139*1_Friction!AA119,0)</f>
        <v>0.000145177472575474</v>
      </c>
      <c r="AC119" s="43" t="n">
        <f aca="false">IF(Matrice_OD!AB119&lt;=Param!$B$2,3_Huff!AB119*3_Huff!AB$139*1_Friction!AB119,0)</f>
        <v>6.86001897074804E-005</v>
      </c>
      <c r="AD119" s="43" t="n">
        <f aca="false">IF(Matrice_OD!AC119&lt;=Param!$B$2,3_Huff!AC119*3_Huff!AC$139*1_Friction!AC119,0)</f>
        <v>0</v>
      </c>
      <c r="AE119" s="43" t="n">
        <f aca="false">IF(Matrice_OD!AD119&lt;=Param!$B$2,3_Huff!AD119*3_Huff!AD$139*1_Friction!AD119,0)</f>
        <v>0</v>
      </c>
      <c r="AF119" s="43" t="n">
        <f aca="false">IF(Matrice_OD!AE119&lt;=Param!$B$2,3_Huff!AE119*3_Huff!AE$139*1_Friction!AE119,0)</f>
        <v>0</v>
      </c>
      <c r="AG119" s="43" t="n">
        <f aca="false">IF(Matrice_OD!AF119&lt;=Param!$B$2,3_Huff!AF119*3_Huff!AF$139*1_Friction!AF119,0)</f>
        <v>0</v>
      </c>
      <c r="AH119" s="43" t="n">
        <f aca="false">IF(Matrice_OD!AG119&lt;=Param!$B$2,3_Huff!AG119*3_Huff!AG$139*1_Friction!AG119,0)</f>
        <v>0</v>
      </c>
      <c r="AI119" s="43" t="n">
        <f aca="false">IF(Matrice_OD!AH119&lt;=Param!$B$2,3_Huff!AH119*3_Huff!AH$139*1_Friction!AH119,0)</f>
        <v>6.78419235823042E-008</v>
      </c>
      <c r="AJ119" s="43" t="n">
        <f aca="false">IF(Matrice_OD!AI119&lt;=Param!$B$2,3_Huff!AI119*3_Huff!AI$139*1_Friction!AI119,0)</f>
        <v>1.68738674884315E-007</v>
      </c>
      <c r="AK119" s="43" t="n">
        <f aca="false">IF(Matrice_OD!AJ119&lt;=Param!$B$2,3_Huff!AJ119*3_Huff!AJ$139*1_Friction!AJ119,0)</f>
        <v>6.33909081955715E-005</v>
      </c>
      <c r="AL119" s="43" t="n">
        <f aca="false">IF(Matrice_OD!AK119&lt;=Param!$B$2,3_Huff!AK119*3_Huff!AK$139*1_Friction!AK119,0)</f>
        <v>0</v>
      </c>
      <c r="AM119" s="0" t="n">
        <f aca="false">IF(Matrice_OD!AL119&lt;=Param!$B$2,3_Huff!AL119*3_Huff!AL$139*1_Friction!AL119,0)</f>
        <v>0</v>
      </c>
      <c r="AN119" s="0" t="n">
        <f aca="false">IF(Matrice_OD!AM119&lt;=Param!$B$2,3_Huff!AM119*3_Huff!AM$139*1_Friction!AM119,0)</f>
        <v>8.06797323439307E-009</v>
      </c>
      <c r="AO119" s="0" t="n">
        <f aca="false">IF(Matrice_OD!AN119&lt;=Param!$B$2,3_Huff!AN119*3_Huff!AN$139*1_Friction!AN119,0)</f>
        <v>0</v>
      </c>
      <c r="AP119" s="49" t="n">
        <f aca="false">SUM(D119:AO119)</f>
        <v>0.000596197420196487</v>
      </c>
      <c r="AQ119" s="43" t="n">
        <f aca="false">AP119*1000</f>
        <v>0.596197420196487</v>
      </c>
      <c r="AR119" s="43" t="n">
        <f aca="false">RANK(AP119,AP$2:AP$136,0)</f>
        <v>5</v>
      </c>
      <c r="AS119" s="43" t="n">
        <f aca="false">COUNTIF(Matrice_OD!$C119:$AN119,"&lt;="&amp;Param!$B$2)</f>
        <v>30</v>
      </c>
    </row>
    <row r="120" customFormat="false" ht="15" hidden="false" customHeight="true" outlineLevel="0" collapsed="false">
      <c r="A120" s="0" t="s">
        <v>338</v>
      </c>
      <c r="B120" s="0" t="s">
        <v>339</v>
      </c>
      <c r="C120" s="0" t="n">
        <f aca="false">Demande!C120</f>
        <v>8560</v>
      </c>
      <c r="D120" s="43" t="n">
        <f aca="false">IF(Matrice_OD!C120&lt;=Param!$B$2,3_Huff!C120*3_Huff!C$139*1_Friction!C120,0)</f>
        <v>8.29272963430292E-009</v>
      </c>
      <c r="E120" s="43" t="n">
        <f aca="false">IF(Matrice_OD!D120&lt;=Param!$B$2,3_Huff!D120*3_Huff!D$139*1_Friction!D120,0)</f>
        <v>4.08093763930927E-008</v>
      </c>
      <c r="F120" s="43" t="n">
        <f aca="false">IF(Matrice_OD!E120&lt;=Param!$B$2,3_Huff!E120*3_Huff!E$139*1_Friction!E120,0)</f>
        <v>4.91345017293993E-007</v>
      </c>
      <c r="G120" s="43" t="n">
        <f aca="false">IF(Matrice_OD!F120&lt;=Param!$B$2,3_Huff!F120*3_Huff!F$139*1_Friction!F120,0)</f>
        <v>9.18070065265318E-008</v>
      </c>
      <c r="H120" s="43" t="n">
        <f aca="false">IF(Matrice_OD!G120&lt;=Param!$B$2,3_Huff!G120*3_Huff!G$139*1_Friction!G120,0)</f>
        <v>2.54336281669484E-007</v>
      </c>
      <c r="I120" s="43" t="n">
        <f aca="false">IF(Matrice_OD!H120&lt;=Param!$B$2,3_Huff!H120*3_Huff!H$139*1_Friction!H120,0)</f>
        <v>8.05484561265143E-008</v>
      </c>
      <c r="J120" s="43" t="n">
        <f aca="false">IF(Matrice_OD!I120&lt;=Param!$B$2,3_Huff!I120*3_Huff!I$139*1_Friction!I120,0)</f>
        <v>1.83320513234768E-007</v>
      </c>
      <c r="K120" s="43" t="n">
        <f aca="false">IF(Matrice_OD!J120&lt;=Param!$B$2,3_Huff!J120*3_Huff!J$139*1_Friction!J120,0)</f>
        <v>1.34131966414409E-007</v>
      </c>
      <c r="L120" s="43" t="n">
        <f aca="false">IF(Matrice_OD!K120&lt;=Param!$B$2,3_Huff!K120*3_Huff!K$139*1_Friction!K120,0)</f>
        <v>7.58583454621569E-008</v>
      </c>
      <c r="M120" s="43" t="n">
        <f aca="false">IF(Matrice_OD!L120&lt;=Param!$B$2,3_Huff!L120*3_Huff!L$139*1_Friction!L120,0)</f>
        <v>9.2460707476057E-008</v>
      </c>
      <c r="N120" s="43" t="n">
        <f aca="false">IF(Matrice_OD!M120&lt;=Param!$B$2,3_Huff!M120*3_Huff!M$139*1_Friction!M120,0)</f>
        <v>5.83486464930078E-007</v>
      </c>
      <c r="O120" s="43" t="n">
        <f aca="false">IF(Matrice_OD!N120&lt;=Param!$B$2,3_Huff!N120*3_Huff!N$139*1_Friction!N120,0)</f>
        <v>6.34783184526239E-008</v>
      </c>
      <c r="P120" s="43" t="n">
        <f aca="false">IF(Matrice_OD!O120&lt;=Param!$B$2,3_Huff!O120*3_Huff!O$139*1_Friction!O120,0)</f>
        <v>2.06294452711828E-007</v>
      </c>
      <c r="Q120" s="43" t="n">
        <f aca="false">IF(Matrice_OD!P120&lt;=Param!$B$2,3_Huff!P120*3_Huff!P$139*1_Friction!P120,0)</f>
        <v>1.05729599422514E-007</v>
      </c>
      <c r="R120" s="43" t="n">
        <f aca="false">IF(Matrice_OD!Q120&lt;=Param!$B$2,3_Huff!Q120*3_Huff!Q$139*1_Friction!Q120,0)</f>
        <v>9.514169276819E-007</v>
      </c>
      <c r="S120" s="43" t="n">
        <f aca="false">IF(Matrice_OD!R120&lt;=Param!$B$2,3_Huff!R120*3_Huff!R$139*1_Friction!R120,0)</f>
        <v>1.24177794528252E-007</v>
      </c>
      <c r="T120" s="43" t="n">
        <f aca="false">IF(Matrice_OD!S120&lt;=Param!$B$2,3_Huff!S120*3_Huff!S$139*1_Friction!S120,0)</f>
        <v>8.61071958770755E-008</v>
      </c>
      <c r="U120" s="43" t="n">
        <f aca="false">IF(Matrice_OD!T120&lt;=Param!$B$2,3_Huff!T120*3_Huff!T$139*1_Friction!T120,0)</f>
        <v>8.11392657451403E-007</v>
      </c>
      <c r="V120" s="43" t="n">
        <f aca="false">IF(Matrice_OD!U120&lt;=Param!$B$2,3_Huff!U120*3_Huff!U$139*1_Friction!U120,0)</f>
        <v>1.71301269157538E-005</v>
      </c>
      <c r="W120" s="43" t="n">
        <f aca="false">IF(Matrice_OD!V120&lt;=Param!$B$2,3_Huff!V120*3_Huff!V$139*1_Friction!V120,0)</f>
        <v>0.000120740146331654</v>
      </c>
      <c r="X120" s="43" t="n">
        <f aca="false">IF(Matrice_OD!W120&lt;=Param!$B$2,3_Huff!W120*3_Huff!W$139*1_Friction!W120,0)</f>
        <v>2.43652980186483E-005</v>
      </c>
      <c r="Y120" s="43" t="n">
        <f aca="false">IF(Matrice_OD!X120&lt;=Param!$B$2,3_Huff!X120*3_Huff!X$139*1_Friction!X120,0)</f>
        <v>3.42493594838739E-005</v>
      </c>
      <c r="Z120" s="43" t="n">
        <f aca="false">IF(Matrice_OD!Y120&lt;=Param!$B$2,3_Huff!Y120*3_Huff!Y$139*1_Friction!Y120,0)</f>
        <v>2.23731047128941E-005</v>
      </c>
      <c r="AA120" s="43" t="n">
        <f aca="false">IF(Matrice_OD!Z120&lt;=Param!$B$2,3_Huff!Z120*3_Huff!Z$139*1_Friction!Z120,0)</f>
        <v>5.46368517995052E-005</v>
      </c>
      <c r="AB120" s="43" t="n">
        <f aca="false">IF(Matrice_OD!AA120&lt;=Param!$B$2,3_Huff!AA120*3_Huff!AA$139*1_Friction!AA120,0)</f>
        <v>0.000119883049103637</v>
      </c>
      <c r="AC120" s="43" t="n">
        <f aca="false">IF(Matrice_OD!AB120&lt;=Param!$B$2,3_Huff!AB120*3_Huff!AB$139*1_Friction!AB120,0)</f>
        <v>5.15147877664799E-005</v>
      </c>
      <c r="AD120" s="43" t="n">
        <f aca="false">IF(Matrice_OD!AC120&lt;=Param!$B$2,3_Huff!AC120*3_Huff!AC$139*1_Friction!AC120,0)</f>
        <v>0</v>
      </c>
      <c r="AE120" s="43" t="n">
        <f aca="false">IF(Matrice_OD!AD120&lt;=Param!$B$2,3_Huff!AD120*3_Huff!AD$139*1_Friction!AD120,0)</f>
        <v>0</v>
      </c>
      <c r="AF120" s="43" t="n">
        <f aca="false">IF(Matrice_OD!AE120&lt;=Param!$B$2,3_Huff!AE120*3_Huff!AE$139*1_Friction!AE120,0)</f>
        <v>0</v>
      </c>
      <c r="AG120" s="43" t="n">
        <f aca="false">IF(Matrice_OD!AF120&lt;=Param!$B$2,3_Huff!AF120*3_Huff!AF$139*1_Friction!AF120,0)</f>
        <v>0</v>
      </c>
      <c r="AH120" s="43" t="n">
        <f aca="false">IF(Matrice_OD!AG120&lt;=Param!$B$2,3_Huff!AG120*3_Huff!AG$139*1_Friction!AG120,0)</f>
        <v>0</v>
      </c>
      <c r="AI120" s="43" t="n">
        <f aca="false">IF(Matrice_OD!AH120&lt;=Param!$B$2,3_Huff!AH120*3_Huff!AH$139*1_Friction!AH120,0)</f>
        <v>3.57547128722866E-007</v>
      </c>
      <c r="AJ120" s="43" t="n">
        <f aca="false">IF(Matrice_OD!AI120&lt;=Param!$B$2,3_Huff!AI120*3_Huff!AI$139*1_Friction!AI120,0)</f>
        <v>2.98972679714168E-007</v>
      </c>
      <c r="AK120" s="43" t="n">
        <f aca="false">IF(Matrice_OD!AJ120&lt;=Param!$B$2,3_Huff!AJ120*3_Huff!AJ$139*1_Friction!AJ120,0)</f>
        <v>5.25710508838756E-005</v>
      </c>
      <c r="AL120" s="43" t="n">
        <f aca="false">IF(Matrice_OD!AK120&lt;=Param!$B$2,3_Huff!AK120*3_Huff!AK$139*1_Friction!AK120,0)</f>
        <v>0</v>
      </c>
      <c r="AM120" s="0" t="n">
        <f aca="false">IF(Matrice_OD!AL120&lt;=Param!$B$2,3_Huff!AL120*3_Huff!AL$139*1_Friction!AL120,0)</f>
        <v>0</v>
      </c>
      <c r="AN120" s="0" t="n">
        <f aca="false">IF(Matrice_OD!AM120&lt;=Param!$B$2,3_Huff!AM120*3_Huff!AM$139*1_Friction!AM120,0)</f>
        <v>1.85156704344718E-008</v>
      </c>
      <c r="AO120" s="0" t="n">
        <f aca="false">IF(Matrice_OD!AN120&lt;=Param!$B$2,3_Huff!AN120*3_Huff!AN$139*1_Friction!AN120,0)</f>
        <v>0</v>
      </c>
      <c r="AP120" s="48" t="n">
        <f aca="false">SUM(D120:AO120)</f>
        <v>0.00050252380430648</v>
      </c>
      <c r="AQ120" s="43" t="n">
        <f aca="false">AP120*1000</f>
        <v>0.50252380430648</v>
      </c>
      <c r="AR120" s="43" t="n">
        <f aca="false">RANK(AP120,AP$2:AP$136,0)</f>
        <v>9</v>
      </c>
      <c r="AS120" s="43" t="n">
        <f aca="false">COUNTIF(Matrice_OD!$C120:$AN120,"&lt;="&amp;Param!$B$2)</f>
        <v>30</v>
      </c>
    </row>
    <row r="121" customFormat="false" ht="15" hidden="false" customHeight="true" outlineLevel="0" collapsed="false">
      <c r="A121" s="0" t="s">
        <v>340</v>
      </c>
      <c r="B121" s="0" t="s">
        <v>341</v>
      </c>
      <c r="C121" s="0" t="n">
        <f aca="false">Demande!C121</f>
        <v>15043</v>
      </c>
      <c r="D121" s="43" t="n">
        <f aca="false">IF(Matrice_OD!C121&lt;=Param!$B$2,3_Huff!C121*3_Huff!C$139*1_Friction!C121,0)</f>
        <v>2.67927902011735E-008</v>
      </c>
      <c r="E121" s="43" t="n">
        <f aca="false">IF(Matrice_OD!D121&lt;=Param!$B$2,3_Huff!D121*3_Huff!D$139*1_Friction!D121,0)</f>
        <v>1.32560059896837E-008</v>
      </c>
      <c r="F121" s="43" t="n">
        <f aca="false">IF(Matrice_OD!E121&lt;=Param!$B$2,3_Huff!E121*3_Huff!E$139*1_Friction!E121,0)</f>
        <v>1.60193947841915E-007</v>
      </c>
      <c r="G121" s="43" t="n">
        <f aca="false">IF(Matrice_OD!F121&lt;=Param!$B$2,3_Huff!F121*3_Huff!F$139*1_Friction!F121,0)</f>
        <v>3.00352585657325E-008</v>
      </c>
      <c r="H121" s="43" t="n">
        <f aca="false">IF(Matrice_OD!G121&lt;=Param!$B$2,3_Huff!G121*3_Huff!G$139*1_Friction!G121,0)</f>
        <v>8.29004811135739E-008</v>
      </c>
      <c r="I121" s="43" t="n">
        <f aca="false">IF(Matrice_OD!H121&lt;=Param!$B$2,3_Huff!H121*3_Huff!H$139*1_Friction!H121,0)</f>
        <v>2.7022655711838E-008</v>
      </c>
      <c r="J121" s="43" t="n">
        <f aca="false">IF(Matrice_OD!I121&lt;=Param!$B$2,3_Huff!I121*3_Huff!I$139*1_Friction!I121,0)</f>
        <v>6.13442305824921E-008</v>
      </c>
      <c r="K121" s="43" t="n">
        <f aca="false">IF(Matrice_OD!J121&lt;=Param!$B$2,3_Huff!J121*3_Huff!J$139*1_Friction!J121,0)</f>
        <v>4.44796155422671E-008</v>
      </c>
      <c r="L121" s="43" t="n">
        <f aca="false">IF(Matrice_OD!K121&lt;=Param!$B$2,3_Huff!K121*3_Huff!K$139*1_Friction!K121,0)</f>
        <v>2.49690503617596E-008</v>
      </c>
      <c r="M121" s="43" t="n">
        <f aca="false">IF(Matrice_OD!L121&lt;=Param!$B$2,3_Huff!L121*3_Huff!L$139*1_Friction!L121,0)</f>
        <v>3.09478644628977E-008</v>
      </c>
      <c r="N121" s="43" t="n">
        <f aca="false">IF(Matrice_OD!M121&lt;=Param!$B$2,3_Huff!M121*3_Huff!M$139*1_Friction!M121,0)</f>
        <v>1.98339199699373E-007</v>
      </c>
      <c r="O121" s="43" t="n">
        <f aca="false">IF(Matrice_OD!N121&lt;=Param!$B$2,3_Huff!N121*3_Huff!N$139*1_Friction!N121,0)</f>
        <v>2.10984951487024E-008</v>
      </c>
      <c r="P121" s="43" t="n">
        <f aca="false">IF(Matrice_OD!O121&lt;=Param!$B$2,3_Huff!O121*3_Huff!O$139*1_Friction!O121,0)</f>
        <v>6.87068653593433E-008</v>
      </c>
      <c r="Q121" s="43" t="n">
        <f aca="false">IF(Matrice_OD!P121&lt;=Param!$B$2,3_Huff!P121*3_Huff!P$139*1_Friction!P121,0)</f>
        <v>3.53801154705644E-008</v>
      </c>
      <c r="R121" s="43" t="n">
        <f aca="false">IF(Matrice_OD!Q121&lt;=Param!$B$2,3_Huff!Q121*3_Huff!Q$139*1_Friction!Q121,0)</f>
        <v>3.19324143199844E-007</v>
      </c>
      <c r="S121" s="43" t="n">
        <f aca="false">IF(Matrice_OD!R121&lt;=Param!$B$2,3_Huff!R121*3_Huff!R$139*1_Friction!R121,0)</f>
        <v>4.15057183562531E-008</v>
      </c>
      <c r="T121" s="43" t="n">
        <f aca="false">IF(Matrice_OD!S121&lt;=Param!$B$2,3_Huff!S121*3_Huff!S$139*1_Friction!S121,0)</f>
        <v>2.85650114141973E-008</v>
      </c>
      <c r="U121" s="43" t="n">
        <f aca="false">IF(Matrice_OD!T121&lt;=Param!$B$2,3_Huff!T121*3_Huff!T$139*1_Friction!T121,0)</f>
        <v>1.61546015621356E-006</v>
      </c>
      <c r="V121" s="43" t="n">
        <f aca="false">IF(Matrice_OD!U121&lt;=Param!$B$2,3_Huff!U121*3_Huff!U$139*1_Friction!U121,0)</f>
        <v>1.08358157106132E-005</v>
      </c>
      <c r="W121" s="43" t="n">
        <f aca="false">IF(Matrice_OD!V121&lt;=Param!$B$2,3_Huff!V121*3_Huff!V$139*1_Friction!V121,0)</f>
        <v>0.000168436988552739</v>
      </c>
      <c r="X121" s="43" t="n">
        <f aca="false">IF(Matrice_OD!W121&lt;=Param!$B$2,3_Huff!W121*3_Huff!W$139*1_Friction!W121,0)</f>
        <v>3.36789072475817E-005</v>
      </c>
      <c r="Y121" s="43" t="n">
        <f aca="false">IF(Matrice_OD!X121&lt;=Param!$B$2,3_Huff!X121*3_Huff!X$139*1_Friction!X121,0)</f>
        <v>4.61117450090502E-005</v>
      </c>
      <c r="Z121" s="43" t="n">
        <f aca="false">IF(Matrice_OD!Y121&lt;=Param!$B$2,3_Huff!Y121*3_Huff!Y$139*1_Friction!Y121,0)</f>
        <v>3.04808856114337E-005</v>
      </c>
      <c r="AA121" s="43" t="n">
        <f aca="false">IF(Matrice_OD!Z121&lt;=Param!$B$2,3_Huff!Z121*3_Huff!Z$139*1_Friction!Z121,0)</f>
        <v>7.57007837205952E-005</v>
      </c>
      <c r="AB121" s="43" t="n">
        <f aca="false">IF(Matrice_OD!AA121&lt;=Param!$B$2,3_Huff!AA121*3_Huff!AA$139*1_Friction!AA121,0)</f>
        <v>0.000158876837916921</v>
      </c>
      <c r="AC121" s="43" t="n">
        <f aca="false">IF(Matrice_OD!AB121&lt;=Param!$B$2,3_Huff!AB121*3_Huff!AB$139*1_Friction!AB121,0)</f>
        <v>6.97964826356271E-005</v>
      </c>
      <c r="AD121" s="43" t="n">
        <f aca="false">IF(Matrice_OD!AC121&lt;=Param!$B$2,3_Huff!AC121*3_Huff!AC$139*1_Friction!AC121,0)</f>
        <v>0</v>
      </c>
      <c r="AE121" s="43" t="n">
        <f aca="false">IF(Matrice_OD!AD121&lt;=Param!$B$2,3_Huff!AD121*3_Huff!AD$139*1_Friction!AD121,0)</f>
        <v>0</v>
      </c>
      <c r="AF121" s="43" t="n">
        <f aca="false">IF(Matrice_OD!AE121&lt;=Param!$B$2,3_Huff!AE121*3_Huff!AE$139*1_Friction!AE121,0)</f>
        <v>0</v>
      </c>
      <c r="AG121" s="43" t="n">
        <f aca="false">IF(Matrice_OD!AF121&lt;=Param!$B$2,3_Huff!AF121*3_Huff!AF$139*1_Friction!AF121,0)</f>
        <v>0</v>
      </c>
      <c r="AH121" s="43" t="n">
        <f aca="false">IF(Matrice_OD!AG121&lt;=Param!$B$2,3_Huff!AG121*3_Huff!AG$139*1_Friction!AG121,0)</f>
        <v>0</v>
      </c>
      <c r="AI121" s="43" t="n">
        <f aca="false">IF(Matrice_OD!AH121&lt;=Param!$B$2,3_Huff!AH121*3_Huff!AH$139*1_Friction!AH121,0)</f>
        <v>1.20949919490889E-007</v>
      </c>
      <c r="AJ121" s="43" t="n">
        <f aca="false">IF(Matrice_OD!AI121&lt;=Param!$B$2,3_Huff!AI121*3_Huff!AI$139*1_Friction!AI121,0)</f>
        <v>6.14052175534448E-007</v>
      </c>
      <c r="AK121" s="43" t="n">
        <f aca="false">IF(Matrice_OD!AJ121&lt;=Param!$B$2,3_Huff!AJ121*3_Huff!AJ$139*1_Friction!AJ121,0)</f>
        <v>7.11526688019623E-005</v>
      </c>
      <c r="AL121" s="43" t="n">
        <f aca="false">IF(Matrice_OD!AK121&lt;=Param!$B$2,3_Huff!AK121*3_Huff!AK$139*1_Friction!AK121,0)</f>
        <v>0</v>
      </c>
      <c r="AM121" s="0" t="n">
        <f aca="false">IF(Matrice_OD!AL121&lt;=Param!$B$2,3_Huff!AL121*3_Huff!AL$139*1_Friction!AL121,0)</f>
        <v>0</v>
      </c>
      <c r="AN121" s="0" t="n">
        <f aca="false">IF(Matrice_OD!AM121&lt;=Param!$B$2,3_Huff!AM121*3_Huff!AM$139*1_Friction!AM121,0)</f>
        <v>6.12133643442691E-008</v>
      </c>
      <c r="AO121" s="0" t="n">
        <f aca="false">IF(Matrice_OD!AN121&lt;=Param!$B$2,3_Huff!AN121*3_Huff!AN$139*1_Friction!AN121,0)</f>
        <v>0</v>
      </c>
      <c r="AP121" s="49" t="n">
        <f aca="false">SUM(D121:AO121)</f>
        <v>0.000668697652271128</v>
      </c>
      <c r="AQ121" s="43" t="n">
        <f aca="false">AP121*1000</f>
        <v>0.668697652271128</v>
      </c>
      <c r="AR121" s="43" t="n">
        <f aca="false">RANK(AP121,AP$2:AP$136,0)</f>
        <v>3</v>
      </c>
      <c r="AS121" s="43" t="n">
        <f aca="false">COUNTIF(Matrice_OD!$C121:$AN121,"&lt;="&amp;Param!$B$2)</f>
        <v>30</v>
      </c>
    </row>
    <row r="122" customFormat="false" ht="15" hidden="false" customHeight="true" outlineLevel="0" collapsed="false">
      <c r="A122" s="0" t="s">
        <v>342</v>
      </c>
      <c r="B122" s="0" t="s">
        <v>343</v>
      </c>
      <c r="C122" s="0" t="n">
        <f aca="false">Demande!C122</f>
        <v>5617</v>
      </c>
      <c r="D122" s="43" t="n">
        <f aca="false">IF(Matrice_OD!C122&lt;=Param!$B$2,3_Huff!C122*3_Huff!C$139*1_Friction!C122,0)</f>
        <v>5.16299183398299E-008</v>
      </c>
      <c r="E122" s="43" t="n">
        <f aca="false">IF(Matrice_OD!D122&lt;=Param!$B$2,3_Huff!D122*3_Huff!D$139*1_Friction!D122,0)</f>
        <v>1.64033511287419E-008</v>
      </c>
      <c r="F122" s="43" t="n">
        <f aca="false">IF(Matrice_OD!E122&lt;=Param!$B$2,3_Huff!E122*3_Huff!E$139*1_Friction!E122,0)</f>
        <v>1.47154249788325E-007</v>
      </c>
      <c r="G122" s="43" t="n">
        <f aca="false">IF(Matrice_OD!F122&lt;=Param!$B$2,3_Huff!F122*3_Huff!F$139*1_Friction!F122,0)</f>
        <v>2.76117593511539E-008</v>
      </c>
      <c r="H122" s="43" t="n">
        <f aca="false">IF(Matrice_OD!G122&lt;=Param!$B$2,3_Huff!G122*3_Huff!G$139*1_Friction!G122,0)</f>
        <v>7.0107988816112E-008</v>
      </c>
      <c r="I122" s="43" t="n">
        <f aca="false">IF(Matrice_OD!H122&lt;=Param!$B$2,3_Huff!H122*3_Huff!H$139*1_Friction!H122,0)</f>
        <v>2.49828677068859E-008</v>
      </c>
      <c r="J122" s="43" t="n">
        <f aca="false">IF(Matrice_OD!I122&lt;=Param!$B$2,3_Huff!I122*3_Huff!I$139*1_Friction!I122,0)</f>
        <v>5.22061198348991E-008</v>
      </c>
      <c r="K122" s="43" t="n">
        <f aca="false">IF(Matrice_OD!J122&lt;=Param!$B$2,3_Huff!J122*3_Huff!J$139*1_Friction!J122,0)</f>
        <v>3.78150619176056E-008</v>
      </c>
      <c r="L122" s="43" t="n">
        <f aca="false">IF(Matrice_OD!K122&lt;=Param!$B$2,3_Huff!K122*3_Huff!K$139*1_Friction!K122,0)</f>
        <v>2.11311652349478E-008</v>
      </c>
      <c r="M122" s="43" t="n">
        <f aca="false">IF(Matrice_OD!L122&lt;=Param!$B$2,3_Huff!L122*3_Huff!L$139*1_Friction!L122,0)</f>
        <v>2.63398047490475E-008</v>
      </c>
      <c r="N122" s="43" t="n">
        <f aca="false">IF(Matrice_OD!M122&lt;=Param!$B$2,3_Huff!M122*3_Huff!M$139*1_Friction!M122,0)</f>
        <v>1.69905701438411E-007</v>
      </c>
      <c r="O122" s="43" t="n">
        <f aca="false">IF(Matrice_OD!N122&lt;=Param!$B$2,3_Huff!N122*3_Huff!N$139*1_Friction!N122,0)</f>
        <v>1.79181675117404E-008</v>
      </c>
      <c r="P122" s="43" t="n">
        <f aca="false">IF(Matrice_OD!O122&lt;=Param!$B$2,3_Huff!O122*3_Huff!O$139*1_Friction!O122,0)</f>
        <v>5.84899845039841E-008</v>
      </c>
      <c r="Q122" s="43" t="n">
        <f aca="false">IF(Matrice_OD!P122&lt;=Param!$B$2,3_Huff!P122*3_Huff!P$139*1_Friction!P122,0)</f>
        <v>3.01626267901282E-008</v>
      </c>
      <c r="R122" s="43" t="n">
        <f aca="false">IF(Matrice_OD!Q122&lt;=Param!$B$2,3_Huff!Q122*3_Huff!Q$139*1_Friction!Q122,0)</f>
        <v>2.71873825705129E-007</v>
      </c>
      <c r="S122" s="43" t="n">
        <f aca="false">IF(Matrice_OD!R122&lt;=Param!$B$2,3_Huff!R122*3_Huff!R$139*1_Friction!R122,0)</f>
        <v>3.53103359280755E-008</v>
      </c>
      <c r="T122" s="43" t="n">
        <f aca="false">IF(Matrice_OD!S122&lt;=Param!$B$2,3_Huff!S122*3_Huff!S$139*1_Friction!S122,0)</f>
        <v>2.42448899796188E-008</v>
      </c>
      <c r="U122" s="43" t="n">
        <f aca="false">IF(Matrice_OD!T122&lt;=Param!$B$2,3_Huff!T122*3_Huff!T$139*1_Friction!T122,0)</f>
        <v>2.5463066763043E-006</v>
      </c>
      <c r="V122" s="43" t="n">
        <f aca="false">IF(Matrice_OD!U122&lt;=Param!$B$2,3_Huff!U122*3_Huff!U$139*1_Friction!U122,0)</f>
        <v>1.12224485613172E-005</v>
      </c>
      <c r="W122" s="43" t="n">
        <f aca="false">IF(Matrice_OD!V122&lt;=Param!$B$2,3_Huff!V122*3_Huff!V$139*1_Friction!V122,0)</f>
        <v>0.000162748192070883</v>
      </c>
      <c r="X122" s="43" t="n">
        <f aca="false">IF(Matrice_OD!W122&lt;=Param!$B$2,3_Huff!W122*3_Huff!W$139*1_Friction!W122,0)</f>
        <v>2.86180315554739E-005</v>
      </c>
      <c r="Y122" s="43" t="n">
        <f aca="false">IF(Matrice_OD!X122&lt;=Param!$B$2,3_Huff!X122*3_Huff!X$139*1_Friction!X122,0)</f>
        <v>3.92625059551729E-005</v>
      </c>
      <c r="Z122" s="43" t="n">
        <f aca="false">IF(Matrice_OD!Y122&lt;=Param!$B$2,3_Huff!Y122*3_Huff!Y$139*1_Friction!Y122,0)</f>
        <v>2.5735716337432E-005</v>
      </c>
      <c r="AA122" s="43" t="n">
        <f aca="false">IF(Matrice_OD!Z122&lt;=Param!$B$2,3_Huff!Z122*3_Huff!Z$139*1_Friction!Z122,0)</f>
        <v>6.32158301966346E-005</v>
      </c>
      <c r="AB122" s="43" t="n">
        <f aca="false">IF(Matrice_OD!AA122&lt;=Param!$B$2,3_Huff!AA122*3_Huff!AA$139*1_Friction!AA122,0)</f>
        <v>0.000122414224267064</v>
      </c>
      <c r="AC122" s="43" t="n">
        <f aca="false">IF(Matrice_OD!AB122&lt;=Param!$B$2,3_Huff!AB122*3_Huff!AB$139*1_Friction!AB122,0)</f>
        <v>5.27010243327569E-005</v>
      </c>
      <c r="AD122" s="43" t="n">
        <f aca="false">IF(Matrice_OD!AC122&lt;=Param!$B$2,3_Huff!AC122*3_Huff!AC$139*1_Friction!AC122,0)</f>
        <v>0</v>
      </c>
      <c r="AE122" s="43" t="n">
        <f aca="false">IF(Matrice_OD!AD122&lt;=Param!$B$2,3_Huff!AD122*3_Huff!AD$139*1_Friction!AD122,0)</f>
        <v>0</v>
      </c>
      <c r="AF122" s="43" t="n">
        <f aca="false">IF(Matrice_OD!AE122&lt;=Param!$B$2,3_Huff!AE122*3_Huff!AE$139*1_Friction!AE122,0)</f>
        <v>0</v>
      </c>
      <c r="AG122" s="43" t="n">
        <f aca="false">IF(Matrice_OD!AF122&lt;=Param!$B$2,3_Huff!AF122*3_Huff!AF$139*1_Friction!AF122,0)</f>
        <v>0</v>
      </c>
      <c r="AH122" s="43" t="n">
        <f aca="false">IF(Matrice_OD!AG122&lt;=Param!$B$2,3_Huff!AG122*3_Huff!AG$139*1_Friction!AG122,0)</f>
        <v>0</v>
      </c>
      <c r="AI122" s="43" t="n">
        <f aca="false">IF(Matrice_OD!AH122&lt;=Param!$B$2,3_Huff!AH122*3_Huff!AH$139*1_Friction!AH122,0)</f>
        <v>1.03277477408727E-007</v>
      </c>
      <c r="AJ122" s="43" t="n">
        <f aca="false">IF(Matrice_OD!AI122&lt;=Param!$B$2,3_Huff!AI122*3_Huff!AI$139*1_Friction!AI122,0)</f>
        <v>9.80915247164796E-007</v>
      </c>
      <c r="AK122" s="43" t="n">
        <f aca="false">IF(Matrice_OD!AJ122&lt;=Param!$B$2,3_Huff!AJ122*3_Huff!AJ$139*1_Friction!AJ122,0)</f>
        <v>6.03576014465193E-005</v>
      </c>
      <c r="AL122" s="43" t="n">
        <f aca="false">IF(Matrice_OD!AK122&lt;=Param!$B$2,3_Huff!AK122*3_Huff!AK$139*1_Friction!AK122,0)</f>
        <v>0</v>
      </c>
      <c r="AM122" s="0" t="n">
        <f aca="false">IF(Matrice_OD!AL122&lt;=Param!$B$2,3_Huff!AL122*3_Huff!AL$139*1_Friction!AL122,0)</f>
        <v>0</v>
      </c>
      <c r="AN122" s="0" t="n">
        <f aca="false">IF(Matrice_OD!AM122&lt;=Param!$B$2,3_Huff!AM122*3_Huff!AM$139*1_Friction!AM122,0)</f>
        <v>1.18135133790824E-007</v>
      </c>
      <c r="AO122" s="0" t="n">
        <f aca="false">IF(Matrice_OD!AN122&lt;=Param!$B$2,3_Huff!AN122*3_Huff!AN$139*1_Friction!AN122,0)</f>
        <v>0</v>
      </c>
      <c r="AP122" s="48" t="n">
        <f aca="false">SUM(D122:AO122)</f>
        <v>0.000571107497076647</v>
      </c>
      <c r="AQ122" s="43" t="n">
        <f aca="false">AP122*1000</f>
        <v>0.571107497076647</v>
      </c>
      <c r="AR122" s="43" t="n">
        <f aca="false">RANK(AP122,AP$2:AP$136,0)</f>
        <v>6</v>
      </c>
      <c r="AS122" s="43" t="n">
        <f aca="false">COUNTIF(Matrice_OD!$C122:$AN122,"&lt;="&amp;Param!$B$2)</f>
        <v>30</v>
      </c>
    </row>
    <row r="123" customFormat="false" ht="15" hidden="false" customHeight="true" outlineLevel="0" collapsed="false">
      <c r="A123" s="0" t="s">
        <v>344</v>
      </c>
      <c r="B123" s="0" t="s">
        <v>345</v>
      </c>
      <c r="C123" s="0" t="n">
        <f aca="false">Demande!C123</f>
        <v>2965</v>
      </c>
      <c r="D123" s="43" t="n">
        <f aca="false">IF(Matrice_OD!C123&lt;=Param!$B$2,3_Huff!C123*3_Huff!C$139*1_Friction!C123,0)</f>
        <v>4.91547902468918E-008</v>
      </c>
      <c r="E123" s="43" t="n">
        <f aca="false">IF(Matrice_OD!D123&lt;=Param!$B$2,3_Huff!D123*3_Huff!D$139*1_Friction!D123,0)</f>
        <v>1.08821181033853E-008</v>
      </c>
      <c r="F123" s="43" t="n">
        <f aca="false">IF(Matrice_OD!E123&lt;=Param!$B$2,3_Huff!E123*3_Huff!E$139*1_Friction!E123,0)</f>
        <v>9.59279620227869E-008</v>
      </c>
      <c r="G123" s="43" t="n">
        <f aca="false">IF(Matrice_OD!F123&lt;=Param!$B$2,3_Huff!F123*3_Huff!F$139*1_Friction!F123,0)</f>
        <v>1.80545425334758E-008</v>
      </c>
      <c r="H123" s="43" t="n">
        <f aca="false">IF(Matrice_OD!G123&lt;=Param!$B$2,3_Huff!G123*3_Huff!G$139*1_Friction!G123,0)</f>
        <v>4.40837053160306E-008</v>
      </c>
      <c r="I123" s="43" t="n">
        <f aca="false">IF(Matrice_OD!H123&lt;=Param!$B$2,3_Huff!H123*3_Huff!H$139*1_Friction!H123,0)</f>
        <v>1.67328648090938E-008</v>
      </c>
      <c r="J123" s="43" t="n">
        <f aca="false">IF(Matrice_OD!I123&lt;=Param!$B$2,3_Huff!I123*3_Huff!I$139*1_Friction!I123,0)</f>
        <v>2.7743729236885E-008</v>
      </c>
      <c r="K123" s="43" t="n">
        <f aca="false">IF(Matrice_OD!J123&lt;=Param!$B$2,3_Huff!J123*3_Huff!J$139*1_Friction!J123,0)</f>
        <v>2.0517914933336E-008</v>
      </c>
      <c r="L123" s="43" t="n">
        <f aca="false">IF(Matrice_OD!K123&lt;=Param!$B$2,3_Huff!K123*3_Huff!K$139*1_Friction!K123,0)</f>
        <v>1.25683002270576E-008</v>
      </c>
      <c r="M123" s="43" t="n">
        <f aca="false">IF(Matrice_OD!L123&lt;=Param!$B$2,3_Huff!L123*3_Huff!L$139*1_Friction!L123,0)</f>
        <v>1.40015804192611E-008</v>
      </c>
      <c r="N123" s="43" t="n">
        <f aca="false">IF(Matrice_OD!M123&lt;=Param!$B$2,3_Huff!M123*3_Huff!M$139*1_Friction!M123,0)</f>
        <v>8.98307045759606E-008</v>
      </c>
      <c r="O123" s="43" t="n">
        <f aca="false">IF(Matrice_OD!N123&lt;=Param!$B$2,3_Huff!N123*3_Huff!N$139*1_Friction!N123,0)</f>
        <v>1.02770102945649E-008</v>
      </c>
      <c r="P123" s="43" t="n">
        <f aca="false">IF(Matrice_OD!O123&lt;=Param!$B$2,3_Huff!O123*3_Huff!O$139*1_Friction!O123,0)</f>
        <v>3.08687435254621E-008</v>
      </c>
      <c r="Q123" s="43" t="n">
        <f aca="false">IF(Matrice_OD!P123&lt;=Param!$B$2,3_Huff!P123*3_Huff!P$139*1_Friction!P123,0)</f>
        <v>1.46621069947965E-008</v>
      </c>
      <c r="R123" s="43" t="n">
        <f aca="false">IF(Matrice_OD!Q123&lt;=Param!$B$2,3_Huff!Q123*3_Huff!Q$139*1_Friction!Q123,0)</f>
        <v>1.21699998527797E-007</v>
      </c>
      <c r="S123" s="43" t="n">
        <f aca="false">IF(Matrice_OD!R123&lt;=Param!$B$2,3_Huff!R123*3_Huff!R$139*1_Friction!R123,0)</f>
        <v>1.59989977333929E-008</v>
      </c>
      <c r="T123" s="43" t="n">
        <f aca="false">IF(Matrice_OD!S123&lt;=Param!$B$2,3_Huff!S123*3_Huff!S$139*1_Friction!S123,0)</f>
        <v>1.15303595210896E-008</v>
      </c>
      <c r="U123" s="43" t="n">
        <f aca="false">IF(Matrice_OD!T123&lt;=Param!$B$2,3_Huff!T123*3_Huff!T$139*1_Friction!T123,0)</f>
        <v>2.489516840517E-006</v>
      </c>
      <c r="V123" s="43" t="n">
        <f aca="false">IF(Matrice_OD!U123&lt;=Param!$B$2,3_Huff!U123*3_Huff!U$139*1_Friction!U123,0)</f>
        <v>7.4085062197337E-007</v>
      </c>
      <c r="W123" s="43" t="n">
        <f aca="false">IF(Matrice_OD!V123&lt;=Param!$B$2,3_Huff!V123*3_Huff!V$139*1_Friction!V123,0)</f>
        <v>0.000108107614812042</v>
      </c>
      <c r="X123" s="43" t="n">
        <f aca="false">IF(Matrice_OD!W123&lt;=Param!$B$2,3_Huff!W123*3_Huff!W$139*1_Friction!W123,0)</f>
        <v>2.0210440168274E-005</v>
      </c>
      <c r="Y123" s="43" t="n">
        <f aca="false">IF(Matrice_OD!X123&lt;=Param!$B$2,3_Huff!X123*3_Huff!X$139*1_Friction!X123,0)</f>
        <v>2.61359907379532E-005</v>
      </c>
      <c r="Z123" s="43" t="n">
        <f aca="false">IF(Matrice_OD!Y123&lt;=Param!$B$2,3_Huff!Y123*3_Huff!Y$139*1_Friction!Y123,0)</f>
        <v>1.74784530036328E-005</v>
      </c>
      <c r="AA123" s="43" t="n">
        <f aca="false">IF(Matrice_OD!Z123&lt;=Param!$B$2,3_Huff!Z123*3_Huff!Z$139*1_Friction!Z123,0)</f>
        <v>4.33198255760824E-005</v>
      </c>
      <c r="AB123" s="43" t="n">
        <f aca="false">IF(Matrice_OD!AA123&lt;=Param!$B$2,3_Huff!AA123*3_Huff!AA$139*1_Friction!AA123,0)</f>
        <v>7.69301344450613E-005</v>
      </c>
      <c r="AC123" s="43" t="n">
        <f aca="false">IF(Matrice_OD!AB123&lt;=Param!$B$2,3_Huff!AB123*3_Huff!AB$139*1_Friction!AB123,0)</f>
        <v>3.25495283689644E-005</v>
      </c>
      <c r="AD123" s="43" t="n">
        <f aca="false">IF(Matrice_OD!AC123&lt;=Param!$B$2,3_Huff!AC123*3_Huff!AC$139*1_Friction!AC123,0)</f>
        <v>0</v>
      </c>
      <c r="AE123" s="43" t="n">
        <f aca="false">IF(Matrice_OD!AD123&lt;=Param!$B$2,3_Huff!AD123*3_Huff!AD$139*1_Friction!AD123,0)</f>
        <v>0</v>
      </c>
      <c r="AF123" s="43" t="n">
        <f aca="false">IF(Matrice_OD!AE123&lt;=Param!$B$2,3_Huff!AE123*3_Huff!AE$139*1_Friction!AE123,0)</f>
        <v>0</v>
      </c>
      <c r="AG123" s="43" t="n">
        <f aca="false">IF(Matrice_OD!AF123&lt;=Param!$B$2,3_Huff!AF123*3_Huff!AF$139*1_Friction!AF123,0)</f>
        <v>0</v>
      </c>
      <c r="AH123" s="43" t="n">
        <f aca="false">IF(Matrice_OD!AG123&lt;=Param!$B$2,3_Huff!AG123*3_Huff!AG$139*1_Friction!AG123,0)</f>
        <v>0</v>
      </c>
      <c r="AI123" s="43" t="n">
        <f aca="false">IF(Matrice_OD!AH123&lt;=Param!$B$2,3_Huff!AH123*3_Huff!AH$139*1_Friction!AH123,0)</f>
        <v>3.23712457943149E-008</v>
      </c>
      <c r="AJ123" s="43" t="n">
        <f aca="false">IF(Matrice_OD!AI123&lt;=Param!$B$2,3_Huff!AI123*3_Huff!AI$139*1_Friction!AI123,0)</f>
        <v>1.13400741484561E-006</v>
      </c>
      <c r="AK123" s="43" t="n">
        <f aca="false">IF(Matrice_OD!AJ123&lt;=Param!$B$2,3_Huff!AJ123*3_Huff!AJ$139*1_Friction!AJ123,0)</f>
        <v>3.7901886479382E-005</v>
      </c>
      <c r="AL123" s="43" t="n">
        <f aca="false">IF(Matrice_OD!AK123&lt;=Param!$B$2,3_Huff!AK123*3_Huff!AK$139*1_Friction!AK123,0)</f>
        <v>0</v>
      </c>
      <c r="AM123" s="0" t="n">
        <f aca="false">IF(Matrice_OD!AL123&lt;=Param!$B$2,3_Huff!AL123*3_Huff!AL$139*1_Friction!AL123,0)</f>
        <v>0</v>
      </c>
      <c r="AN123" s="0" t="n">
        <f aca="false">IF(Matrice_OD!AM123&lt;=Param!$B$2,3_Huff!AM123*3_Huff!AM$139*1_Friction!AM123,0)</f>
        <v>1.12470633377927E-007</v>
      </c>
      <c r="AO123" s="0" t="n">
        <f aca="false">IF(Matrice_OD!AN123&lt;=Param!$B$2,3_Huff!AN123*3_Huff!AN$139*1_Friction!AN123,0)</f>
        <v>0</v>
      </c>
      <c r="AP123" s="49" t="n">
        <f aca="false">SUM(D123:AO123)</f>
        <v>0.000367747625776922</v>
      </c>
      <c r="AQ123" s="43" t="n">
        <f aca="false">AP123*1000</f>
        <v>0.367747625776922</v>
      </c>
      <c r="AR123" s="43" t="n">
        <f aca="false">RANK(AP123,AP$2:AP$136,0)</f>
        <v>20</v>
      </c>
      <c r="AS123" s="43" t="n">
        <f aca="false">COUNTIF(Matrice_OD!$C123:$AN123,"&lt;="&amp;Param!$B$2)</f>
        <v>30</v>
      </c>
    </row>
    <row r="124" customFormat="false" ht="15" hidden="false" customHeight="true" outlineLevel="0" collapsed="false">
      <c r="A124" s="0" t="s">
        <v>346</v>
      </c>
      <c r="B124" s="0" t="s">
        <v>347</v>
      </c>
      <c r="C124" s="0" t="n">
        <f aca="false">Demande!C124</f>
        <v>4937</v>
      </c>
      <c r="D124" s="43" t="n">
        <f aca="false">IF(Matrice_OD!C124&lt;=Param!$B$2,3_Huff!C124*3_Huff!C$139*1_Friction!C124,0)</f>
        <v>1.38237194111705E-007</v>
      </c>
      <c r="E124" s="43" t="n">
        <f aca="false">IF(Matrice_OD!D124&lt;=Param!$B$2,3_Huff!D124*3_Huff!D$139*1_Friction!D124,0)</f>
        <v>4.70104249329322E-008</v>
      </c>
      <c r="F124" s="43" t="n">
        <f aca="false">IF(Matrice_OD!E124&lt;=Param!$B$2,3_Huff!E124*3_Huff!E$139*1_Friction!E124,0)</f>
        <v>4.2825890708317E-007</v>
      </c>
      <c r="G124" s="43" t="n">
        <f aca="false">IF(Matrice_OD!F124&lt;=Param!$B$2,3_Huff!F124*3_Huff!F$139*1_Friction!F124,0)</f>
        <v>8.01182906754491E-008</v>
      </c>
      <c r="H124" s="43" t="n">
        <f aca="false">IF(Matrice_OD!G124&lt;=Param!$B$2,3_Huff!G124*3_Huff!G$139*1_Friction!G124,0)</f>
        <v>1.99636600463181E-007</v>
      </c>
      <c r="I124" s="43" t="n">
        <f aca="false">IF(Matrice_OD!H124&lt;=Param!$B$2,3_Huff!H124*3_Huff!H$139*1_Friction!H124,0)</f>
        <v>7.09290076220573E-008</v>
      </c>
      <c r="J124" s="43" t="n">
        <f aca="false">IF(Matrice_OD!I124&lt;=Param!$B$2,3_Huff!I124*3_Huff!I$139*1_Friction!I124,0)</f>
        <v>1.22580498078945E-007</v>
      </c>
      <c r="K124" s="43" t="n">
        <f aca="false">IF(Matrice_OD!J124&lt;=Param!$B$2,3_Huff!J124*3_Huff!J$139*1_Friction!J124,0)</f>
        <v>9.19068210350701E-008</v>
      </c>
      <c r="L124" s="43" t="n">
        <f aca="false">IF(Matrice_OD!K124&lt;=Param!$B$2,3_Huff!K124*3_Huff!K$139*1_Friction!K124,0)</f>
        <v>5.65368952021258E-008</v>
      </c>
      <c r="M124" s="43" t="n">
        <f aca="false">IF(Matrice_OD!L124&lt;=Param!$B$2,3_Huff!L124*3_Huff!L$139*1_Friction!L124,0)</f>
        <v>6.18358056092214E-008</v>
      </c>
      <c r="N124" s="43" t="n">
        <f aca="false">IF(Matrice_OD!M124&lt;=Param!$B$2,3_Huff!M124*3_Huff!M$139*1_Friction!M124,0)</f>
        <v>3.8711576369572E-007</v>
      </c>
      <c r="O124" s="43" t="n">
        <f aca="false">IF(Matrice_OD!N124&lt;=Param!$B$2,3_Huff!N124*3_Huff!N$139*1_Friction!N124,0)</f>
        <v>4.55744368809129E-008</v>
      </c>
      <c r="P124" s="43" t="n">
        <f aca="false">IF(Matrice_OD!O124&lt;=Param!$B$2,3_Huff!O124*3_Huff!O$139*1_Friction!O124,0)</f>
        <v>1.37748335894196E-007</v>
      </c>
      <c r="Q124" s="43" t="n">
        <f aca="false">IF(Matrice_OD!P124&lt;=Param!$B$2,3_Huff!P124*3_Huff!P$139*1_Friction!P124,0)</f>
        <v>6.54493404483048E-008</v>
      </c>
      <c r="R124" s="43" t="n">
        <f aca="false">IF(Matrice_OD!Q124&lt;=Param!$B$2,3_Huff!Q124*3_Huff!Q$139*1_Friction!Q124,0)</f>
        <v>5.48307521874412E-007</v>
      </c>
      <c r="S124" s="43" t="n">
        <f aca="false">IF(Matrice_OD!R124&lt;=Param!$B$2,3_Huff!R124*3_Huff!R$139*1_Friction!R124,0)</f>
        <v>7.21529367890744E-008</v>
      </c>
      <c r="T124" s="43" t="n">
        <f aca="false">IF(Matrice_OD!S124&lt;=Param!$B$2,3_Huff!S124*3_Huff!S$139*1_Friction!S124,0)</f>
        <v>5.2426265695571E-008</v>
      </c>
      <c r="U124" s="43" t="n">
        <f aca="false">IF(Matrice_OD!T124&lt;=Param!$B$2,3_Huff!T124*3_Huff!T$139*1_Friction!T124,0)</f>
        <v>4.98283268015638E-006</v>
      </c>
      <c r="V124" s="43" t="n">
        <f aca="false">IF(Matrice_OD!U124&lt;=Param!$B$2,3_Huff!U124*3_Huff!U$139*1_Friction!U124,0)</f>
        <v>3.10224845448635E-006</v>
      </c>
      <c r="W124" s="43" t="n">
        <f aca="false">IF(Matrice_OD!V124&lt;=Param!$B$2,3_Huff!V124*3_Huff!V$139*1_Friction!V124,0)</f>
        <v>0.000124891044871272</v>
      </c>
      <c r="X124" s="43" t="n">
        <f aca="false">IF(Matrice_OD!W124&lt;=Param!$B$2,3_Huff!W124*3_Huff!W$139*1_Friction!W124,0)</f>
        <v>2.14721765626676E-005</v>
      </c>
      <c r="Y124" s="43" t="n">
        <f aca="false">IF(Matrice_OD!X124&lt;=Param!$B$2,3_Huff!X124*3_Huff!X$139*1_Friction!X124,0)</f>
        <v>2.8369395364345E-005</v>
      </c>
      <c r="Z124" s="43" t="n">
        <f aca="false">IF(Matrice_OD!Y124&lt;=Param!$B$2,3_Huff!Y124*3_Huff!Y$139*1_Friction!Y124,0)</f>
        <v>1.89612059416313E-005</v>
      </c>
      <c r="AA124" s="43" t="n">
        <f aca="false">IF(Matrice_OD!Z124&lt;=Param!$B$2,3_Huff!Z124*3_Huff!Z$139*1_Friction!Z124,0)</f>
        <v>4.70285955270153E-005</v>
      </c>
      <c r="AB124" s="43" t="n">
        <f aca="false">IF(Matrice_OD!AA124&lt;=Param!$B$2,3_Huff!AA124*3_Huff!AA$139*1_Friction!AA124,0)</f>
        <v>8.50897955586838E-005</v>
      </c>
      <c r="AC124" s="43" t="n">
        <f aca="false">IF(Matrice_OD!AB124&lt;=Param!$B$2,3_Huff!AB124*3_Huff!AB$139*1_Friction!AB124,0)</f>
        <v>3.62534171451953E-005</v>
      </c>
      <c r="AD124" s="43" t="n">
        <f aca="false">IF(Matrice_OD!AC124&lt;=Param!$B$2,3_Huff!AC124*3_Huff!AC$139*1_Friction!AC124,0)</f>
        <v>0</v>
      </c>
      <c r="AE124" s="43" t="n">
        <f aca="false">IF(Matrice_OD!AD124&lt;=Param!$B$2,3_Huff!AD124*3_Huff!AD$139*1_Friction!AD124,0)</f>
        <v>0</v>
      </c>
      <c r="AF124" s="43" t="n">
        <f aca="false">IF(Matrice_OD!AE124&lt;=Param!$B$2,3_Huff!AE124*3_Huff!AE$139*1_Friction!AE124,0)</f>
        <v>0</v>
      </c>
      <c r="AG124" s="43" t="n">
        <f aca="false">IF(Matrice_OD!AF124&lt;=Param!$B$2,3_Huff!AF124*3_Huff!AF$139*1_Friction!AF124,0)</f>
        <v>0</v>
      </c>
      <c r="AH124" s="43" t="n">
        <f aca="false">IF(Matrice_OD!AG124&lt;=Param!$B$2,3_Huff!AG124*3_Huff!AG$139*1_Friction!AG124,0)</f>
        <v>0</v>
      </c>
      <c r="AI124" s="43" t="n">
        <f aca="false">IF(Matrice_OD!AH124&lt;=Param!$B$2,3_Huff!AH124*3_Huff!AH$139*1_Friction!AH124,0)</f>
        <v>1.49479075153057E-007</v>
      </c>
      <c r="AJ124" s="43" t="n">
        <f aca="false">IF(Matrice_OD!AI124&lt;=Param!$B$2,3_Huff!AI124*3_Huff!AI$139*1_Friction!AI124,0)</f>
        <v>1.9598420905632E-006</v>
      </c>
      <c r="AK124" s="43" t="n">
        <f aca="false">IF(Matrice_OD!AJ124&lt;=Param!$B$2,3_Huff!AJ124*3_Huff!AJ$139*1_Friction!AJ124,0)</f>
        <v>4.15162021326183E-005</v>
      </c>
      <c r="AL124" s="43" t="n">
        <f aca="false">IF(Matrice_OD!AK124&lt;=Param!$B$2,3_Huff!AK124*3_Huff!AK$139*1_Friction!AK124,0)</f>
        <v>0</v>
      </c>
      <c r="AM124" s="0" t="n">
        <f aca="false">IF(Matrice_OD!AL124&lt;=Param!$B$2,3_Huff!AL124*3_Huff!AL$139*1_Friction!AL124,0)</f>
        <v>0</v>
      </c>
      <c r="AN124" s="0" t="n">
        <f aca="false">IF(Matrice_OD!AM124&lt;=Param!$B$2,3_Huff!AM124*3_Huff!AM$139*1_Friction!AM124,0)</f>
        <v>3.21043829530282E-007</v>
      </c>
      <c r="AO124" s="0" t="n">
        <f aca="false">IF(Matrice_OD!AN124&lt;=Param!$B$2,3_Huff!AN124*3_Huff!AN$139*1_Friction!AN124,0)</f>
        <v>0</v>
      </c>
      <c r="AP124" s="48" t="n">
        <f aca="false">SUM(D124:AO124)</f>
        <v>0.00041670310427941</v>
      </c>
      <c r="AQ124" s="43" t="n">
        <f aca="false">AP124*1000</f>
        <v>0.41670310427941</v>
      </c>
      <c r="AR124" s="43" t="n">
        <f aca="false">RANK(AP124,AP$2:AP$136,0)</f>
        <v>15</v>
      </c>
      <c r="AS124" s="43" t="n">
        <f aca="false">COUNTIF(Matrice_OD!$C124:$AN124,"&lt;="&amp;Param!$B$2)</f>
        <v>30</v>
      </c>
    </row>
    <row r="125" customFormat="false" ht="15" hidden="false" customHeight="true" outlineLevel="0" collapsed="false">
      <c r="A125" s="0" t="s">
        <v>348</v>
      </c>
      <c r="B125" s="0" t="s">
        <v>349</v>
      </c>
      <c r="C125" s="0" t="n">
        <f aca="false">Demande!C125</f>
        <v>15860</v>
      </c>
      <c r="D125" s="43" t="n">
        <f aca="false">IF(Matrice_OD!C125&lt;=Param!$B$2,3_Huff!C125*3_Huff!C$139*1_Friction!C125,0)</f>
        <v>2.61189208779097E-008</v>
      </c>
      <c r="E125" s="43" t="n">
        <f aca="false">IF(Matrice_OD!D125&lt;=Param!$B$2,3_Huff!D125*3_Huff!D$139*1_Friction!D125,0)</f>
        <v>7.86273041380786E-009</v>
      </c>
      <c r="F125" s="43" t="n">
        <f aca="false">IF(Matrice_OD!E125&lt;=Param!$B$2,3_Huff!E125*3_Huff!E$139*1_Friction!E125,0)</f>
        <v>6.97272839588912E-008</v>
      </c>
      <c r="G125" s="43" t="n">
        <f aca="false">IF(Matrice_OD!F125&lt;=Param!$B$2,3_Huff!F125*3_Huff!F$139*1_Friction!F125,0)</f>
        <v>1.31128578353565E-008</v>
      </c>
      <c r="H125" s="43" t="n">
        <f aca="false">IF(Matrice_OD!G125&lt;=Param!$B$2,3_Huff!G125*3_Huff!G$139*1_Friction!G125,0)</f>
        <v>3.21038671622009E-008</v>
      </c>
      <c r="I125" s="43" t="n">
        <f aca="false">IF(Matrice_OD!H125&lt;=Param!$B$2,3_Huff!H125*3_Huff!H$139*1_Friction!H125,0)</f>
        <v>1.20820031345255E-008</v>
      </c>
      <c r="J125" s="43" t="n">
        <f aca="false">IF(Matrice_OD!I125&lt;=Param!$B$2,3_Huff!I125*3_Huff!I$139*1_Friction!I125,0)</f>
        <v>2.01053483700212E-008</v>
      </c>
      <c r="K125" s="43" t="n">
        <f aca="false">IF(Matrice_OD!J125&lt;=Param!$B$2,3_Huff!J125*3_Huff!J$139*1_Friction!J125,0)</f>
        <v>1.49204990111018E-008</v>
      </c>
      <c r="L125" s="43" t="n">
        <f aca="false">IF(Matrice_OD!K125&lt;=Param!$B$2,3_Huff!K125*3_Huff!K$139*1_Friction!K125,0)</f>
        <v>9.14472437741462E-009</v>
      </c>
      <c r="M125" s="43" t="n">
        <f aca="false">IF(Matrice_OD!L125&lt;=Param!$B$2,3_Huff!L125*3_Huff!L$139*1_Friction!L125,0)</f>
        <v>1.01650184234859E-008</v>
      </c>
      <c r="N125" s="43" t="n">
        <f aca="false">IF(Matrice_OD!M125&lt;=Param!$B$2,3_Huff!M125*3_Huff!M$139*1_Friction!M125,0)</f>
        <v>6.48850447272686E-008</v>
      </c>
      <c r="O125" s="43" t="n">
        <f aca="false">IF(Matrice_OD!N125&lt;=Param!$B$2,3_Huff!N125*3_Huff!N$139*1_Friction!N125,0)</f>
        <v>7.46344156892732E-009</v>
      </c>
      <c r="P125" s="43" t="n">
        <f aca="false">IF(Matrice_OD!O125&lt;=Param!$B$2,3_Huff!O125*3_Huff!O$139*1_Friction!O125,0)</f>
        <v>2.24362775635206E-008</v>
      </c>
      <c r="Q125" s="43" t="n">
        <f aca="false">IF(Matrice_OD!P125&lt;=Param!$B$2,3_Huff!P125*3_Huff!P$139*1_Friction!P125,0)</f>
        <v>1.06596707743028E-008</v>
      </c>
      <c r="R125" s="43" t="n">
        <f aca="false">IF(Matrice_OD!Q125&lt;=Param!$B$2,3_Huff!Q125*3_Huff!Q$139*1_Friction!Q125,0)</f>
        <v>8.85675280294203E-008</v>
      </c>
      <c r="S125" s="43" t="n">
        <f aca="false">IF(Matrice_OD!R125&lt;=Param!$B$2,3_Huff!R125*3_Huff!R$139*1_Friction!R125,0)</f>
        <v>1.16255013332812E-008</v>
      </c>
      <c r="T125" s="43" t="n">
        <f aca="false">IF(Matrice_OD!S125&lt;=Param!$B$2,3_Huff!S125*3_Huff!S$139*1_Friction!S125,0)</f>
        <v>8.4014301152354E-009</v>
      </c>
      <c r="U125" s="43" t="n">
        <f aca="false">IF(Matrice_OD!T125&lt;=Param!$B$2,3_Huff!T125*3_Huff!T$139*1_Friction!T125,0)</f>
        <v>1.62552623023425E-006</v>
      </c>
      <c r="V125" s="43" t="n">
        <f aca="false">IF(Matrice_OD!U125&lt;=Param!$B$2,3_Huff!U125*3_Huff!U$139*1_Friction!U125,0)</f>
        <v>3.1823173689694E-006</v>
      </c>
      <c r="W125" s="43" t="n">
        <f aca="false">IF(Matrice_OD!V125&lt;=Param!$B$2,3_Huff!V125*3_Huff!V$139*1_Friction!V125,0)</f>
        <v>0.000180297751275151</v>
      </c>
      <c r="X125" s="43" t="n">
        <f aca="false">IF(Matrice_OD!W125&lt;=Param!$B$2,3_Huff!W125*3_Huff!W$139*1_Friction!W125,0)</f>
        <v>3.63933507992455E-005</v>
      </c>
      <c r="Y125" s="43" t="n">
        <f aca="false">IF(Matrice_OD!X125&lt;=Param!$B$2,3_Huff!X125*3_Huff!X$139*1_Friction!X125,0)</f>
        <v>4.75596847694814E-005</v>
      </c>
      <c r="Z125" s="43" t="n">
        <f aca="false">IF(Matrice_OD!Y125&lt;=Param!$B$2,3_Huff!Y125*3_Huff!Y$139*1_Friction!Y125,0)</f>
        <v>3.18211470476757E-005</v>
      </c>
      <c r="AA125" s="43" t="n">
        <f aca="false">IF(Matrice_OD!Z125&lt;=Param!$B$2,3_Huff!Z125*3_Huff!Z$139*1_Friction!Z125,0)</f>
        <v>8.07607656382461E-005</v>
      </c>
      <c r="AB125" s="43" t="n">
        <f aca="false">IF(Matrice_OD!AA125&lt;=Param!$B$2,3_Huff!AA125*3_Huff!AA$139*1_Friction!AA125,0)</f>
        <v>0.000156032089136578</v>
      </c>
      <c r="AC125" s="43" t="n">
        <f aca="false">IF(Matrice_OD!AB125&lt;=Param!$B$2,3_Huff!AB125*3_Huff!AB$139*1_Friction!AB125,0)</f>
        <v>6.84652395645629E-005</v>
      </c>
      <c r="AD125" s="43" t="n">
        <f aca="false">IF(Matrice_OD!AC125&lt;=Param!$B$2,3_Huff!AC125*3_Huff!AC$139*1_Friction!AC125,0)</f>
        <v>0</v>
      </c>
      <c r="AE125" s="43" t="n">
        <f aca="false">IF(Matrice_OD!AD125&lt;=Param!$B$2,3_Huff!AD125*3_Huff!AD$139*1_Friction!AD125,0)</f>
        <v>0</v>
      </c>
      <c r="AF125" s="43" t="n">
        <f aca="false">IF(Matrice_OD!AE125&lt;=Param!$B$2,3_Huff!AE125*3_Huff!AE$139*1_Friction!AE125,0)</f>
        <v>0</v>
      </c>
      <c r="AG125" s="43" t="n">
        <f aca="false">IF(Matrice_OD!AF125&lt;=Param!$B$2,3_Huff!AF125*3_Huff!AF$139*1_Friction!AF125,0)</f>
        <v>0</v>
      </c>
      <c r="AH125" s="43" t="n">
        <f aca="false">IF(Matrice_OD!AG125&lt;=Param!$B$2,3_Huff!AG125*3_Huff!AG$139*1_Friction!AG125,0)</f>
        <v>0</v>
      </c>
      <c r="AI125" s="43" t="n">
        <f aca="false">IF(Matrice_OD!AH125&lt;=Param!$B$2,3_Huff!AH125*3_Huff!AH$139*1_Friction!AH125,0)</f>
        <v>2.83151051436223E-008</v>
      </c>
      <c r="AJ125" s="43" t="n">
        <f aca="false">IF(Matrice_OD!AI125&lt;=Param!$B$2,3_Huff!AI125*3_Huff!AI$139*1_Friction!AI125,0)</f>
        <v>6.17184702823959E-007</v>
      </c>
      <c r="AK125" s="43" t="n">
        <f aca="false">IF(Matrice_OD!AJ125&lt;=Param!$B$2,3_Huff!AJ125*3_Huff!AJ$139*1_Friction!AJ125,0)</f>
        <v>7.19038565623837E-005</v>
      </c>
      <c r="AL125" s="43" t="n">
        <f aca="false">IF(Matrice_OD!AK125&lt;=Param!$B$2,3_Huff!AK125*3_Huff!AK$139*1_Friction!AK125,0)</f>
        <v>0</v>
      </c>
      <c r="AM125" s="0" t="n">
        <f aca="false">IF(Matrice_OD!AL125&lt;=Param!$B$2,3_Huff!AL125*3_Huff!AL$139*1_Friction!AL125,0)</f>
        <v>0</v>
      </c>
      <c r="AN125" s="0" t="n">
        <f aca="false">IF(Matrice_OD!AM125&lt;=Param!$B$2,3_Huff!AM125*3_Huff!AM$139*1_Friction!AM125,0)</f>
        <v>6.96429114207462E-008</v>
      </c>
      <c r="AO125" s="0" t="n">
        <f aca="false">IF(Matrice_OD!AN125&lt;=Param!$B$2,3_Huff!AN125*3_Huff!AN$139*1_Friction!AN125,0)</f>
        <v>0</v>
      </c>
      <c r="AP125" s="49" t="n">
        <f aca="false">SUM(D125:AO125)</f>
        <v>0.000679186253259593</v>
      </c>
      <c r="AQ125" s="43" t="n">
        <f aca="false">AP125*1000</f>
        <v>0.679186253259593</v>
      </c>
      <c r="AR125" s="43" t="n">
        <f aca="false">RANK(AP125,AP$2:AP$136,0)</f>
        <v>2</v>
      </c>
      <c r="AS125" s="43" t="n">
        <f aca="false">COUNTIF(Matrice_OD!$C125:$AN125,"&lt;="&amp;Param!$B$2)</f>
        <v>30</v>
      </c>
    </row>
    <row r="126" customFormat="false" ht="15" hidden="false" customHeight="true" outlineLevel="0" collapsed="false">
      <c r="A126" s="0" t="s">
        <v>350</v>
      </c>
      <c r="B126" s="0" t="s">
        <v>351</v>
      </c>
      <c r="C126" s="0" t="n">
        <f aca="false">Demande!C126</f>
        <v>8983</v>
      </c>
      <c r="D126" s="43" t="n">
        <f aca="false">IF(Matrice_OD!C126&lt;=Param!$B$2,3_Huff!C126*3_Huff!C$139*1_Friction!C126,0)</f>
        <v>3.59969741643144E-007</v>
      </c>
      <c r="E126" s="43" t="n">
        <f aca="false">IF(Matrice_OD!D126&lt;=Param!$B$2,3_Huff!D126*3_Huff!D$139*1_Friction!D126,0)</f>
        <v>1.33805899880291E-007</v>
      </c>
      <c r="F126" s="43" t="n">
        <f aca="false">IF(Matrice_OD!E126&lt;=Param!$B$2,3_Huff!E126*3_Huff!E$139*1_Friction!E126,0)</f>
        <v>1.24311934244322E-006</v>
      </c>
      <c r="G126" s="43" t="n">
        <f aca="false">IF(Matrice_OD!F126&lt;=Param!$B$2,3_Huff!F126*3_Huff!F$139*1_Friction!F126,0)</f>
        <v>2.31676559263408E-007</v>
      </c>
      <c r="H126" s="43" t="n">
        <f aca="false">IF(Matrice_OD!G126&lt;=Param!$B$2,3_Huff!G126*3_Huff!G$139*1_Friction!G126,0)</f>
        <v>5.84752273170831E-007</v>
      </c>
      <c r="I126" s="43" t="n">
        <f aca="false">IF(Matrice_OD!H126&lt;=Param!$B$2,3_Huff!H126*3_Huff!H$139*1_Friction!H126,0)</f>
        <v>1.99476452711883E-007</v>
      </c>
      <c r="J126" s="43" t="n">
        <f aca="false">IF(Matrice_OD!I126&lt;=Param!$B$2,3_Huff!I126*3_Huff!I$139*1_Friction!I126,0)</f>
        <v>3.53913504519639E-007</v>
      </c>
      <c r="K126" s="43" t="n">
        <f aca="false">IF(Matrice_OD!J126&lt;=Param!$B$2,3_Huff!J126*3_Huff!J$139*1_Friction!J126,0)</f>
        <v>2.67346291507085E-007</v>
      </c>
      <c r="L126" s="43" t="n">
        <f aca="false">IF(Matrice_OD!K126&lt;=Param!$B$2,3_Huff!K126*3_Huff!K$139*1_Friction!K126,0)</f>
        <v>1.64901158934745E-007</v>
      </c>
      <c r="M126" s="43" t="n">
        <f aca="false">IF(Matrice_OD!L126&lt;=Param!$B$2,3_Huff!L126*3_Huff!L$139*1_Friction!L126,0)</f>
        <v>1.78481459853364E-007</v>
      </c>
      <c r="N126" s="43" t="n">
        <f aca="false">IF(Matrice_OD!M126&lt;=Param!$B$2,3_Huff!M126*3_Huff!M$139*1_Friction!M126,0)</f>
        <v>1.10013827912425E-006</v>
      </c>
      <c r="O126" s="43" t="n">
        <f aca="false">IF(Matrice_OD!N126&lt;=Param!$B$2,3_Huff!N126*3_Huff!N$139*1_Friction!N126,0)</f>
        <v>1.31730921789056E-007</v>
      </c>
      <c r="P126" s="43" t="n">
        <f aca="false">IF(Matrice_OD!O126&lt;=Param!$B$2,3_Huff!O126*3_Huff!O$139*1_Friction!O126,0)</f>
        <v>3.99733102095358E-007</v>
      </c>
      <c r="Q126" s="43" t="n">
        <f aca="false">IF(Matrice_OD!P126&lt;=Param!$B$2,3_Huff!P126*3_Huff!P$139*1_Friction!P126,0)</f>
        <v>1.9019642988489E-007</v>
      </c>
      <c r="R126" s="43" t="n">
        <f aca="false">IF(Matrice_OD!Q126&lt;=Param!$B$2,3_Huff!Q126*3_Huff!Q$139*1_Friction!Q126,0)</f>
        <v>1.6008302783064E-006</v>
      </c>
      <c r="S126" s="43" t="n">
        <f aca="false">IF(Matrice_OD!R126&lt;=Param!$B$2,3_Huff!R126*3_Huff!R$139*1_Friction!R126,0)</f>
        <v>2.11043719386583E-007</v>
      </c>
      <c r="T126" s="43" t="n">
        <f aca="false">IF(Matrice_OD!S126&lt;=Param!$B$2,3_Huff!S126*3_Huff!S$139*1_Friction!S126,0)</f>
        <v>1.53951766710246E-007</v>
      </c>
      <c r="U126" s="43" t="n">
        <f aca="false">IF(Matrice_OD!T126&lt;=Param!$B$2,3_Huff!T126*3_Huff!T$139*1_Friction!T126,0)</f>
        <v>8.7103323008119E-006</v>
      </c>
      <c r="V126" s="43" t="n">
        <f aca="false">IF(Matrice_OD!U126&lt;=Param!$B$2,3_Huff!U126*3_Huff!U$139*1_Friction!U126,0)</f>
        <v>1.22745063108606E-005</v>
      </c>
      <c r="W126" s="43" t="n">
        <f aca="false">IF(Matrice_OD!V126&lt;=Param!$B$2,3_Huff!V126*3_Huff!V$139*1_Friction!V126,0)</f>
        <v>8.74095141528682E-005</v>
      </c>
      <c r="X126" s="43" t="n">
        <f aca="false">IF(Matrice_OD!W126&lt;=Param!$B$2,3_Huff!W126*3_Huff!W$139*1_Friction!W126,0)</f>
        <v>1.4585885843924E-005</v>
      </c>
      <c r="Y126" s="43" t="n">
        <f aca="false">IF(Matrice_OD!X126&lt;=Param!$B$2,3_Huff!X126*3_Huff!X$139*1_Friction!X126,0)</f>
        <v>1.92418257383294E-005</v>
      </c>
      <c r="Z126" s="43" t="n">
        <f aca="false">IF(Matrice_OD!Y126&lt;=Param!$B$2,3_Huff!Y126*3_Huff!Y$139*1_Friction!Y126,0)</f>
        <v>1.28570713447069E-005</v>
      </c>
      <c r="AA126" s="43" t="n">
        <f aca="false">IF(Matrice_OD!Z126&lt;=Param!$B$2,3_Huff!Z126*3_Huff!Z$139*1_Friction!Z126,0)</f>
        <v>3.17611834015307E-005</v>
      </c>
      <c r="AB126" s="43" t="n">
        <f aca="false">IF(Matrice_OD!AA126&lt;=Param!$B$2,3_Huff!AA126*3_Huff!AA$139*1_Friction!AA126,0)</f>
        <v>5.63254909987874E-005</v>
      </c>
      <c r="AC126" s="43" t="n">
        <f aca="false">IF(Matrice_OD!AB126&lt;=Param!$B$2,3_Huff!AB126*3_Huff!AB$139*1_Friction!AB126,0)</f>
        <v>2.37570684669529E-005</v>
      </c>
      <c r="AD126" s="43" t="n">
        <f aca="false">IF(Matrice_OD!AC126&lt;=Param!$B$2,3_Huff!AC126*3_Huff!AC$139*1_Friction!AC126,0)</f>
        <v>0</v>
      </c>
      <c r="AE126" s="43" t="n">
        <f aca="false">IF(Matrice_OD!AD126&lt;=Param!$B$2,3_Huff!AD126*3_Huff!AD$139*1_Friction!AD126,0)</f>
        <v>0</v>
      </c>
      <c r="AF126" s="43" t="n">
        <f aca="false">IF(Matrice_OD!AE126&lt;=Param!$B$2,3_Huff!AE126*3_Huff!AE$139*1_Friction!AE126,0)</f>
        <v>0</v>
      </c>
      <c r="AG126" s="43" t="n">
        <f aca="false">IF(Matrice_OD!AF126&lt;=Param!$B$2,3_Huff!AF126*3_Huff!AF$139*1_Friction!AF126,0)</f>
        <v>0</v>
      </c>
      <c r="AH126" s="43" t="n">
        <f aca="false">IF(Matrice_OD!AG126&lt;=Param!$B$2,3_Huff!AG126*3_Huff!AG$139*1_Friction!AG126,0)</f>
        <v>0</v>
      </c>
      <c r="AI126" s="43" t="n">
        <f aca="false">IF(Matrice_OD!AH126&lt;=Param!$B$2,3_Huff!AH126*3_Huff!AH$139*1_Friction!AH126,0)</f>
        <v>4.43813138800783E-007</v>
      </c>
      <c r="AJ126" s="43" t="n">
        <f aca="false">IF(Matrice_OD!AI126&lt;=Param!$B$2,3_Huff!AI126*3_Huff!AI$139*1_Friction!AI126,0)</f>
        <v>3.5181160959152E-006</v>
      </c>
      <c r="AK126" s="43" t="n">
        <f aca="false">IF(Matrice_OD!AJ126&lt;=Param!$B$2,3_Huff!AJ126*3_Huff!AJ$139*1_Friction!AJ126,0)</f>
        <v>2.78297700328379E-005</v>
      </c>
      <c r="AL126" s="43" t="n">
        <f aca="false">IF(Matrice_OD!AK126&lt;=Param!$B$2,3_Huff!AK126*3_Huff!AK$139*1_Friction!AK126,0)</f>
        <v>0</v>
      </c>
      <c r="AM126" s="0" t="n">
        <f aca="false">IF(Matrice_OD!AL126&lt;=Param!$B$2,3_Huff!AL126*3_Huff!AL$139*1_Friction!AL126,0)</f>
        <v>0</v>
      </c>
      <c r="AN126" s="0" t="n">
        <f aca="false">IF(Matrice_OD!AM126&lt;=Param!$B$2,3_Huff!AM126*3_Huff!AM$139*1_Friction!AM126,0)</f>
        <v>8.45520187815509E-007</v>
      </c>
      <c r="AO126" s="0" t="n">
        <f aca="false">IF(Matrice_OD!AN126&lt;=Param!$B$2,3_Huff!AN126*3_Huff!AN$139*1_Friction!AN126,0)</f>
        <v>0</v>
      </c>
      <c r="AP126" s="48" t="n">
        <f aca="false">SUM(D126:AO126)</f>
        <v>0.000307065165195366</v>
      </c>
      <c r="AQ126" s="43" t="n">
        <f aca="false">AP126*1000</f>
        <v>0.307065165195366</v>
      </c>
      <c r="AR126" s="43" t="n">
        <f aca="false">RANK(AP126,AP$2:AP$136,0)</f>
        <v>23</v>
      </c>
      <c r="AS126" s="43" t="n">
        <f aca="false">COUNTIF(Matrice_OD!$C126:$AN126,"&lt;="&amp;Param!$B$2)</f>
        <v>30</v>
      </c>
    </row>
    <row r="127" customFormat="false" ht="15" hidden="false" customHeight="true" outlineLevel="0" collapsed="false">
      <c r="A127" s="0" t="s">
        <v>352</v>
      </c>
      <c r="B127" s="0" t="s">
        <v>353</v>
      </c>
      <c r="C127" s="0" t="n">
        <f aca="false">Demande!C127</f>
        <v>3392</v>
      </c>
      <c r="D127" s="43" t="n">
        <f aca="false">IF(Matrice_OD!C127&lt;=Param!$B$2,3_Huff!C127*3_Huff!C$139*1_Friction!C127,0)</f>
        <v>0</v>
      </c>
      <c r="E127" s="43" t="n">
        <f aca="false">IF(Matrice_OD!D127&lt;=Param!$B$2,3_Huff!D127*3_Huff!D$139*1_Friction!D127,0)</f>
        <v>2.31930137019817E-008</v>
      </c>
      <c r="F127" s="43" t="n">
        <f aca="false">IF(Matrice_OD!E127&lt;=Param!$B$2,3_Huff!E127*3_Huff!E$139*1_Friction!E127,0)</f>
        <v>2.80763738750499E-007</v>
      </c>
      <c r="G127" s="43" t="n">
        <f aca="false">IF(Matrice_OD!F127&lt;=Param!$B$2,3_Huff!F127*3_Huff!F$139*1_Friction!F127,0)</f>
        <v>5.2726015668276E-008</v>
      </c>
      <c r="H127" s="43" t="n">
        <f aca="false">IF(Matrice_OD!G127&lt;=Param!$B$2,3_Huff!G127*3_Huff!G$139*1_Friction!G127,0)</f>
        <v>1.45278119810088E-007</v>
      </c>
      <c r="I127" s="43" t="n">
        <f aca="false">IF(Matrice_OD!H127&lt;=Param!$B$2,3_Huff!H127*3_Huff!H$139*1_Friction!H127,0)</f>
        <v>4.79975739490351E-008</v>
      </c>
      <c r="J127" s="43" t="n">
        <f aca="false">IF(Matrice_OD!I127&lt;=Param!$B$2,3_Huff!I127*3_Huff!I$139*1_Friction!I127,0)</f>
        <v>1.08829704793137E-007</v>
      </c>
      <c r="K127" s="43" t="n">
        <f aca="false">IF(Matrice_OD!J127&lt;=Param!$B$2,3_Huff!J127*3_Huff!J$139*1_Friction!J127,0)</f>
        <v>7.85773752295164E-008</v>
      </c>
      <c r="L127" s="43" t="n">
        <f aca="false">IF(Matrice_OD!K127&lt;=Param!$B$2,3_Huff!K127*3_Huff!K$139*1_Friction!K127,0)</f>
        <v>4.38446035891894E-008</v>
      </c>
      <c r="M127" s="43" t="n">
        <f aca="false">IF(Matrice_OD!L127&lt;=Param!$B$2,3_Huff!L127*3_Huff!L$139*1_Friction!L127,0)</f>
        <v>5.49105971613318E-008</v>
      </c>
      <c r="N127" s="43" t="n">
        <f aca="false">IF(Matrice_OD!M127&lt;=Param!$B$2,3_Huff!M127*3_Huff!M$139*1_Friction!M127,0)</f>
        <v>3.54458258021197E-007</v>
      </c>
      <c r="O127" s="43" t="n">
        <f aca="false">IF(Matrice_OD!N127&lt;=Param!$B$2,3_Huff!N127*3_Huff!N$139*1_Friction!N127,0)</f>
        <v>3.7312448669704E-008</v>
      </c>
      <c r="P127" s="43" t="n">
        <f aca="false">IF(Matrice_OD!O127&lt;=Param!$B$2,3_Huff!O127*3_Huff!O$139*1_Friction!O127,0)</f>
        <v>1.21623201271464E-007</v>
      </c>
      <c r="Q127" s="43" t="n">
        <f aca="false">IF(Matrice_OD!P127&lt;=Param!$B$2,3_Huff!P127*3_Huff!P$139*1_Friction!P127,0)</f>
        <v>6.27672315007819E-008</v>
      </c>
      <c r="R127" s="43" t="n">
        <f aca="false">IF(Matrice_OD!Q127&lt;=Param!$B$2,3_Huff!Q127*3_Huff!Q$139*1_Friction!Q127,0)</f>
        <v>5.65874469467945E-007</v>
      </c>
      <c r="S127" s="43" t="n">
        <f aca="false">IF(Matrice_OD!R127&lt;=Param!$B$2,3_Huff!R127*3_Huff!R$139*1_Friction!R127,0)</f>
        <v>7.35950785838271E-008</v>
      </c>
      <c r="T127" s="43" t="n">
        <f aca="false">IF(Matrice_OD!S127&lt;=Param!$B$2,3_Huff!S127*3_Huff!S$139*1_Friction!S127,0)</f>
        <v>5.04717687402726E-008</v>
      </c>
      <c r="U127" s="43" t="n">
        <f aca="false">IF(Matrice_OD!T127&lt;=Param!$B$2,3_Huff!T127*3_Huff!T$139*1_Friction!T127,0)</f>
        <v>1.03334569101591E-007</v>
      </c>
      <c r="V127" s="43" t="n">
        <f aca="false">IF(Matrice_OD!U127&lt;=Param!$B$2,3_Huff!U127*3_Huff!U$139*1_Friction!U127,0)</f>
        <v>1.78800557478567E-005</v>
      </c>
      <c r="W127" s="43" t="n">
        <f aca="false">IF(Matrice_OD!V127&lt;=Param!$B$2,3_Huff!V127*3_Huff!V$139*1_Friction!V127,0)</f>
        <v>4.36477600432061E-005</v>
      </c>
      <c r="X127" s="43" t="n">
        <f aca="false">IF(Matrice_OD!W127&lt;=Param!$B$2,3_Huff!W127*3_Huff!W$139*1_Friction!W127,0)</f>
        <v>8.97919490016409E-006</v>
      </c>
      <c r="Y127" s="43" t="n">
        <f aca="false">IF(Matrice_OD!X127&lt;=Param!$B$2,3_Huff!X127*3_Huff!X$139*1_Friction!X127,0)</f>
        <v>1.32797342395577E-005</v>
      </c>
      <c r="Z127" s="43" t="n">
        <f aca="false">IF(Matrice_OD!Y127&lt;=Param!$B$2,3_Huff!Y127*3_Huff!Y$139*1_Friction!Y127,0)</f>
        <v>8.47463423090131E-006</v>
      </c>
      <c r="AA127" s="43" t="n">
        <f aca="false">IF(Matrice_OD!Z127&lt;=Param!$B$2,3_Huff!Z127*3_Huff!Z$139*1_Friction!Z127,0)</f>
        <v>2.00196223633184E-005</v>
      </c>
      <c r="AB127" s="43" t="n">
        <f aca="false">IF(Matrice_OD!AA127&lt;=Param!$B$2,3_Huff!AA127*3_Huff!AA$139*1_Friction!AA127,0)</f>
        <v>4.79532087675708E-005</v>
      </c>
      <c r="AC127" s="43" t="n">
        <f aca="false">IF(Matrice_OD!AB127&lt;=Param!$B$2,3_Huff!AB127*3_Huff!AB$139*1_Friction!AB127,0)</f>
        <v>1.97478202639549E-005</v>
      </c>
      <c r="AD127" s="43" t="n">
        <f aca="false">IF(Matrice_OD!AC127&lt;=Param!$B$2,3_Huff!AC127*3_Huff!AC$139*1_Friction!AC127,0)</f>
        <v>0</v>
      </c>
      <c r="AE127" s="43" t="n">
        <f aca="false">IF(Matrice_OD!AD127&lt;=Param!$B$2,3_Huff!AD127*3_Huff!AD$139*1_Friction!AD127,0)</f>
        <v>0</v>
      </c>
      <c r="AF127" s="43" t="n">
        <f aca="false">IF(Matrice_OD!AE127&lt;=Param!$B$2,3_Huff!AE127*3_Huff!AE$139*1_Friction!AE127,0)</f>
        <v>0</v>
      </c>
      <c r="AG127" s="43" t="n">
        <f aca="false">IF(Matrice_OD!AF127&lt;=Param!$B$2,3_Huff!AF127*3_Huff!AF$139*1_Friction!AF127,0)</f>
        <v>0</v>
      </c>
      <c r="AH127" s="43" t="n">
        <f aca="false">IF(Matrice_OD!AG127&lt;=Param!$B$2,3_Huff!AG127*3_Huff!AG$139*1_Friction!AG127,0)</f>
        <v>0</v>
      </c>
      <c r="AI127" s="43" t="n">
        <f aca="false">IF(Matrice_OD!AH127&lt;=Param!$B$2,3_Huff!AH127*3_Huff!AH$139*1_Friction!AH127,0)</f>
        <v>2.15664576686321E-007</v>
      </c>
      <c r="AJ127" s="43" t="n">
        <f aca="false">IF(Matrice_OD!AI127&lt;=Param!$B$2,3_Huff!AI127*3_Huff!AI$139*1_Friction!AI127,0)</f>
        <v>3.48812142259495E-008</v>
      </c>
      <c r="AK127" s="43" t="n">
        <f aca="false">IF(Matrice_OD!AJ127&lt;=Param!$B$2,3_Huff!AJ127*3_Huff!AJ$139*1_Friction!AJ127,0)</f>
        <v>2.01732529498556E-005</v>
      </c>
      <c r="AL127" s="43" t="n">
        <f aca="false">IF(Matrice_OD!AK127&lt;=Param!$B$2,3_Huff!AK127*3_Huff!AK$139*1_Friction!AK127,0)</f>
        <v>0</v>
      </c>
      <c r="AM127" s="0" t="n">
        <f aca="false">IF(Matrice_OD!AL127&lt;=Param!$B$2,3_Huff!AL127*3_Huff!AL$139*1_Friction!AL127,0)</f>
        <v>0</v>
      </c>
      <c r="AN127" s="0" t="n">
        <f aca="false">IF(Matrice_OD!AM127&lt;=Param!$B$2,3_Huff!AM127*3_Huff!AM$139*1_Friction!AM127,0)</f>
        <v>0</v>
      </c>
      <c r="AO127" s="0" t="n">
        <f aca="false">IF(Matrice_OD!AN127&lt;=Param!$B$2,3_Huff!AN127*3_Huff!AN$139*1_Friction!AN127,0)</f>
        <v>0</v>
      </c>
      <c r="AP127" s="49" t="n">
        <f aca="false">SUM(D127:AO127)</f>
        <v>0.000202611387065308</v>
      </c>
      <c r="AQ127" s="43" t="n">
        <f aca="false">AP127*1000</f>
        <v>0.202611387065308</v>
      </c>
      <c r="AR127" s="43" t="n">
        <f aca="false">RANK(AP127,AP$2:AP$136,0)</f>
        <v>45</v>
      </c>
      <c r="AS127" s="43" t="n">
        <f aca="false">COUNTIF(Matrice_OD!$C127:$AN127,"&lt;="&amp;Param!$B$2)</f>
        <v>28</v>
      </c>
    </row>
    <row r="128" customFormat="false" ht="15" hidden="false" customHeight="true" outlineLevel="0" collapsed="false">
      <c r="A128" s="0" t="s">
        <v>354</v>
      </c>
      <c r="B128" s="0" t="s">
        <v>355</v>
      </c>
      <c r="C128" s="0" t="n">
        <f aca="false">Demande!C128</f>
        <v>2552</v>
      </c>
      <c r="D128" s="43" t="n">
        <f aca="false">IF(Matrice_OD!C128&lt;=Param!$B$2,3_Huff!C128*3_Huff!C$139*1_Friction!C128,0)</f>
        <v>0</v>
      </c>
      <c r="E128" s="43" t="n">
        <f aca="false">IF(Matrice_OD!D128&lt;=Param!$B$2,3_Huff!D128*3_Huff!D$139*1_Friction!D128,0)</f>
        <v>1.14760306885554E-008</v>
      </c>
      <c r="F128" s="43" t="n">
        <f aca="false">IF(Matrice_OD!E128&lt;=Param!$B$2,3_Huff!E128*3_Huff!E$139*1_Friction!E128,0)</f>
        <v>1.3939884894891E-007</v>
      </c>
      <c r="G128" s="43" t="n">
        <f aca="false">IF(Matrice_OD!F128&lt;=Param!$B$2,3_Huff!F128*3_Huff!F$139*1_Friction!F128,0)</f>
        <v>2.62617981140326E-008</v>
      </c>
      <c r="H128" s="43" t="n">
        <f aca="false">IF(Matrice_OD!G128&lt;=Param!$B$2,3_Huff!G128*3_Huff!G$139*1_Friction!G128,0)</f>
        <v>7.22534483250319E-008</v>
      </c>
      <c r="I128" s="43" t="n">
        <f aca="false">IF(Matrice_OD!H128&lt;=Param!$B$2,3_Huff!H128*3_Huff!H$139*1_Friction!H128,0)</f>
        <v>2.45141932409644E-008</v>
      </c>
      <c r="J128" s="43" t="n">
        <f aca="false">IF(Matrice_OD!I128&lt;=Param!$B$2,3_Huff!I128*3_Huff!I$139*1_Friction!I128,0)</f>
        <v>5.54529347540803E-008</v>
      </c>
      <c r="K128" s="43" t="n">
        <f aca="false">IF(Matrice_OD!J128&lt;=Param!$B$2,3_Huff!J128*3_Huff!J$139*1_Friction!J128,0)</f>
        <v>3.97053674268498E-008</v>
      </c>
      <c r="L128" s="43" t="n">
        <f aca="false">IF(Matrice_OD!K128&lt;=Param!$B$2,3_Huff!K128*3_Huff!K$139*1_Friction!K128,0)</f>
        <v>2.19680447704406E-008</v>
      </c>
      <c r="M128" s="43" t="n">
        <f aca="false">IF(Matrice_OD!L128&lt;=Param!$B$2,3_Huff!L128*3_Huff!L$139*1_Friction!L128,0)</f>
        <v>2.79856484615852E-008</v>
      </c>
      <c r="N128" s="43" t="n">
        <f aca="false">IF(Matrice_OD!M128&lt;=Param!$B$2,3_Huff!M128*3_Huff!M$139*1_Friction!M128,0)</f>
        <v>1.83241051689256E-007</v>
      </c>
      <c r="O128" s="43" t="n">
        <f aca="false">IF(Matrice_OD!N128&lt;=Param!$B$2,3_Huff!N128*3_Huff!N$139*1_Friction!N128,0)</f>
        <v>1.88580662139465E-008</v>
      </c>
      <c r="P128" s="43" t="n">
        <f aca="false">IF(Matrice_OD!O128&lt;=Param!$B$2,3_Huff!O128*3_Huff!O$139*1_Friction!O128,0)</f>
        <v>6.17027088538613E-008</v>
      </c>
      <c r="Q128" s="43" t="n">
        <f aca="false">IF(Matrice_OD!P128&lt;=Param!$B$2,3_Huff!P128*3_Huff!P$139*1_Friction!P128,0)</f>
        <v>3.19823268814619E-008</v>
      </c>
      <c r="R128" s="43" t="n">
        <f aca="false">IF(Matrice_OD!Q128&lt;=Param!$B$2,3_Huff!Q128*3_Huff!Q$139*1_Friction!Q128,0)</f>
        <v>2.8867408764302E-007</v>
      </c>
      <c r="S128" s="43" t="n">
        <f aca="false">IF(Matrice_OD!R128&lt;=Param!$B$2,3_Huff!R128*3_Huff!R$139*1_Friction!R128,0)</f>
        <v>3.74598731239091E-008</v>
      </c>
      <c r="T128" s="43" t="n">
        <f aca="false">IF(Matrice_OD!S128&lt;=Param!$B$2,3_Huff!S128*3_Huff!S$139*1_Friction!S128,0)</f>
        <v>2.5463876679126E-008</v>
      </c>
      <c r="U128" s="43" t="n">
        <f aca="false">IF(Matrice_OD!T128&lt;=Param!$B$2,3_Huff!T128*3_Huff!T$139*1_Friction!T128,0)</f>
        <v>5.54028933085108E-008</v>
      </c>
      <c r="V128" s="43" t="n">
        <f aca="false">IF(Matrice_OD!U128&lt;=Param!$B$2,3_Huff!U128*3_Huff!U$139*1_Friction!U128,0)</f>
        <v>1.5396941037427E-005</v>
      </c>
      <c r="W128" s="43" t="n">
        <f aca="false">IF(Matrice_OD!V128&lt;=Param!$B$2,3_Huff!V128*3_Huff!V$139*1_Friction!V128,0)</f>
        <v>3.18067931747883E-005</v>
      </c>
      <c r="X128" s="43" t="n">
        <f aca="false">IF(Matrice_OD!W128&lt;=Param!$B$2,3_Huff!W128*3_Huff!W$139*1_Friction!W128,0)</f>
        <v>6.88274050878439E-006</v>
      </c>
      <c r="Y128" s="43" t="n">
        <f aca="false">IF(Matrice_OD!X128&lt;=Param!$B$2,3_Huff!X128*3_Huff!X$139*1_Friction!X128,0)</f>
        <v>1.07394532494269E-005</v>
      </c>
      <c r="Z128" s="43" t="n">
        <f aca="false">IF(Matrice_OD!Y128&lt;=Param!$B$2,3_Huff!Y128*3_Huff!Y$139*1_Friction!Y128,0)</f>
        <v>7.17109383298232E-006</v>
      </c>
      <c r="AA128" s="43" t="n">
        <f aca="false">IF(Matrice_OD!Z128&lt;=Param!$B$2,3_Huff!Z128*3_Huff!Z$139*1_Friction!Z128,0)</f>
        <v>1.7542769231994E-005</v>
      </c>
      <c r="AB128" s="43" t="n">
        <f aca="false">IF(Matrice_OD!AA128&lt;=Param!$B$2,3_Huff!AA128*3_Huff!AA$139*1_Friction!AA128,0)</f>
        <v>3.7312204199824E-005</v>
      </c>
      <c r="AC128" s="43" t="n">
        <f aca="false">IF(Matrice_OD!AB128&lt;=Param!$B$2,3_Huff!AB128*3_Huff!AB$139*1_Friction!AB128,0)</f>
        <v>1.92724089762974E-005</v>
      </c>
      <c r="AD128" s="43" t="n">
        <f aca="false">IF(Matrice_OD!AC128&lt;=Param!$B$2,3_Huff!AC128*3_Huff!AC$139*1_Friction!AC128,0)</f>
        <v>0</v>
      </c>
      <c r="AE128" s="43" t="n">
        <f aca="false">IF(Matrice_OD!AD128&lt;=Param!$B$2,3_Huff!AD128*3_Huff!AD$139*1_Friction!AD128,0)</f>
        <v>0</v>
      </c>
      <c r="AF128" s="43" t="n">
        <f aca="false">IF(Matrice_OD!AE128&lt;=Param!$B$2,3_Huff!AE128*3_Huff!AE$139*1_Friction!AE128,0)</f>
        <v>0</v>
      </c>
      <c r="AG128" s="43" t="n">
        <f aca="false">IF(Matrice_OD!AF128&lt;=Param!$B$2,3_Huff!AF128*3_Huff!AF$139*1_Friction!AF128,0)</f>
        <v>0</v>
      </c>
      <c r="AH128" s="43" t="n">
        <f aca="false">IF(Matrice_OD!AG128&lt;=Param!$B$2,3_Huff!AG128*3_Huff!AG$139*1_Friction!AG128,0)</f>
        <v>0</v>
      </c>
      <c r="AI128" s="43" t="n">
        <f aca="false">IF(Matrice_OD!AH128&lt;=Param!$B$2,3_Huff!AH128*3_Huff!AH$139*1_Friction!AH128,0)</f>
        <v>1.10993142731924E-007</v>
      </c>
      <c r="AJ128" s="43" t="n">
        <f aca="false">IF(Matrice_OD!AI128&lt;=Param!$B$2,3_Huff!AI128*3_Huff!AI$139*1_Friction!AI128,0)</f>
        <v>1.82927417066334E-008</v>
      </c>
      <c r="AK128" s="43" t="n">
        <f aca="false">IF(Matrice_OD!AJ128&lt;=Param!$B$2,3_Huff!AJ128*3_Huff!AJ$139*1_Friction!AJ128,0)</f>
        <v>1.50942808300791E-005</v>
      </c>
      <c r="AL128" s="43" t="n">
        <f aca="false">IF(Matrice_OD!AK128&lt;=Param!$B$2,3_Huff!AK128*3_Huff!AK$139*1_Friction!AK128,0)</f>
        <v>0</v>
      </c>
      <c r="AM128" s="0" t="n">
        <f aca="false">IF(Matrice_OD!AL128&lt;=Param!$B$2,3_Huff!AL128*3_Huff!AL$139*1_Friction!AL128,0)</f>
        <v>0</v>
      </c>
      <c r="AN128" s="0" t="n">
        <f aca="false">IF(Matrice_OD!AM128&lt;=Param!$B$2,3_Huff!AM128*3_Huff!AM$139*1_Friction!AM128,0)</f>
        <v>0</v>
      </c>
      <c r="AO128" s="0" t="n">
        <f aca="false">IF(Matrice_OD!AN128&lt;=Param!$B$2,3_Huff!AN128*3_Huff!AN$139*1_Friction!AN128,0)</f>
        <v>0</v>
      </c>
      <c r="AP128" s="48" t="n">
        <f aca="false">SUM(D128:AO128)</f>
        <v>0.000162469772125165</v>
      </c>
      <c r="AQ128" s="43" t="n">
        <f aca="false">AP128*1000</f>
        <v>0.162469772125165</v>
      </c>
      <c r="AR128" s="43" t="n">
        <f aca="false">RANK(AP128,AP$2:AP$136,0)</f>
        <v>54</v>
      </c>
      <c r="AS128" s="43" t="n">
        <f aca="false">COUNTIF(Matrice_OD!$C128:$AN128,"&lt;="&amp;Param!$B$2)</f>
        <v>28</v>
      </c>
    </row>
    <row r="129" customFormat="false" ht="15" hidden="false" customHeight="true" outlineLevel="0" collapsed="false">
      <c r="A129" s="0" t="s">
        <v>356</v>
      </c>
      <c r="B129" s="0" t="s">
        <v>357</v>
      </c>
      <c r="C129" s="0" t="n">
        <f aca="false">Demande!C129</f>
        <v>6905</v>
      </c>
      <c r="D129" s="43" t="n">
        <f aca="false">IF(Matrice_OD!C129&lt;=Param!$B$2,3_Huff!C129*3_Huff!C$139*1_Friction!C129,0)</f>
        <v>0</v>
      </c>
      <c r="E129" s="43" t="n">
        <f aca="false">IF(Matrice_OD!D129&lt;=Param!$B$2,3_Huff!D129*3_Huff!D$139*1_Friction!D129,0)</f>
        <v>0</v>
      </c>
      <c r="F129" s="43" t="n">
        <f aca="false">IF(Matrice_OD!E129&lt;=Param!$B$2,3_Huff!E129*3_Huff!E$139*1_Friction!E129,0)</f>
        <v>0</v>
      </c>
      <c r="G129" s="43" t="n">
        <f aca="false">IF(Matrice_OD!F129&lt;=Param!$B$2,3_Huff!F129*3_Huff!F$139*1_Friction!F129,0)</f>
        <v>0</v>
      </c>
      <c r="H129" s="43" t="n">
        <f aca="false">IF(Matrice_OD!G129&lt;=Param!$B$2,3_Huff!G129*3_Huff!G$139*1_Friction!G129,0)</f>
        <v>0</v>
      </c>
      <c r="I129" s="43" t="n">
        <f aca="false">IF(Matrice_OD!H129&lt;=Param!$B$2,3_Huff!H129*3_Huff!H$139*1_Friction!H129,0)</f>
        <v>0</v>
      </c>
      <c r="J129" s="43" t="n">
        <f aca="false">IF(Matrice_OD!I129&lt;=Param!$B$2,3_Huff!I129*3_Huff!I$139*1_Friction!I129,0)</f>
        <v>0</v>
      </c>
      <c r="K129" s="43" t="n">
        <f aca="false">IF(Matrice_OD!J129&lt;=Param!$B$2,3_Huff!J129*3_Huff!J$139*1_Friction!J129,0)</f>
        <v>0</v>
      </c>
      <c r="L129" s="43" t="n">
        <f aca="false">IF(Matrice_OD!K129&lt;=Param!$B$2,3_Huff!K129*3_Huff!K$139*1_Friction!K129,0)</f>
        <v>0</v>
      </c>
      <c r="M129" s="43" t="n">
        <f aca="false">IF(Matrice_OD!L129&lt;=Param!$B$2,3_Huff!L129*3_Huff!L$139*1_Friction!L129,0)</f>
        <v>0</v>
      </c>
      <c r="N129" s="43" t="n">
        <f aca="false">IF(Matrice_OD!M129&lt;=Param!$B$2,3_Huff!M129*3_Huff!M$139*1_Friction!M129,0)</f>
        <v>0</v>
      </c>
      <c r="O129" s="43" t="n">
        <f aca="false">IF(Matrice_OD!N129&lt;=Param!$B$2,3_Huff!N129*3_Huff!N$139*1_Friction!N129,0)</f>
        <v>0</v>
      </c>
      <c r="P129" s="43" t="n">
        <f aca="false">IF(Matrice_OD!O129&lt;=Param!$B$2,3_Huff!O129*3_Huff!O$139*1_Friction!O129,0)</f>
        <v>0</v>
      </c>
      <c r="Q129" s="43" t="n">
        <f aca="false">IF(Matrice_OD!P129&lt;=Param!$B$2,3_Huff!P129*3_Huff!P$139*1_Friction!P129,0)</f>
        <v>0</v>
      </c>
      <c r="R129" s="43" t="n">
        <f aca="false">IF(Matrice_OD!Q129&lt;=Param!$B$2,3_Huff!Q129*3_Huff!Q$139*1_Friction!Q129,0)</f>
        <v>0</v>
      </c>
      <c r="S129" s="43" t="n">
        <f aca="false">IF(Matrice_OD!R129&lt;=Param!$B$2,3_Huff!R129*3_Huff!R$139*1_Friction!R129,0)</f>
        <v>0</v>
      </c>
      <c r="T129" s="43" t="n">
        <f aca="false">IF(Matrice_OD!S129&lt;=Param!$B$2,3_Huff!S129*3_Huff!S$139*1_Friction!S129,0)</f>
        <v>0</v>
      </c>
      <c r="U129" s="43" t="n">
        <f aca="false">IF(Matrice_OD!T129&lt;=Param!$B$2,3_Huff!T129*3_Huff!T$139*1_Friction!T129,0)</f>
        <v>2.41636454938426E-008</v>
      </c>
      <c r="V129" s="43" t="n">
        <f aca="false">IF(Matrice_OD!U129&lt;=Param!$B$2,3_Huff!U129*3_Huff!U$139*1_Friction!U129,0)</f>
        <v>1.66135854776274E-006</v>
      </c>
      <c r="W129" s="43" t="n">
        <f aca="false">IF(Matrice_OD!V129&lt;=Param!$B$2,3_Huff!V129*3_Huff!V$139*1_Friction!V129,0)</f>
        <v>5.31677842453349E-005</v>
      </c>
      <c r="X129" s="43" t="n">
        <f aca="false">IF(Matrice_OD!W129&lt;=Param!$B$2,3_Huff!W129*3_Huff!W$139*1_Friction!W129,0)</f>
        <v>1.26132272693127E-005</v>
      </c>
      <c r="Y129" s="43" t="n">
        <f aca="false">IF(Matrice_OD!X129&lt;=Param!$B$2,3_Huff!X129*3_Huff!X$139*1_Friction!X129,0)</f>
        <v>1.9254118422717E-005</v>
      </c>
      <c r="Z129" s="43" t="n">
        <f aca="false">IF(Matrice_OD!Y129&lt;=Param!$B$2,3_Huff!Y129*3_Huff!Y$139*1_Friction!Y129,0)</f>
        <v>1.28735340381746E-005</v>
      </c>
      <c r="AA129" s="43" t="n">
        <f aca="false">IF(Matrice_OD!Z129&lt;=Param!$B$2,3_Huff!Z129*3_Huff!Z$139*1_Friction!Z129,0)</f>
        <v>3.16405563366868E-005</v>
      </c>
      <c r="AB129" s="43" t="n">
        <f aca="false">IF(Matrice_OD!AA129&lt;=Param!$B$2,3_Huff!AA129*3_Huff!AA$139*1_Friction!AA129,0)</f>
        <v>6.66686796008455E-005</v>
      </c>
      <c r="AC129" s="43" t="n">
        <f aca="false">IF(Matrice_OD!AB129&lt;=Param!$B$2,3_Huff!AB129*3_Huff!AB$139*1_Friction!AB129,0)</f>
        <v>3.37593374293697E-005</v>
      </c>
      <c r="AD129" s="43" t="n">
        <f aca="false">IF(Matrice_OD!AC129&lt;=Param!$B$2,3_Huff!AC129*3_Huff!AC$139*1_Friction!AC129,0)</f>
        <v>0</v>
      </c>
      <c r="AE129" s="43" t="n">
        <f aca="false">IF(Matrice_OD!AD129&lt;=Param!$B$2,3_Huff!AD129*3_Huff!AD$139*1_Friction!AD129,0)</f>
        <v>0</v>
      </c>
      <c r="AF129" s="43" t="n">
        <f aca="false">IF(Matrice_OD!AE129&lt;=Param!$B$2,3_Huff!AE129*3_Huff!AE$139*1_Friction!AE129,0)</f>
        <v>0</v>
      </c>
      <c r="AG129" s="43" t="n">
        <f aca="false">IF(Matrice_OD!AF129&lt;=Param!$B$2,3_Huff!AF129*3_Huff!AF$139*1_Friction!AF129,0)</f>
        <v>0</v>
      </c>
      <c r="AH129" s="43" t="n">
        <f aca="false">IF(Matrice_OD!AG129&lt;=Param!$B$2,3_Huff!AG129*3_Huff!AG$139*1_Friction!AG129,0)</f>
        <v>0</v>
      </c>
      <c r="AI129" s="43" t="n">
        <f aca="false">IF(Matrice_OD!AH129&lt;=Param!$B$2,3_Huff!AH129*3_Huff!AH$139*1_Friction!AH129,0)</f>
        <v>0</v>
      </c>
      <c r="AJ129" s="43" t="n">
        <f aca="false">IF(Matrice_OD!AI129&lt;=Param!$B$2,3_Huff!AI129*3_Huff!AI$139*1_Friction!AI129,0)</f>
        <v>7.85775781775989E-009</v>
      </c>
      <c r="AK129" s="43" t="n">
        <f aca="false">IF(Matrice_OD!AJ129&lt;=Param!$B$2,3_Huff!AJ129*3_Huff!AJ$139*1_Friction!AJ129,0)</f>
        <v>2.74628151133505E-005</v>
      </c>
      <c r="AL129" s="43" t="n">
        <f aca="false">IF(Matrice_OD!AK129&lt;=Param!$B$2,3_Huff!AK129*3_Huff!AK$139*1_Friction!AK129,0)</f>
        <v>0</v>
      </c>
      <c r="AM129" s="0" t="n">
        <f aca="false">IF(Matrice_OD!AL129&lt;=Param!$B$2,3_Huff!AL129*3_Huff!AL$139*1_Friction!AL129,0)</f>
        <v>0</v>
      </c>
      <c r="AN129" s="0" t="n">
        <f aca="false">IF(Matrice_OD!AM129&lt;=Param!$B$2,3_Huff!AM129*3_Huff!AM$139*1_Friction!AM129,0)</f>
        <v>0</v>
      </c>
      <c r="AO129" s="0" t="n">
        <f aca="false">IF(Matrice_OD!AN129&lt;=Param!$B$2,3_Huff!AN129*3_Huff!AN$139*1_Friction!AN129,0)</f>
        <v>0</v>
      </c>
      <c r="AP129" s="49" t="n">
        <f aca="false">SUM(D129:AO129)</f>
        <v>0.000259133432406866</v>
      </c>
      <c r="AQ129" s="43" t="n">
        <f aca="false">AP129*1000</f>
        <v>0.259133432406866</v>
      </c>
      <c r="AR129" s="43" t="n">
        <f aca="false">RANK(AP129,AP$2:AP$136,0)</f>
        <v>33</v>
      </c>
      <c r="AS129" s="43" t="n">
        <f aca="false">COUNTIF(Matrice_OD!$C129:$AN129,"&lt;="&amp;Param!$B$2)</f>
        <v>11</v>
      </c>
    </row>
    <row r="130" customFormat="false" ht="15" hidden="false" customHeight="true" outlineLevel="0" collapsed="false">
      <c r="A130" s="0" t="s">
        <v>358</v>
      </c>
      <c r="B130" s="0" t="s">
        <v>359</v>
      </c>
      <c r="C130" s="0" t="n">
        <f aca="false">Demande!C130</f>
        <v>8147</v>
      </c>
      <c r="D130" s="43" t="n">
        <f aca="false">IF(Matrice_OD!C130&lt;=Param!$B$2,3_Huff!C130*3_Huff!C$139*1_Friction!C130,0)</f>
        <v>0</v>
      </c>
      <c r="E130" s="43" t="n">
        <f aca="false">IF(Matrice_OD!D130&lt;=Param!$B$2,3_Huff!D130*3_Huff!D$139*1_Friction!D130,0)</f>
        <v>1.75807601710574E-008</v>
      </c>
      <c r="F130" s="43" t="n">
        <f aca="false">IF(Matrice_OD!E130&lt;=Param!$B$2,3_Huff!E130*3_Huff!E$139*1_Friction!E130,0)</f>
        <v>2.12541216006204E-007</v>
      </c>
      <c r="G130" s="43" t="n">
        <f aca="false">IF(Matrice_OD!F130&lt;=Param!$B$2,3_Huff!F130*3_Huff!F$139*1_Friction!F130,0)</f>
        <v>4.00065679295308E-008</v>
      </c>
      <c r="H130" s="43" t="n">
        <f aca="false">IF(Matrice_OD!G130&lt;=Param!$B$2,3_Huff!G130*3_Huff!G$139*1_Friction!G130,0)</f>
        <v>1.10175748298718E-007</v>
      </c>
      <c r="I130" s="43" t="n">
        <f aca="false">IF(Matrice_OD!H130&lt;=Param!$B$2,3_Huff!H130*3_Huff!H$139*1_Friction!H130,0)</f>
        <v>3.65446494841901E-008</v>
      </c>
      <c r="J130" s="43" t="n">
        <f aca="false">IF(Matrice_OD!I130&lt;=Param!$B$2,3_Huff!I130*3_Huff!I$139*1_Friction!I130,0)</f>
        <v>8.28323278729537E-008</v>
      </c>
      <c r="K130" s="43" t="n">
        <f aca="false">IF(Matrice_OD!J130&lt;=Param!$B$2,3_Huff!J130*3_Huff!J$139*1_Friction!J130,0)</f>
        <v>5.97324024693349E-008</v>
      </c>
      <c r="L130" s="43" t="n">
        <f aca="false">IF(Matrice_OD!K130&lt;=Param!$B$2,3_Huff!K130*3_Huff!K$139*1_Friction!K130,0)</f>
        <v>3.32874906345099E-008</v>
      </c>
      <c r="M130" s="43" t="n">
        <f aca="false">IF(Matrice_OD!L130&lt;=Param!$B$2,3_Huff!L130*3_Huff!L$139*1_Friction!L130,0)</f>
        <v>4.17949482860982E-008</v>
      </c>
      <c r="N130" s="43" t="n">
        <f aca="false">IF(Matrice_OD!M130&lt;=Param!$B$2,3_Huff!M130*3_Huff!M$139*1_Friction!M130,0)</f>
        <v>2.70366526667383E-007</v>
      </c>
      <c r="O130" s="43" t="n">
        <f aca="false">IF(Matrice_OD!N130&lt;=Param!$B$2,3_Huff!N130*3_Huff!N$139*1_Friction!N130,0)</f>
        <v>2.83728593295295E-008</v>
      </c>
      <c r="P130" s="43" t="n">
        <f aca="false">IF(Matrice_OD!O130&lt;=Param!$B$2,3_Huff!O130*3_Huff!O$139*1_Friction!O130,0)</f>
        <v>9.25097406132037E-008</v>
      </c>
      <c r="Q130" s="43" t="n">
        <f aca="false">IF(Matrice_OD!P130&lt;=Param!$B$2,3_Huff!P130*3_Huff!P$139*1_Friction!P130,0)</f>
        <v>4.7773316202896E-008</v>
      </c>
      <c r="R130" s="43" t="n">
        <f aca="false">IF(Matrice_OD!Q130&lt;=Param!$B$2,3_Huff!Q130*3_Huff!Q$139*1_Friction!Q130,0)</f>
        <v>4.30773089794964E-007</v>
      </c>
      <c r="S130" s="43" t="n">
        <f aca="false">IF(Matrice_OD!R130&lt;=Param!$B$2,3_Huff!R130*3_Huff!R$139*1_Friction!R130,0)</f>
        <v>5.60057663830814E-008</v>
      </c>
      <c r="T130" s="43" t="n">
        <f aca="false">IF(Matrice_OD!S130&lt;=Param!$B$2,3_Huff!S130*3_Huff!S$139*1_Friction!S130,0)</f>
        <v>3.83692936514321E-008</v>
      </c>
      <c r="U130" s="43" t="n">
        <f aca="false">IF(Matrice_OD!T130&lt;=Param!$B$2,3_Huff!T130*3_Huff!T$139*1_Friction!T130,0)</f>
        <v>7.92484883121514E-008</v>
      </c>
      <c r="V130" s="43" t="n">
        <f aca="false">IF(Matrice_OD!U130&lt;=Param!$B$2,3_Huff!U130*3_Huff!U$139*1_Friction!U130,0)</f>
        <v>1.47150629261999E-005</v>
      </c>
      <c r="W130" s="43" t="n">
        <f aca="false">IF(Matrice_OD!V130&lt;=Param!$B$2,3_Huff!V130*3_Huff!V$139*1_Friction!V130,0)</f>
        <v>4.79574470173413E-005</v>
      </c>
      <c r="X130" s="43" t="n">
        <f aca="false">IF(Matrice_OD!W130&lt;=Param!$B$2,3_Huff!W130*3_Huff!W$139*1_Friction!W130,0)</f>
        <v>1.13214682300619E-005</v>
      </c>
      <c r="Y130" s="43" t="n">
        <f aca="false">IF(Matrice_OD!X130&lt;=Param!$B$2,3_Huff!X130*3_Huff!X$139*1_Friction!X130,0)</f>
        <v>1.72326873702768E-005</v>
      </c>
      <c r="Z130" s="43" t="n">
        <f aca="false">IF(Matrice_OD!Y130&lt;=Param!$B$2,3_Huff!Y130*3_Huff!Y$139*1_Friction!Y130,0)</f>
        <v>1.15112101743852E-005</v>
      </c>
      <c r="AA130" s="43" t="n">
        <f aca="false">IF(Matrice_OD!Z130&lt;=Param!$B$2,3_Huff!Z130*3_Huff!Z$139*1_Friction!Z130,0)</f>
        <v>2.83153848927237E-005</v>
      </c>
      <c r="AB130" s="43" t="n">
        <f aca="false">IF(Matrice_OD!AA130&lt;=Param!$B$2,3_Huff!AA130*3_Huff!AA$139*1_Friction!AA130,0)</f>
        <v>5.96337287030828E-005</v>
      </c>
      <c r="AC130" s="43" t="n">
        <f aca="false">IF(Matrice_OD!AB130&lt;=Param!$B$2,3_Huff!AB130*3_Huff!AB$139*1_Friction!AB130,0)</f>
        <v>3.00636225201016E-005</v>
      </c>
      <c r="AD130" s="43" t="n">
        <f aca="false">IF(Matrice_OD!AC130&lt;=Param!$B$2,3_Huff!AC130*3_Huff!AC$139*1_Friction!AC130,0)</f>
        <v>0</v>
      </c>
      <c r="AE130" s="43" t="n">
        <f aca="false">IF(Matrice_OD!AD130&lt;=Param!$B$2,3_Huff!AD130*3_Huff!AD$139*1_Friction!AD130,0)</f>
        <v>0</v>
      </c>
      <c r="AF130" s="43" t="n">
        <f aca="false">IF(Matrice_OD!AE130&lt;=Param!$B$2,3_Huff!AE130*3_Huff!AE$139*1_Friction!AE130,0)</f>
        <v>0</v>
      </c>
      <c r="AG130" s="43" t="n">
        <f aca="false">IF(Matrice_OD!AF130&lt;=Param!$B$2,3_Huff!AF130*3_Huff!AF$139*1_Friction!AF130,0)</f>
        <v>0</v>
      </c>
      <c r="AH130" s="43" t="n">
        <f aca="false">IF(Matrice_OD!AG130&lt;=Param!$B$2,3_Huff!AG130*3_Huff!AG$139*1_Friction!AG130,0)</f>
        <v>0</v>
      </c>
      <c r="AI130" s="43" t="n">
        <f aca="false">IF(Matrice_OD!AH130&lt;=Param!$B$2,3_Huff!AH130*3_Huff!AH$139*1_Friction!AH130,0)</f>
        <v>1.64390854377851E-007</v>
      </c>
      <c r="AJ130" s="43" t="n">
        <f aca="false">IF(Matrice_OD!AI130&lt;=Param!$B$2,3_Huff!AI130*3_Huff!AI$139*1_Friction!AI130,0)</f>
        <v>2.6662889934832E-008</v>
      </c>
      <c r="AK130" s="43" t="n">
        <f aca="false">IF(Matrice_OD!AJ130&lt;=Param!$B$2,3_Huff!AJ130*3_Huff!AJ$139*1_Friction!AJ130,0)</f>
        <v>2.46141444384013E-005</v>
      </c>
      <c r="AL130" s="43" t="n">
        <f aca="false">IF(Matrice_OD!AK130&lt;=Param!$B$2,3_Huff!AK130*3_Huff!AK$139*1_Friction!AK130,0)</f>
        <v>0</v>
      </c>
      <c r="AM130" s="0" t="n">
        <f aca="false">IF(Matrice_OD!AL130&lt;=Param!$B$2,3_Huff!AL130*3_Huff!AL$139*1_Friction!AL130,0)</f>
        <v>0</v>
      </c>
      <c r="AN130" s="0" t="n">
        <f aca="false">IF(Matrice_OD!AM130&lt;=Param!$B$2,3_Huff!AM130*3_Huff!AM$139*1_Friction!AM130,0)</f>
        <v>0</v>
      </c>
      <c r="AO130" s="0" t="n">
        <f aca="false">IF(Matrice_OD!AN130&lt;=Param!$B$2,3_Huff!AN130*3_Huff!AN$139*1_Friction!AN130,0)</f>
        <v>0</v>
      </c>
      <c r="AP130" s="48" t="n">
        <f aca="false">SUM(D130:AO130)</f>
        <v>0.000247233725208994</v>
      </c>
      <c r="AQ130" s="43" t="n">
        <f aca="false">AP130*1000</f>
        <v>0.247233725208994</v>
      </c>
      <c r="AR130" s="43" t="n">
        <f aca="false">RANK(AP130,AP$2:AP$136,0)</f>
        <v>36</v>
      </c>
      <c r="AS130" s="43" t="n">
        <f aca="false">COUNTIF(Matrice_OD!$C130:$AN130,"&lt;="&amp;Param!$B$2)</f>
        <v>28</v>
      </c>
    </row>
    <row r="131" customFormat="false" ht="15" hidden="false" customHeight="true" outlineLevel="0" collapsed="false">
      <c r="A131" s="0" t="s">
        <v>360</v>
      </c>
      <c r="B131" s="0" t="s">
        <v>361</v>
      </c>
      <c r="C131" s="0" t="n">
        <f aca="false">Demande!C131</f>
        <v>6725</v>
      </c>
      <c r="D131" s="43" t="n">
        <f aca="false">IF(Matrice_OD!C131&lt;=Param!$B$2,3_Huff!C131*3_Huff!C$139*1_Friction!C131,0)</f>
        <v>7.80656820567685E-008</v>
      </c>
      <c r="E131" s="43" t="n">
        <f aca="false">IF(Matrice_OD!D131&lt;=Param!$B$2,3_Huff!D131*3_Huff!D$139*1_Friction!D131,0)</f>
        <v>1.12935367248976E-007</v>
      </c>
      <c r="F131" s="43" t="n">
        <f aca="false">IF(Matrice_OD!E131&lt;=Param!$B$2,3_Huff!E131*3_Huff!E$139*1_Friction!E131,0)</f>
        <v>1.35705455490559E-006</v>
      </c>
      <c r="G131" s="43" t="n">
        <f aca="false">IF(Matrice_OD!F131&lt;=Param!$B$2,3_Huff!F131*3_Huff!F$139*1_Friction!F131,0)</f>
        <v>2.53096755432851E-007</v>
      </c>
      <c r="H131" s="43" t="n">
        <f aca="false">IF(Matrice_OD!G131&lt;=Param!$B$2,3_Huff!G131*3_Huff!G$139*1_Friction!G131,0)</f>
        <v>7.02551762766965E-007</v>
      </c>
      <c r="I131" s="43" t="n">
        <f aca="false">IF(Matrice_OD!H131&lt;=Param!$B$2,3_Huff!H131*3_Huff!H$139*1_Friction!H131,0)</f>
        <v>2.19426490939323E-007</v>
      </c>
      <c r="J131" s="43" t="n">
        <f aca="false">IF(Matrice_OD!I131&lt;=Param!$B$2,3_Huff!I131*3_Huff!I$139*1_Friction!I131,0)</f>
        <v>4.99318170768853E-007</v>
      </c>
      <c r="K131" s="43" t="n">
        <f aca="false">IF(Matrice_OD!J131&lt;=Param!$B$2,3_Huff!J131*3_Huff!J$139*1_Friction!J131,0)</f>
        <v>3.67679496857571E-007</v>
      </c>
      <c r="L131" s="43" t="n">
        <f aca="false">IF(Matrice_OD!K131&lt;=Param!$B$2,3_Huff!K131*3_Huff!K$139*1_Friction!K131,0)</f>
        <v>2.08968551217227E-007</v>
      </c>
      <c r="M131" s="43" t="n">
        <f aca="false">IF(Matrice_OD!L131&lt;=Param!$B$2,3_Huff!L131*3_Huff!L$139*1_Friction!L131,0)</f>
        <v>2.51804947707296E-007</v>
      </c>
      <c r="N131" s="43" t="n">
        <f aca="false">IF(Matrice_OD!M131&lt;=Param!$B$2,3_Huff!M131*3_Huff!M$139*1_Friction!M131,0)</f>
        <v>1.57834012991477E-006</v>
      </c>
      <c r="O131" s="43" t="n">
        <f aca="false">IF(Matrice_OD!N131&lt;=Param!$B$2,3_Huff!N131*3_Huff!N$139*1_Friction!N131,0)</f>
        <v>1.73525014942485E-007</v>
      </c>
      <c r="P131" s="43" t="n">
        <f aca="false">IF(Matrice_OD!O131&lt;=Param!$B$2,3_Huff!O131*3_Huff!O$139*1_Friction!O131,0)</f>
        <v>5.64175088425326E-007</v>
      </c>
      <c r="Q131" s="43" t="n">
        <f aca="false">IF(Matrice_OD!P131&lt;=Param!$B$2,3_Huff!P131*3_Huff!P$139*1_Friction!P131,0)</f>
        <v>2.8798037518128E-007</v>
      </c>
      <c r="R131" s="43" t="n">
        <f aca="false">IF(Matrice_OD!Q131&lt;=Param!$B$2,3_Huff!Q131*3_Huff!Q$139*1_Friction!Q131,0)</f>
        <v>2.59358207118813E-006</v>
      </c>
      <c r="S131" s="43" t="n">
        <f aca="false">IF(Matrice_OD!R131&lt;=Param!$B$2,3_Huff!R131*3_Huff!R$139*1_Friction!R131,0)</f>
        <v>3.38436281973188E-007</v>
      </c>
      <c r="T131" s="43" t="n">
        <f aca="false">IF(Matrice_OD!S131&lt;=Param!$B$2,3_Huff!S131*3_Huff!S$139*1_Friction!S131,0)</f>
        <v>2.35624566010614E-007</v>
      </c>
      <c r="U131" s="43" t="n">
        <f aca="false">IF(Matrice_OD!T131&lt;=Param!$B$2,3_Huff!T131*3_Huff!T$139*1_Friction!T131,0)</f>
        <v>4.08288230723145E-006</v>
      </c>
      <c r="V131" s="43" t="n">
        <f aca="false">IF(Matrice_OD!U131&lt;=Param!$B$2,3_Huff!U131*3_Huff!U$139*1_Friction!U131,0)</f>
        <v>3.31929158958612E-005</v>
      </c>
      <c r="W131" s="43" t="n">
        <f aca="false">IF(Matrice_OD!V131&lt;=Param!$B$2,3_Huff!V131*3_Huff!V$139*1_Friction!V131,0)</f>
        <v>3.81914504403919E-005</v>
      </c>
      <c r="X131" s="43" t="n">
        <f aca="false">IF(Matrice_OD!W131&lt;=Param!$B$2,3_Huff!W131*3_Huff!W$139*1_Friction!W131,0)</f>
        <v>7.84502764882575E-006</v>
      </c>
      <c r="Y131" s="43" t="n">
        <f aca="false">IF(Matrice_OD!X131&lt;=Param!$B$2,3_Huff!X131*3_Huff!X$139*1_Friction!X131,0)</f>
        <v>1.1554919080481E-005</v>
      </c>
      <c r="Z131" s="43" t="n">
        <f aca="false">IF(Matrice_OD!Y131&lt;=Param!$B$2,3_Huff!Y131*3_Huff!Y$139*1_Friction!Y131,0)</f>
        <v>7.39521800884934E-006</v>
      </c>
      <c r="AA131" s="43" t="n">
        <f aca="false">IF(Matrice_OD!Z131&lt;=Param!$B$2,3_Huff!Z131*3_Huff!Z$139*1_Friction!Z131,0)</f>
        <v>1.75163107076662E-005</v>
      </c>
      <c r="AB131" s="43" t="n">
        <f aca="false">IF(Matrice_OD!AA131&lt;=Param!$B$2,3_Huff!AA131*3_Huff!AA$139*1_Friction!AA131,0)</f>
        <v>4.16629400512648E-005</v>
      </c>
      <c r="AC131" s="43" t="n">
        <f aca="false">IF(Matrice_OD!AB131&lt;=Param!$B$2,3_Huff!AB131*3_Huff!AB$139*1_Friction!AB131,0)</f>
        <v>1.71992742886646E-005</v>
      </c>
      <c r="AD131" s="43" t="n">
        <f aca="false">IF(Matrice_OD!AC131&lt;=Param!$B$2,3_Huff!AC131*3_Huff!AC$139*1_Friction!AC131,0)</f>
        <v>0</v>
      </c>
      <c r="AE131" s="43" t="n">
        <f aca="false">IF(Matrice_OD!AD131&lt;=Param!$B$2,3_Huff!AD131*3_Huff!AD$139*1_Friction!AD131,0)</f>
        <v>0</v>
      </c>
      <c r="AF131" s="43" t="n">
        <f aca="false">IF(Matrice_OD!AE131&lt;=Param!$B$2,3_Huff!AE131*3_Huff!AE$139*1_Friction!AE131,0)</f>
        <v>0</v>
      </c>
      <c r="AG131" s="43" t="n">
        <f aca="false">IF(Matrice_OD!AF131&lt;=Param!$B$2,3_Huff!AF131*3_Huff!AF$139*1_Friction!AF131,0)</f>
        <v>0</v>
      </c>
      <c r="AH131" s="43" t="n">
        <f aca="false">IF(Matrice_OD!AG131&lt;=Param!$B$2,3_Huff!AG131*3_Huff!AG$139*1_Friction!AG131,0)</f>
        <v>0</v>
      </c>
      <c r="AI131" s="43" t="n">
        <f aca="false">IF(Matrice_OD!AH131&lt;=Param!$B$2,3_Huff!AH131*3_Huff!AH$139*1_Friction!AH131,0)</f>
        <v>9.68235680150644E-007</v>
      </c>
      <c r="AJ131" s="43" t="n">
        <f aca="false">IF(Matrice_OD!AI131&lt;=Param!$B$2,3_Huff!AI131*3_Huff!AI$139*1_Friction!AI131,0)</f>
        <v>1.56654276398747E-006</v>
      </c>
      <c r="AK131" s="43" t="n">
        <f aca="false">IF(Matrice_OD!AJ131&lt;=Param!$B$2,3_Huff!AJ131*3_Huff!AJ$139*1_Friction!AJ131,0)</f>
        <v>1.75676214624994E-005</v>
      </c>
      <c r="AL131" s="43" t="n">
        <f aca="false">IF(Matrice_OD!AK131&lt;=Param!$B$2,3_Huff!AK131*3_Huff!AK$139*1_Friction!AK131,0)</f>
        <v>0</v>
      </c>
      <c r="AM131" s="0" t="n">
        <f aca="false">IF(Matrice_OD!AL131&lt;=Param!$B$2,3_Huff!AL131*3_Huff!AL$139*1_Friction!AL131,0)</f>
        <v>0</v>
      </c>
      <c r="AN131" s="0" t="n">
        <f aca="false">IF(Matrice_OD!AM131&lt;=Param!$B$2,3_Huff!AM131*3_Huff!AM$139*1_Friction!AM131,0)</f>
        <v>1.79161223677935E-007</v>
      </c>
      <c r="AO131" s="0" t="n">
        <f aca="false">IF(Matrice_OD!AN131&lt;=Param!$B$2,3_Huff!AN131*3_Huff!AN$139*1_Friction!AN131,0)</f>
        <v>0</v>
      </c>
      <c r="AP131" s="49" t="n">
        <f aca="false">SUM(D131:AO131)</f>
        <v>0.000208745064867089</v>
      </c>
      <c r="AQ131" s="43" t="n">
        <f aca="false">AP131*1000</f>
        <v>0.208745064867089</v>
      </c>
      <c r="AR131" s="43" t="n">
        <f aca="false">RANK(AP131,AP$2:AP$136,0)</f>
        <v>42</v>
      </c>
      <c r="AS131" s="43" t="n">
        <f aca="false">COUNTIF(Matrice_OD!$C131:$AN131,"&lt;="&amp;Param!$B$2)</f>
        <v>30</v>
      </c>
    </row>
    <row r="132" customFormat="false" ht="15" hidden="false" customHeight="true" outlineLevel="0" collapsed="false">
      <c r="A132" s="0" t="s">
        <v>362</v>
      </c>
      <c r="B132" s="0" t="s">
        <v>363</v>
      </c>
      <c r="C132" s="0" t="n">
        <f aca="false">Demande!C132</f>
        <v>8612</v>
      </c>
      <c r="D132" s="43" t="n">
        <f aca="false">IF(Matrice_OD!C132&lt;=Param!$B$2,3_Huff!C132*3_Huff!C$139*1_Friction!C132,0)</f>
        <v>9.32348692533582E-009</v>
      </c>
      <c r="E132" s="43" t="n">
        <f aca="false">IF(Matrice_OD!D132&lt;=Param!$B$2,3_Huff!D132*3_Huff!D$139*1_Friction!D132,0)</f>
        <v>2.77487128508155E-007</v>
      </c>
      <c r="F132" s="43" t="n">
        <f aca="false">IF(Matrice_OD!E132&lt;=Param!$B$2,3_Huff!E132*3_Huff!E$139*1_Friction!E132,0)</f>
        <v>3.31458789082014E-006</v>
      </c>
      <c r="G132" s="43" t="n">
        <f aca="false">IF(Matrice_OD!F132&lt;=Param!$B$2,3_Huff!F132*3_Huff!F$139*1_Friction!F132,0)</f>
        <v>6.14774922101672E-007</v>
      </c>
      <c r="H132" s="43" t="n">
        <f aca="false">IF(Matrice_OD!G132&lt;=Param!$B$2,3_Huff!G132*3_Huff!G$139*1_Friction!G132,0)</f>
        <v>1.71901629006469E-006</v>
      </c>
      <c r="I132" s="43" t="n">
        <f aca="false">IF(Matrice_OD!H132&lt;=Param!$B$2,3_Huff!H132*3_Huff!H$139*1_Friction!H132,0)</f>
        <v>5.11798569958635E-007</v>
      </c>
      <c r="J132" s="43" t="n">
        <f aca="false">IF(Matrice_OD!I132&lt;=Param!$B$2,3_Huff!I132*3_Huff!I$139*1_Friction!I132,0)</f>
        <v>1.16965052930631E-006</v>
      </c>
      <c r="K132" s="43" t="n">
        <f aca="false">IF(Matrice_OD!J132&lt;=Param!$B$2,3_Huff!J132*3_Huff!J$139*1_Friction!J132,0)</f>
        <v>8.73730103951413E-007</v>
      </c>
      <c r="L132" s="43" t="n">
        <f aca="false">IF(Matrice_OD!K132&lt;=Param!$B$2,3_Huff!K132*3_Huff!K$139*1_Friction!K132,0)</f>
        <v>5.03959840180218E-007</v>
      </c>
      <c r="M132" s="43" t="n">
        <f aca="false">IF(Matrice_OD!L132&lt;=Param!$B$2,3_Huff!L132*3_Huff!L$139*1_Friction!L132,0)</f>
        <v>5.9038586140794E-007</v>
      </c>
      <c r="N132" s="43" t="n">
        <f aca="false">IF(Matrice_OD!M132&lt;=Param!$B$2,3_Huff!M132*3_Huff!M$139*1_Friction!M132,0)</f>
        <v>3.60449876032328E-006</v>
      </c>
      <c r="O132" s="43" t="n">
        <f aca="false">IF(Matrice_OD!N132&lt;=Param!$B$2,3_Huff!N132*3_Huff!N$139*1_Friction!N132,0)</f>
        <v>4.10919912550048E-007</v>
      </c>
      <c r="P132" s="43" t="n">
        <f aca="false">IF(Matrice_OD!O132&lt;=Param!$B$2,3_Huff!O132*3_Huff!O$139*1_Friction!O132,0)</f>
        <v>1.33136216858557E-006</v>
      </c>
      <c r="Q132" s="43" t="n">
        <f aca="false">IF(Matrice_OD!P132&lt;=Param!$B$2,3_Huff!P132*3_Huff!P$139*1_Friction!P132,0)</f>
        <v>6.75480405079751E-007</v>
      </c>
      <c r="R132" s="43" t="n">
        <f aca="false">IF(Matrice_OD!Q132&lt;=Param!$B$2,3_Huff!Q132*3_Huff!Q$139*1_Friction!Q132,0)</f>
        <v>6.06177597359255E-006</v>
      </c>
      <c r="S132" s="43" t="n">
        <f aca="false">IF(Matrice_OD!R132&lt;=Param!$B$2,3_Huff!R132*3_Huff!R$139*1_Friction!R132,0)</f>
        <v>7.94248777512596E-007</v>
      </c>
      <c r="T132" s="43" t="n">
        <f aca="false">IF(Matrice_OD!S132&lt;=Param!$B$2,3_Huff!S132*3_Huff!S$139*1_Friction!S132,0)</f>
        <v>5.59693778033792E-007</v>
      </c>
      <c r="U132" s="43" t="n">
        <f aca="false">IF(Matrice_OD!T132&lt;=Param!$B$2,3_Huff!T132*3_Huff!T$139*1_Friction!T132,0)</f>
        <v>9.11014762441528E-007</v>
      </c>
      <c r="V132" s="43" t="n">
        <f aca="false">IF(Matrice_OD!U132&lt;=Param!$B$2,3_Huff!U132*3_Huff!U$139*1_Friction!U132,0)</f>
        <v>2.46330579889951E-005</v>
      </c>
      <c r="W132" s="43" t="n">
        <f aca="false">IF(Matrice_OD!V132&lt;=Param!$B$2,3_Huff!V132*3_Huff!V$139*1_Friction!V132,0)</f>
        <v>5.85950398384632E-005</v>
      </c>
      <c r="X132" s="43" t="n">
        <f aca="false">IF(Matrice_OD!W132&lt;=Param!$B$2,3_Huff!W132*3_Huff!W$139*1_Friction!W132,0)</f>
        <v>1.19468558751941E-005</v>
      </c>
      <c r="Y132" s="43" t="n">
        <f aca="false">IF(Matrice_OD!X132&lt;=Param!$B$2,3_Huff!X132*3_Huff!X$139*1_Friction!X132,0)</f>
        <v>1.76870895784104E-005</v>
      </c>
      <c r="Z132" s="43" t="n">
        <f aca="false">IF(Matrice_OD!Y132&lt;=Param!$B$2,3_Huff!Y132*3_Huff!Y$139*1_Friction!Y132,0)</f>
        <v>1.18281021245462E-005</v>
      </c>
      <c r="AA132" s="43" t="n">
        <f aca="false">IF(Matrice_OD!Z132&lt;=Param!$B$2,3_Huff!Z132*3_Huff!Z$139*1_Friction!Z132,0)</f>
        <v>2.92356762628652E-005</v>
      </c>
      <c r="AB132" s="43" t="n">
        <f aca="false">IF(Matrice_OD!AA132&lt;=Param!$B$2,3_Huff!AA132*3_Huff!AA$139*1_Friction!AA132,0)</f>
        <v>6.13802725897887E-005</v>
      </c>
      <c r="AC132" s="43" t="n">
        <f aca="false">IF(Matrice_OD!AB132&lt;=Param!$B$2,3_Huff!AB132*3_Huff!AB$139*1_Friction!AB132,0)</f>
        <v>3.01545206392957E-005</v>
      </c>
      <c r="AD132" s="43" t="n">
        <f aca="false">IF(Matrice_OD!AC132&lt;=Param!$B$2,3_Huff!AC132*3_Huff!AC$139*1_Friction!AC132,0)</f>
        <v>0</v>
      </c>
      <c r="AE132" s="43" t="n">
        <f aca="false">IF(Matrice_OD!AD132&lt;=Param!$B$2,3_Huff!AD132*3_Huff!AD$139*1_Friction!AD132,0)</f>
        <v>0</v>
      </c>
      <c r="AF132" s="43" t="n">
        <f aca="false">IF(Matrice_OD!AE132&lt;=Param!$B$2,3_Huff!AE132*3_Huff!AE$139*1_Friction!AE132,0)</f>
        <v>0</v>
      </c>
      <c r="AG132" s="43" t="n">
        <f aca="false">IF(Matrice_OD!AF132&lt;=Param!$B$2,3_Huff!AF132*3_Huff!AF$139*1_Friction!AF132,0)</f>
        <v>0</v>
      </c>
      <c r="AH132" s="43" t="n">
        <f aca="false">IF(Matrice_OD!AG132&lt;=Param!$B$2,3_Huff!AG132*3_Huff!AG$139*1_Friction!AG132,0)</f>
        <v>0</v>
      </c>
      <c r="AI132" s="43" t="n">
        <f aca="false">IF(Matrice_OD!AH132&lt;=Param!$B$2,3_Huff!AH132*3_Huff!AH$139*1_Friction!AH132,0)</f>
        <v>2.22892719423182E-006</v>
      </c>
      <c r="AJ132" s="43" t="n">
        <f aca="false">IF(Matrice_OD!AI132&lt;=Param!$B$2,3_Huff!AI132*3_Huff!AI$139*1_Friction!AI132,0)</f>
        <v>3.35329202542032E-007</v>
      </c>
      <c r="AK132" s="43" t="n">
        <f aca="false">IF(Matrice_OD!AJ132&lt;=Param!$B$2,3_Huff!AJ132*3_Huff!AJ$139*1_Friction!AJ132,0)</f>
        <v>2.63191502846958E-005</v>
      </c>
      <c r="AL132" s="43" t="n">
        <f aca="false">IF(Matrice_OD!AK132&lt;=Param!$B$2,3_Huff!AK132*3_Huff!AK$139*1_Friction!AK132,0)</f>
        <v>0</v>
      </c>
      <c r="AM132" s="0" t="n">
        <f aca="false">IF(Matrice_OD!AL132&lt;=Param!$B$2,3_Huff!AL132*3_Huff!AL$139*1_Friction!AL132,0)</f>
        <v>0</v>
      </c>
      <c r="AN132" s="0" t="n">
        <f aca="false">IF(Matrice_OD!AM132&lt;=Param!$B$2,3_Huff!AM132*3_Huff!AM$139*1_Friction!AM132,0)</f>
        <v>2.10549410666686E-008</v>
      </c>
      <c r="AO132" s="0" t="n">
        <f aca="false">IF(Matrice_OD!AN132&lt;=Param!$B$2,3_Huff!AN132*3_Huff!AN$139*1_Friction!AN132,0)</f>
        <v>0</v>
      </c>
      <c r="AP132" s="48" t="n">
        <f aca="false">SUM(D132:AO132)</f>
        <v>0.000298298785681439</v>
      </c>
      <c r="AQ132" s="43" t="n">
        <f aca="false">AP132*1000</f>
        <v>0.298298785681439</v>
      </c>
      <c r="AR132" s="43" t="n">
        <f aca="false">RANK(AP132,AP$2:AP$136,0)</f>
        <v>25</v>
      </c>
      <c r="AS132" s="43" t="n">
        <f aca="false">COUNTIF(Matrice_OD!$C132:$AN132,"&lt;="&amp;Param!$B$2)</f>
        <v>30</v>
      </c>
    </row>
    <row r="133" customFormat="false" ht="15" hidden="false" customHeight="true" outlineLevel="0" collapsed="false">
      <c r="A133" s="0" t="s">
        <v>364</v>
      </c>
      <c r="B133" s="0" t="s">
        <v>365</v>
      </c>
      <c r="C133" s="0" t="n">
        <f aca="false">Demande!C133</f>
        <v>5595</v>
      </c>
      <c r="D133" s="43" t="n">
        <f aca="false">IF(Matrice_OD!C133&lt;=Param!$B$2,3_Huff!C133*3_Huff!C$139*1_Friction!C133,0)</f>
        <v>1.22860142932164E-008</v>
      </c>
      <c r="E133" s="43" t="n">
        <f aca="false">IF(Matrice_OD!D133&lt;=Param!$B$2,3_Huff!D133*3_Huff!D$139*1_Friction!D133,0)</f>
        <v>3.09623638698349E-007</v>
      </c>
      <c r="F133" s="43" t="n">
        <f aca="false">IF(Matrice_OD!E133&lt;=Param!$B$2,3_Huff!E133*3_Huff!E$139*1_Friction!E133,0)</f>
        <v>3.7019486220171E-006</v>
      </c>
      <c r="G133" s="43" t="n">
        <f aca="false">IF(Matrice_OD!F133&lt;=Param!$B$2,3_Huff!F133*3_Huff!F$139*1_Friction!F133,0)</f>
        <v>6.87224010140117E-007</v>
      </c>
      <c r="H133" s="43" t="n">
        <f aca="false">IF(Matrice_OD!G133&lt;=Param!$B$2,3_Huff!G133*3_Huff!G$139*1_Friction!G133,0)</f>
        <v>1.91717225873848E-006</v>
      </c>
      <c r="I133" s="43" t="n">
        <f aca="false">IF(Matrice_OD!H133&lt;=Param!$B$2,3_Huff!H133*3_Huff!H$139*1_Friction!H133,0)</f>
        <v>5.75035205250298E-007</v>
      </c>
      <c r="J133" s="43" t="n">
        <f aca="false">IF(Matrice_OD!I133&lt;=Param!$B$2,3_Huff!I133*3_Huff!I$139*1_Friction!I133,0)</f>
        <v>1.31503755157046E-006</v>
      </c>
      <c r="K133" s="43" t="n">
        <f aca="false">IF(Matrice_OD!J133&lt;=Param!$B$2,3_Huff!J133*3_Huff!J$139*1_Friction!J133,0)</f>
        <v>9.78765028020355E-007</v>
      </c>
      <c r="L133" s="43" t="n">
        <f aca="false">IF(Matrice_OD!K133&lt;=Param!$B$2,3_Huff!K133*3_Huff!K$139*1_Friction!K133,0)</f>
        <v>5.63991334772174E-007</v>
      </c>
      <c r="M133" s="43" t="n">
        <f aca="false">IF(Matrice_OD!L133&lt;=Param!$B$2,3_Huff!L133*3_Huff!L$139*1_Friction!L133,0)</f>
        <v>6.62941664808411E-007</v>
      </c>
      <c r="N133" s="43" t="n">
        <f aca="false">IF(Matrice_OD!M133&lt;=Param!$B$2,3_Huff!M133*3_Huff!M$139*1_Friction!M133,0)</f>
        <v>4.06354558016773E-006</v>
      </c>
      <c r="O133" s="43" t="n">
        <f aca="false">IF(Matrice_OD!N133&lt;=Param!$B$2,3_Huff!N133*3_Huff!N$139*1_Friction!N133,0)</f>
        <v>4.61201463371227E-007</v>
      </c>
      <c r="P133" s="43" t="n">
        <f aca="false">IF(Matrice_OD!O133&lt;=Param!$B$2,3_Huff!O133*3_Huff!O$139*1_Friction!O133,0)</f>
        <v>1.49307255162531E-006</v>
      </c>
      <c r="Q133" s="43" t="n">
        <f aca="false">IF(Matrice_OD!P133&lt;=Param!$B$2,3_Huff!P133*3_Huff!P$139*1_Friction!P133,0)</f>
        <v>7.58444273909763E-007</v>
      </c>
      <c r="R133" s="43" t="n">
        <f aca="false">IF(Matrice_OD!Q133&lt;=Param!$B$2,3_Huff!Q133*3_Huff!Q$139*1_Friction!Q133,0)</f>
        <v>6.81769035876109E-006</v>
      </c>
      <c r="S133" s="43" t="n">
        <f aca="false">IF(Matrice_OD!R133&lt;=Param!$B$2,3_Huff!R133*3_Huff!R$139*1_Friction!R133,0)</f>
        <v>8.92712213915108E-007</v>
      </c>
      <c r="T133" s="43" t="n">
        <f aca="false">IF(Matrice_OD!S133&lt;=Param!$B$2,3_Huff!S133*3_Huff!S$139*1_Friction!S133,0)</f>
        <v>6.27873446677728E-007</v>
      </c>
      <c r="U133" s="43" t="n">
        <f aca="false">IF(Matrice_OD!T133&lt;=Param!$B$2,3_Huff!T133*3_Huff!T$139*1_Friction!T133,0)</f>
        <v>1.21366245314247E-006</v>
      </c>
      <c r="V133" s="43" t="n">
        <f aca="false">IF(Matrice_OD!U133&lt;=Param!$B$2,3_Huff!U133*3_Huff!U$139*1_Friction!U133,0)</f>
        <v>3.29741302954887E-005</v>
      </c>
      <c r="W133" s="43" t="n">
        <f aca="false">IF(Matrice_OD!V133&lt;=Param!$B$2,3_Huff!V133*3_Huff!V$139*1_Friction!V133,0)</f>
        <v>3.06952296307833E-005</v>
      </c>
      <c r="X133" s="43" t="n">
        <f aca="false">IF(Matrice_OD!W133&lt;=Param!$B$2,3_Huff!W133*3_Huff!W$139*1_Friction!W133,0)</f>
        <v>6.30345375303905E-006</v>
      </c>
      <c r="Y133" s="43" t="n">
        <f aca="false">IF(Matrice_OD!X133&lt;=Param!$B$2,3_Huff!X133*3_Huff!X$139*1_Friction!X133,0)</f>
        <v>9.30442774035209E-006</v>
      </c>
      <c r="Z133" s="43" t="n">
        <f aca="false">IF(Matrice_OD!Y133&lt;=Param!$B$2,3_Huff!Y133*3_Huff!Y$139*1_Friction!Y133,0)</f>
        <v>5.94917241026712E-006</v>
      </c>
      <c r="AA133" s="43" t="n">
        <f aca="false">IF(Matrice_OD!Z133&lt;=Param!$B$2,3_Huff!Z133*3_Huff!Z$139*1_Friction!Z133,0)</f>
        <v>1.40715325355696E-005</v>
      </c>
      <c r="AB133" s="43" t="n">
        <f aca="false">IF(Matrice_OD!AA133&lt;=Param!$B$2,3_Huff!AA133*3_Huff!AA$139*1_Friction!AA133,0)</f>
        <v>3.35931742871168E-005</v>
      </c>
      <c r="AC133" s="43" t="n">
        <f aca="false">IF(Matrice_OD!AB133&lt;=Param!$B$2,3_Huff!AB133*3_Huff!AB$139*1_Friction!AB133,0)</f>
        <v>1.44715452270486E-005</v>
      </c>
      <c r="AD133" s="43" t="n">
        <f aca="false">IF(Matrice_OD!AC133&lt;=Param!$B$2,3_Huff!AC133*3_Huff!AC$139*1_Friction!AC133,0)</f>
        <v>0</v>
      </c>
      <c r="AE133" s="43" t="n">
        <f aca="false">IF(Matrice_OD!AD133&lt;=Param!$B$2,3_Huff!AD133*3_Huff!AD$139*1_Friction!AD133,0)</f>
        <v>0</v>
      </c>
      <c r="AF133" s="43" t="n">
        <f aca="false">IF(Matrice_OD!AE133&lt;=Param!$B$2,3_Huff!AE133*3_Huff!AE$139*1_Friction!AE133,0)</f>
        <v>0</v>
      </c>
      <c r="AG133" s="43" t="n">
        <f aca="false">IF(Matrice_OD!AF133&lt;=Param!$B$2,3_Huff!AF133*3_Huff!AF$139*1_Friction!AF133,0)</f>
        <v>0</v>
      </c>
      <c r="AH133" s="43" t="n">
        <f aca="false">IF(Matrice_OD!AG133&lt;=Param!$B$2,3_Huff!AG133*3_Huff!AG$139*1_Friction!AG133,0)</f>
        <v>0</v>
      </c>
      <c r="AI133" s="43" t="n">
        <f aca="false">IF(Matrice_OD!AH133&lt;=Param!$B$2,3_Huff!AH133*3_Huff!AH$139*1_Friction!AH133,0)</f>
        <v>2.51291853434307E-006</v>
      </c>
      <c r="AJ133" s="43" t="n">
        <f aca="false">IF(Matrice_OD!AI133&lt;=Param!$B$2,3_Huff!AI133*3_Huff!AI$139*1_Friction!AI133,0)</f>
        <v>4.46404150395237E-007</v>
      </c>
      <c r="AK133" s="43" t="n">
        <f aca="false">IF(Matrice_OD!AJ133&lt;=Param!$B$2,3_Huff!AJ133*3_Huff!AJ$139*1_Friction!AJ133,0)</f>
        <v>1.41398920632452E-005</v>
      </c>
      <c r="AL133" s="43" t="n">
        <f aca="false">IF(Matrice_OD!AK133&lt;=Param!$B$2,3_Huff!AK133*3_Huff!AK$139*1_Friction!AK133,0)</f>
        <v>0</v>
      </c>
      <c r="AM133" s="0" t="n">
        <f aca="false">IF(Matrice_OD!AL133&lt;=Param!$B$2,3_Huff!AL133*3_Huff!AL$139*1_Friction!AL133,0)</f>
        <v>0</v>
      </c>
      <c r="AN133" s="0" t="n">
        <f aca="false">IF(Matrice_OD!AM133&lt;=Param!$B$2,3_Huff!AM133*3_Huff!AM$139*1_Friction!AM133,0)</f>
        <v>2.75794777652485E-008</v>
      </c>
      <c r="AO133" s="0" t="n">
        <f aca="false">IF(Matrice_OD!AN133&lt;=Param!$B$2,3_Huff!AN133*3_Huff!AN$139*1_Friction!AN133,0)</f>
        <v>0</v>
      </c>
      <c r="AP133" s="49" t="n">
        <f aca="false">SUM(D133:AO133)</f>
        <v>0.000191541687775293</v>
      </c>
      <c r="AQ133" s="43" t="n">
        <f aca="false">AP133*1000</f>
        <v>0.191541687775293</v>
      </c>
      <c r="AR133" s="43" t="n">
        <f aca="false">RANK(AP133,AP$2:AP$136,0)</f>
        <v>47</v>
      </c>
      <c r="AS133" s="43" t="n">
        <f aca="false">COUNTIF(Matrice_OD!$C133:$AN133,"&lt;="&amp;Param!$B$2)</f>
        <v>30</v>
      </c>
    </row>
    <row r="134" customFormat="false" ht="15" hidden="false" customHeight="true" outlineLevel="0" collapsed="false">
      <c r="A134" s="0" t="s">
        <v>366</v>
      </c>
      <c r="B134" s="0" t="s">
        <v>367</v>
      </c>
      <c r="C134" s="0" t="n">
        <f aca="false">Demande!C134</f>
        <v>6912</v>
      </c>
      <c r="D134" s="43" t="n">
        <f aca="false">IF(Matrice_OD!C134&lt;=Param!$B$2,3_Huff!C134*3_Huff!C$139*1_Friction!C134,0)</f>
        <v>0</v>
      </c>
      <c r="E134" s="43" t="n">
        <f aca="false">IF(Matrice_OD!D134&lt;=Param!$B$2,3_Huff!D134*3_Huff!D$139*1_Friction!D134,0)</f>
        <v>9.25225998015708E-009</v>
      </c>
      <c r="F134" s="43" t="n">
        <f aca="false">IF(Matrice_OD!E134&lt;=Param!$B$2,3_Huff!E134*3_Huff!E$139*1_Friction!E134,0)</f>
        <v>1.12637606434699E-007</v>
      </c>
      <c r="G134" s="43" t="n">
        <f aca="false">IF(Matrice_OD!F134&lt;=Param!$B$2,3_Huff!F134*3_Huff!F$139*1_Friction!F134,0)</f>
        <v>2.12642474322111E-008</v>
      </c>
      <c r="H134" s="43" t="n">
        <f aca="false">IF(Matrice_OD!G134&lt;=Param!$B$2,3_Huff!G134*3_Huff!G$139*1_Friction!G134,0)</f>
        <v>5.83780281289186E-008</v>
      </c>
      <c r="I134" s="43" t="n">
        <f aca="false">IF(Matrice_OD!H134&lt;=Param!$B$2,3_Huff!H134*3_Huff!H$139*1_Friction!H134,0)</f>
        <v>2.0153614251473E-008</v>
      </c>
      <c r="J134" s="43" t="n">
        <f aca="false">IF(Matrice_OD!I134&lt;=Param!$B$2,3_Huff!I134*3_Huff!I$139*1_Friction!I134,0)</f>
        <v>4.54293645414049E-008</v>
      </c>
      <c r="K134" s="43" t="n">
        <f aca="false">IF(Matrice_OD!J134&lt;=Param!$B$2,3_Huff!J134*3_Huff!J$139*1_Friction!J134,0)</f>
        <v>3.24150524448807E-008</v>
      </c>
      <c r="L134" s="43" t="n">
        <f aca="false">IF(Matrice_OD!K134&lt;=Param!$B$2,3_Huff!K134*3_Huff!K$139*1_Friction!K134,0)</f>
        <v>1.78355028707492E-008</v>
      </c>
      <c r="M134" s="43" t="n">
        <f aca="false">IF(Matrice_OD!L134&lt;=Param!$B$2,3_Huff!L134*3_Huff!L$139*1_Friction!L134,0)</f>
        <v>2.29757566170743E-008</v>
      </c>
      <c r="N134" s="43" t="n">
        <f aca="false">IF(Matrice_OD!M134&lt;=Param!$B$2,3_Huff!M134*3_Huff!M$139*1_Friction!M134,0)</f>
        <v>1.5184361405874E-007</v>
      </c>
      <c r="O134" s="43" t="n">
        <f aca="false">IF(Matrice_OD!N134&lt;=Param!$B$2,3_Huff!N134*3_Huff!N$139*1_Friction!N134,0)</f>
        <v>1.54156617256072E-008</v>
      </c>
      <c r="P134" s="43" t="n">
        <f aca="false">IF(Matrice_OD!O134&lt;=Param!$B$2,3_Huff!O134*3_Huff!O$139*1_Friction!O134,0)</f>
        <v>5.05052764209204E-008</v>
      </c>
      <c r="Q134" s="43" t="n">
        <f aca="false">IF(Matrice_OD!P134&lt;=Param!$B$2,3_Huff!P134*3_Huff!P$139*1_Friction!P134,0)</f>
        <v>2.62529275425728E-008</v>
      </c>
      <c r="R134" s="43" t="n">
        <f aca="false">IF(Matrice_OD!Q134&lt;=Param!$B$2,3_Huff!Q134*3_Huff!Q$139*1_Friction!Q134,0)</f>
        <v>2.37142454819162E-007</v>
      </c>
      <c r="S134" s="43" t="n">
        <f aca="false">IF(Matrice_OD!R134&lt;=Param!$B$2,3_Huff!R134*3_Huff!R$139*1_Friction!R134,0)</f>
        <v>3.06674097141239E-008</v>
      </c>
      <c r="T134" s="43" t="n">
        <f aca="false">IF(Matrice_OD!S134&lt;=Param!$B$2,3_Huff!S134*3_Huff!S$139*1_Friction!S134,0)</f>
        <v>2.07916424033438E-008</v>
      </c>
      <c r="U134" s="43" t="n">
        <f aca="false">IF(Matrice_OD!T134&lt;=Param!$B$2,3_Huff!T134*3_Huff!T$139*1_Friction!T134,0)</f>
        <v>9.82974051727307E-008</v>
      </c>
      <c r="V134" s="43" t="n">
        <f aca="false">IF(Matrice_OD!U134&lt;=Param!$B$2,3_Huff!U134*3_Huff!U$139*1_Friction!U134,0)</f>
        <v>2.57142833471603E-005</v>
      </c>
      <c r="W134" s="43" t="n">
        <f aca="false">IF(Matrice_OD!V134&lt;=Param!$B$2,3_Huff!V134*3_Huff!V$139*1_Friction!V134,0)</f>
        <v>1.75965275760145E-005</v>
      </c>
      <c r="X134" s="43" t="n">
        <f aca="false">IF(Matrice_OD!W134&lt;=Param!$B$2,3_Huff!W134*3_Huff!W$139*1_Friction!W134,0)</f>
        <v>3.65949058309047E-006</v>
      </c>
      <c r="Y134" s="43" t="n">
        <f aca="false">IF(Matrice_OD!X134&lt;=Param!$B$2,3_Huff!X134*3_Huff!X$139*1_Friction!X134,0)</f>
        <v>5.57632054549604E-006</v>
      </c>
      <c r="Z134" s="43" t="n">
        <f aca="false">IF(Matrice_OD!Y134&lt;=Param!$B$2,3_Huff!Y134*3_Huff!Y$139*1_Friction!Y134,0)</f>
        <v>3.51060148212042E-006</v>
      </c>
      <c r="AA134" s="43" t="n">
        <f aca="false">IF(Matrice_OD!Z134&lt;=Param!$B$2,3_Huff!Z134*3_Huff!Z$139*1_Friction!Z134,0)</f>
        <v>8.1344557175602E-006</v>
      </c>
      <c r="AB134" s="43" t="n">
        <f aca="false">IF(Matrice_OD!AA134&lt;=Param!$B$2,3_Huff!AA134*3_Huff!AA$139*1_Friction!AA134,0)</f>
        <v>2.05040533650537E-005</v>
      </c>
      <c r="AC134" s="43" t="n">
        <f aca="false">IF(Matrice_OD!AB134&lt;=Param!$B$2,3_Huff!AB134*3_Huff!AB$139*1_Friction!AB134,0)</f>
        <v>8.22379971519263E-006</v>
      </c>
      <c r="AD134" s="43" t="n">
        <f aca="false">IF(Matrice_OD!AC134&lt;=Param!$B$2,3_Huff!AC134*3_Huff!AC$139*1_Friction!AC134,0)</f>
        <v>0</v>
      </c>
      <c r="AE134" s="43" t="n">
        <f aca="false">IF(Matrice_OD!AD134&lt;=Param!$B$2,3_Huff!AD134*3_Huff!AD$139*1_Friction!AD134,0)</f>
        <v>0</v>
      </c>
      <c r="AF134" s="43" t="n">
        <f aca="false">IF(Matrice_OD!AE134&lt;=Param!$B$2,3_Huff!AE134*3_Huff!AE$139*1_Friction!AE134,0)</f>
        <v>0</v>
      </c>
      <c r="AG134" s="43" t="n">
        <f aca="false">IF(Matrice_OD!AF134&lt;=Param!$B$2,3_Huff!AF134*3_Huff!AF$139*1_Friction!AF134,0)</f>
        <v>0</v>
      </c>
      <c r="AH134" s="43" t="n">
        <f aca="false">IF(Matrice_OD!AG134&lt;=Param!$B$2,3_Huff!AG134*3_Huff!AG$139*1_Friction!AG134,0)</f>
        <v>0</v>
      </c>
      <c r="AI134" s="43" t="n">
        <f aca="false">IF(Matrice_OD!AH134&lt;=Param!$B$2,3_Huff!AH134*3_Huff!AH$139*1_Friction!AH134,0)</f>
        <v>9.1528048137376E-008</v>
      </c>
      <c r="AJ134" s="43" t="n">
        <f aca="false">IF(Matrice_OD!AI134&lt;=Param!$B$2,3_Huff!AI134*3_Huff!AI$139*1_Friction!AI134,0)</f>
        <v>3.25472194198278E-008</v>
      </c>
      <c r="AK134" s="43" t="n">
        <f aca="false">IF(Matrice_OD!AJ134&lt;=Param!$B$2,3_Huff!AJ134*3_Huff!AJ$139*1_Friction!AJ134,0)</f>
        <v>8.42001851043121E-006</v>
      </c>
      <c r="AL134" s="43" t="n">
        <f aca="false">IF(Matrice_OD!AK134&lt;=Param!$B$2,3_Huff!AK134*3_Huff!AK$139*1_Friction!AK134,0)</f>
        <v>0</v>
      </c>
      <c r="AM134" s="0" t="n">
        <f aca="false">IF(Matrice_OD!AL134&lt;=Param!$B$2,3_Huff!AL134*3_Huff!AL$139*1_Friction!AL134,0)</f>
        <v>0</v>
      </c>
      <c r="AN134" s="0" t="n">
        <f aca="false">IF(Matrice_OD!AM134&lt;=Param!$B$2,3_Huff!AM134*3_Huff!AM$139*1_Friction!AM134,0)</f>
        <v>0</v>
      </c>
      <c r="AO134" s="0" t="n">
        <f aca="false">IF(Matrice_OD!AN134&lt;=Param!$B$2,3_Huff!AN134*3_Huff!AN$139*1_Friction!AN134,0)</f>
        <v>0</v>
      </c>
      <c r="AP134" s="48" t="n">
        <f aca="false">SUM(D134:AO134)</f>
        <v>0.000102434883934235</v>
      </c>
      <c r="AQ134" s="43" t="n">
        <f aca="false">AP134*1000</f>
        <v>0.102434883934235</v>
      </c>
      <c r="AR134" s="43" t="n">
        <f aca="false">RANK(AP134,AP$2:AP$136,0)</f>
        <v>69</v>
      </c>
      <c r="AS134" s="43" t="n">
        <f aca="false">COUNTIF(Matrice_OD!$C134:$AN134,"&lt;="&amp;Param!$B$2)</f>
        <v>28</v>
      </c>
    </row>
    <row r="135" customFormat="false" ht="15" hidden="false" customHeight="true" outlineLevel="0" collapsed="false">
      <c r="A135" s="0" t="s">
        <v>368</v>
      </c>
      <c r="B135" s="0" t="s">
        <v>369</v>
      </c>
      <c r="C135" s="0" t="n">
        <f aca="false">Demande!C135</f>
        <v>6948</v>
      </c>
      <c r="D135" s="43" t="n">
        <f aca="false">IF(Matrice_OD!C135&lt;=Param!$B$2,3_Huff!C135*3_Huff!C$139*1_Friction!C135,0)</f>
        <v>0</v>
      </c>
      <c r="E135" s="43" t="n">
        <f aca="false">IF(Matrice_OD!D135&lt;=Param!$B$2,3_Huff!D135*3_Huff!D$139*1_Friction!D135,0)</f>
        <v>0</v>
      </c>
      <c r="F135" s="43" t="n">
        <f aca="false">IF(Matrice_OD!E135&lt;=Param!$B$2,3_Huff!E135*3_Huff!E$139*1_Friction!E135,0)</f>
        <v>0</v>
      </c>
      <c r="G135" s="43" t="n">
        <f aca="false">IF(Matrice_OD!F135&lt;=Param!$B$2,3_Huff!F135*3_Huff!F$139*1_Friction!F135,0)</f>
        <v>0</v>
      </c>
      <c r="H135" s="43" t="n">
        <f aca="false">IF(Matrice_OD!G135&lt;=Param!$B$2,3_Huff!G135*3_Huff!G$139*1_Friction!G135,0)</f>
        <v>0</v>
      </c>
      <c r="I135" s="43" t="n">
        <f aca="false">IF(Matrice_OD!H135&lt;=Param!$B$2,3_Huff!H135*3_Huff!H$139*1_Friction!H135,0)</f>
        <v>2.67248442015577E-008</v>
      </c>
      <c r="J135" s="43" t="n">
        <f aca="false">IF(Matrice_OD!I135&lt;=Param!$B$2,3_Huff!I135*3_Huff!I$139*1_Friction!I135,0)</f>
        <v>6.02710187026517E-008</v>
      </c>
      <c r="K135" s="43" t="n">
        <f aca="false">IF(Matrice_OD!J135&lt;=Param!$B$2,3_Huff!J135*3_Huff!J$139*1_Friction!J135,0)</f>
        <v>0</v>
      </c>
      <c r="L135" s="43" t="n">
        <f aca="false">IF(Matrice_OD!K135&lt;=Param!$B$2,3_Huff!K135*3_Huff!K$139*1_Friction!K135,0)</f>
        <v>0</v>
      </c>
      <c r="M135" s="43" t="n">
        <f aca="false">IF(Matrice_OD!L135&lt;=Param!$B$2,3_Huff!L135*3_Huff!L$139*1_Friction!L135,0)</f>
        <v>3.04264111176563E-008</v>
      </c>
      <c r="N135" s="43" t="n">
        <f aca="false">IF(Matrice_OD!M135&lt;=Param!$B$2,3_Huff!M135*3_Huff!M$139*1_Friction!M135,0)</f>
        <v>2.02901515472563E-007</v>
      </c>
      <c r="O135" s="43" t="n">
        <f aca="false">IF(Matrice_OD!N135&lt;=Param!$B$2,3_Huff!N135*3_Huff!N$139*1_Friction!N135,0)</f>
        <v>0</v>
      </c>
      <c r="P135" s="43" t="n">
        <f aca="false">IF(Matrice_OD!O135&lt;=Param!$B$2,3_Huff!O135*3_Huff!O$139*1_Friction!O135,0)</f>
        <v>0</v>
      </c>
      <c r="Q135" s="43" t="n">
        <f aca="false">IF(Matrice_OD!P135&lt;=Param!$B$2,3_Huff!P135*3_Huff!P$139*1_Friction!P135,0)</f>
        <v>3.47611434845669E-008</v>
      </c>
      <c r="R135" s="43" t="n">
        <f aca="false">IF(Matrice_OD!Q135&lt;=Param!$B$2,3_Huff!Q135*3_Huff!Q$139*1_Friction!Q135,0)</f>
        <v>3.14230682436902E-007</v>
      </c>
      <c r="S135" s="43" t="n">
        <f aca="false">IF(Matrice_OD!R135&lt;=Param!$B$2,3_Huff!R135*3_Huff!R$139*1_Friction!R135,0)</f>
        <v>4.05761135134101E-008</v>
      </c>
      <c r="T135" s="43" t="n">
        <f aca="false">IF(Matrice_OD!S135&lt;=Param!$B$2,3_Huff!S135*3_Huff!S$139*1_Friction!S135,0)</f>
        <v>0</v>
      </c>
      <c r="U135" s="43" t="n">
        <f aca="false">IF(Matrice_OD!T135&lt;=Param!$B$2,3_Huff!T135*3_Huff!T$139*1_Friction!T135,0)</f>
        <v>8.20060929471274E-008</v>
      </c>
      <c r="V135" s="43" t="n">
        <f aca="false">IF(Matrice_OD!U135&lt;=Param!$B$2,3_Huff!U135*3_Huff!U$139*1_Friction!U135,0)</f>
        <v>3.60225942595202E-005</v>
      </c>
      <c r="W135" s="43" t="n">
        <f aca="false">IF(Matrice_OD!V135&lt;=Param!$B$2,3_Huff!V135*3_Huff!V$139*1_Friction!V135,0)</f>
        <v>3.35214194199005E-006</v>
      </c>
      <c r="X135" s="43" t="n">
        <f aca="false">IF(Matrice_OD!W135&lt;=Param!$B$2,3_Huff!W135*3_Huff!W$139*1_Friction!W135,0)</f>
        <v>8.55645434161327E-007</v>
      </c>
      <c r="Y135" s="43" t="n">
        <f aca="false">IF(Matrice_OD!X135&lt;=Param!$B$2,3_Huff!X135*3_Huff!X$139*1_Friction!X135,0)</f>
        <v>1.43748690387956E-006</v>
      </c>
      <c r="Z135" s="43" t="n">
        <f aca="false">IF(Matrice_OD!Y135&lt;=Param!$B$2,3_Huff!Y135*3_Huff!Y$139*1_Friction!Y135,0)</f>
        <v>9.58815903693783E-007</v>
      </c>
      <c r="AA135" s="43" t="n">
        <f aca="false">IF(Matrice_OD!Z135&lt;=Param!$B$2,3_Huff!Z135*3_Huff!Z$139*1_Friction!Z135,0)</f>
        <v>2.30890150215807E-006</v>
      </c>
      <c r="AB135" s="43" t="n">
        <f aca="false">IF(Matrice_OD!AA135&lt;=Param!$B$2,3_Huff!AA135*3_Huff!AA$139*1_Friction!AA135,0)</f>
        <v>5.05158416798918E-006</v>
      </c>
      <c r="AC135" s="43" t="n">
        <f aca="false">IF(Matrice_OD!AB135&lt;=Param!$B$2,3_Huff!AB135*3_Huff!AB$139*1_Friction!AB135,0)</f>
        <v>2.78955299907267E-006</v>
      </c>
      <c r="AD135" s="43" t="n">
        <f aca="false">IF(Matrice_OD!AC135&lt;=Param!$B$2,3_Huff!AC135*3_Huff!AC$139*1_Friction!AC135,0)</f>
        <v>0</v>
      </c>
      <c r="AE135" s="43" t="n">
        <f aca="false">IF(Matrice_OD!AD135&lt;=Param!$B$2,3_Huff!AD135*3_Huff!AD$139*1_Friction!AD135,0)</f>
        <v>0</v>
      </c>
      <c r="AF135" s="43" t="n">
        <f aca="false">IF(Matrice_OD!AE135&lt;=Param!$B$2,3_Huff!AE135*3_Huff!AE$139*1_Friction!AE135,0)</f>
        <v>0</v>
      </c>
      <c r="AG135" s="43" t="n">
        <f aca="false">IF(Matrice_OD!AF135&lt;=Param!$B$2,3_Huff!AF135*3_Huff!AF$139*1_Friction!AF135,0)</f>
        <v>0</v>
      </c>
      <c r="AH135" s="43" t="n">
        <f aca="false">IF(Matrice_OD!AG135&lt;=Param!$B$2,3_Huff!AG135*3_Huff!AG$139*1_Friction!AG135,0)</f>
        <v>0</v>
      </c>
      <c r="AI135" s="43" t="n">
        <f aca="false">IF(Matrice_OD!AH135&lt;=Param!$B$2,3_Huff!AH135*3_Huff!AH$139*1_Friction!AH135,0)</f>
        <v>1.22197651994855E-007</v>
      </c>
      <c r="AJ135" s="43" t="n">
        <f aca="false">IF(Matrice_OD!AI135&lt;=Param!$B$2,3_Huff!AI135*3_Huff!AI$139*1_Friction!AI135,0)</f>
        <v>2.64596672931447E-008</v>
      </c>
      <c r="AK135" s="43" t="n">
        <f aca="false">IF(Matrice_OD!AJ135&lt;=Param!$B$2,3_Huff!AJ135*3_Huff!AJ$139*1_Friction!AJ135,0)</f>
        <v>1.92920486446032E-006</v>
      </c>
      <c r="AL135" s="43" t="n">
        <f aca="false">IF(Matrice_OD!AK135&lt;=Param!$B$2,3_Huff!AK135*3_Huff!AK$139*1_Friction!AK135,0)</f>
        <v>0</v>
      </c>
      <c r="AM135" s="0" t="n">
        <f aca="false">IF(Matrice_OD!AL135&lt;=Param!$B$2,3_Huff!AL135*3_Huff!AL$139*1_Friction!AL135,0)</f>
        <v>0</v>
      </c>
      <c r="AN135" s="0" t="n">
        <f aca="false">IF(Matrice_OD!AM135&lt;=Param!$B$2,3_Huff!AM135*3_Huff!AM$139*1_Friction!AM135,0)</f>
        <v>0</v>
      </c>
      <c r="AO135" s="0" t="n">
        <f aca="false">IF(Matrice_OD!AN135&lt;=Param!$B$2,3_Huff!AN135*3_Huff!AN$139*1_Friction!AN135,0)</f>
        <v>0</v>
      </c>
      <c r="AP135" s="49" t="n">
        <f aca="false">SUM(D135:AO135)</f>
        <v>5.56464831180896E-005</v>
      </c>
      <c r="AQ135" s="43" t="n">
        <f aca="false">AP135*1000</f>
        <v>0.0556464831180896</v>
      </c>
      <c r="AR135" s="43" t="n">
        <f aca="false">RANK(AP135,AP$2:AP$136,0)</f>
        <v>91</v>
      </c>
      <c r="AS135" s="43" t="n">
        <f aca="false">COUNTIF(Matrice_OD!$C135:$AN135,"&lt;="&amp;Param!$B$2)</f>
        <v>19</v>
      </c>
    </row>
    <row r="136" customFormat="false" ht="15" hidden="false" customHeight="true" outlineLevel="0" collapsed="false">
      <c r="A136" s="0" t="s">
        <v>370</v>
      </c>
      <c r="B136" s="0" t="s">
        <v>371</v>
      </c>
      <c r="C136" s="0" t="n">
        <f aca="false">Demande!C136</f>
        <v>4652</v>
      </c>
      <c r="D136" s="43" t="n">
        <f aca="false">IF(Matrice_OD!C136&lt;=Param!$B$2,3_Huff!C136*3_Huff!C$139*1_Friction!C136,0)</f>
        <v>0</v>
      </c>
      <c r="E136" s="43" t="n">
        <f aca="false">IF(Matrice_OD!D136&lt;=Param!$B$2,3_Huff!D136*3_Huff!D$139*1_Friction!D136,0)</f>
        <v>0</v>
      </c>
      <c r="F136" s="43" t="n">
        <f aca="false">IF(Matrice_OD!E136&lt;=Param!$B$2,3_Huff!E136*3_Huff!E$139*1_Friction!E136,0)</f>
        <v>0</v>
      </c>
      <c r="G136" s="43" t="n">
        <f aca="false">IF(Matrice_OD!F136&lt;=Param!$B$2,3_Huff!F136*3_Huff!F$139*1_Friction!F136,0)</f>
        <v>0</v>
      </c>
      <c r="H136" s="43" t="n">
        <f aca="false">IF(Matrice_OD!G136&lt;=Param!$B$2,3_Huff!G136*3_Huff!G$139*1_Friction!G136,0)</f>
        <v>0</v>
      </c>
      <c r="I136" s="43" t="n">
        <f aca="false">IF(Matrice_OD!H136&lt;=Param!$B$2,3_Huff!H136*3_Huff!H$139*1_Friction!H136,0)</f>
        <v>0</v>
      </c>
      <c r="J136" s="43" t="n">
        <f aca="false">IF(Matrice_OD!I136&lt;=Param!$B$2,3_Huff!I136*3_Huff!I$139*1_Friction!I136,0)</f>
        <v>0</v>
      </c>
      <c r="K136" s="43" t="n">
        <f aca="false">IF(Matrice_OD!J136&lt;=Param!$B$2,3_Huff!J136*3_Huff!J$139*1_Friction!J136,0)</f>
        <v>0</v>
      </c>
      <c r="L136" s="43" t="n">
        <f aca="false">IF(Matrice_OD!K136&lt;=Param!$B$2,3_Huff!K136*3_Huff!K$139*1_Friction!K136,0)</f>
        <v>0</v>
      </c>
      <c r="M136" s="43" t="n">
        <f aca="false">IF(Matrice_OD!L136&lt;=Param!$B$2,3_Huff!L136*3_Huff!L$139*1_Friction!L136,0)</f>
        <v>0</v>
      </c>
      <c r="N136" s="43" t="n">
        <f aca="false">IF(Matrice_OD!M136&lt;=Param!$B$2,3_Huff!M136*3_Huff!M$139*1_Friction!M136,0)</f>
        <v>0</v>
      </c>
      <c r="O136" s="43" t="n">
        <f aca="false">IF(Matrice_OD!N136&lt;=Param!$B$2,3_Huff!N136*3_Huff!N$139*1_Friction!N136,0)</f>
        <v>0</v>
      </c>
      <c r="P136" s="43" t="n">
        <f aca="false">IF(Matrice_OD!O136&lt;=Param!$B$2,3_Huff!O136*3_Huff!O$139*1_Friction!O136,0)</f>
        <v>0</v>
      </c>
      <c r="Q136" s="43" t="n">
        <f aca="false">IF(Matrice_OD!P136&lt;=Param!$B$2,3_Huff!P136*3_Huff!P$139*1_Friction!P136,0)</f>
        <v>0</v>
      </c>
      <c r="R136" s="43" t="n">
        <f aca="false">IF(Matrice_OD!Q136&lt;=Param!$B$2,3_Huff!Q136*3_Huff!Q$139*1_Friction!Q136,0)</f>
        <v>0</v>
      </c>
      <c r="S136" s="43" t="n">
        <f aca="false">IF(Matrice_OD!R136&lt;=Param!$B$2,3_Huff!R136*3_Huff!R$139*1_Friction!R136,0)</f>
        <v>0</v>
      </c>
      <c r="T136" s="43" t="n">
        <f aca="false">IF(Matrice_OD!S136&lt;=Param!$B$2,3_Huff!S136*3_Huff!S$139*1_Friction!S136,0)</f>
        <v>0</v>
      </c>
      <c r="U136" s="43" t="n">
        <f aca="false">IF(Matrice_OD!T136&lt;=Param!$B$2,3_Huff!T136*3_Huff!T$139*1_Friction!T136,0)</f>
        <v>0</v>
      </c>
      <c r="V136" s="43" t="n">
        <f aca="false">IF(Matrice_OD!U136&lt;=Param!$B$2,3_Huff!U136*3_Huff!U$139*1_Friction!U136,0)</f>
        <v>3.13477245550321E-005</v>
      </c>
      <c r="W136" s="43" t="n">
        <f aca="false">IF(Matrice_OD!V136&lt;=Param!$B$2,3_Huff!V136*3_Huff!V$139*1_Friction!V136,0)</f>
        <v>2.47554214550284E-006</v>
      </c>
      <c r="X136" s="43" t="n">
        <f aca="false">IF(Matrice_OD!W136&lt;=Param!$B$2,3_Huff!W136*3_Huff!W$139*1_Friction!W136,0)</f>
        <v>6.21088891537905E-007</v>
      </c>
      <c r="Y136" s="43" t="n">
        <f aca="false">IF(Matrice_OD!X136&lt;=Param!$B$2,3_Huff!X136*3_Huff!X$139*1_Friction!X136,0)</f>
        <v>1.05952866344011E-006</v>
      </c>
      <c r="Z136" s="43" t="n">
        <f aca="false">IF(Matrice_OD!Y136&lt;=Param!$B$2,3_Huff!Y136*3_Huff!Y$139*1_Friction!Y136,0)</f>
        <v>7.06555472689995E-007</v>
      </c>
      <c r="AA136" s="43" t="n">
        <f aca="false">IF(Matrice_OD!Z136&lt;=Param!$B$2,3_Huff!Z136*3_Huff!Z$139*1_Friction!Z136,0)</f>
        <v>1.69589384565746E-006</v>
      </c>
      <c r="AB136" s="43" t="n">
        <f aca="false">IF(Matrice_OD!AA136&lt;=Param!$B$2,3_Huff!AA136*3_Huff!AA$139*1_Friction!AA136,0)</f>
        <v>3.73218423063244E-006</v>
      </c>
      <c r="AC136" s="43" t="n">
        <f aca="false">IF(Matrice_OD!AB136&lt;=Param!$B$2,3_Huff!AB136*3_Huff!AB$139*1_Friction!AB136,0)</f>
        <v>2.08969753511991E-006</v>
      </c>
      <c r="AD136" s="43" t="n">
        <f aca="false">IF(Matrice_OD!AC136&lt;=Param!$B$2,3_Huff!AC136*3_Huff!AC$139*1_Friction!AC136,0)</f>
        <v>0</v>
      </c>
      <c r="AE136" s="43" t="n">
        <f aca="false">IF(Matrice_OD!AD136&lt;=Param!$B$2,3_Huff!AD136*3_Huff!AD$139*1_Friction!AD136,0)</f>
        <v>0</v>
      </c>
      <c r="AF136" s="43" t="n">
        <f aca="false">IF(Matrice_OD!AE136&lt;=Param!$B$2,3_Huff!AE136*3_Huff!AE$139*1_Friction!AE136,0)</f>
        <v>0</v>
      </c>
      <c r="AG136" s="43" t="n">
        <f aca="false">IF(Matrice_OD!AF136&lt;=Param!$B$2,3_Huff!AF136*3_Huff!AF$139*1_Friction!AF136,0)</f>
        <v>0</v>
      </c>
      <c r="AH136" s="43" t="n">
        <f aca="false">IF(Matrice_OD!AG136&lt;=Param!$B$2,3_Huff!AG136*3_Huff!AG$139*1_Friction!AG136,0)</f>
        <v>0</v>
      </c>
      <c r="AI136" s="43" t="n">
        <f aca="false">IF(Matrice_OD!AH136&lt;=Param!$B$2,3_Huff!AH136*3_Huff!AH$139*1_Friction!AH136,0)</f>
        <v>0</v>
      </c>
      <c r="AJ136" s="43" t="n">
        <f aca="false">IF(Matrice_OD!AI136&lt;=Param!$B$2,3_Huff!AI136*3_Huff!AI$139*1_Friction!AI136,0)</f>
        <v>0</v>
      </c>
      <c r="AK136" s="43" t="n">
        <f aca="false">IF(Matrice_OD!AJ136&lt;=Param!$B$2,3_Huff!AJ136*3_Huff!AJ$139*1_Friction!AJ136,0)</f>
        <v>1.4084181275286E-006</v>
      </c>
      <c r="AL136" s="43" t="n">
        <f aca="false">IF(Matrice_OD!AK136&lt;=Param!$B$2,3_Huff!AK136*3_Huff!AK$139*1_Friction!AK136,0)</f>
        <v>0</v>
      </c>
      <c r="AM136" s="0" t="n">
        <f aca="false">IF(Matrice_OD!AL136&lt;=Param!$B$2,3_Huff!AL136*3_Huff!AL$139*1_Friction!AL136,0)</f>
        <v>0</v>
      </c>
      <c r="AN136" s="0" t="n">
        <f aca="false">IF(Matrice_OD!AM136&lt;=Param!$B$2,3_Huff!AM136*3_Huff!AM$139*1_Friction!AM136,0)</f>
        <v>0</v>
      </c>
      <c r="AO136" s="0" t="n">
        <f aca="false">IF(Matrice_OD!AN136&lt;=Param!$B$2,3_Huff!AN136*3_Huff!AN$139*1_Friction!AN136,0)</f>
        <v>0</v>
      </c>
      <c r="AP136" s="48" t="n">
        <f aca="false">SUM(D136:AO136)</f>
        <v>4.51366334671414E-005</v>
      </c>
      <c r="AQ136" s="43" t="n">
        <f aca="false">AP136*1000</f>
        <v>0.0451366334671414</v>
      </c>
      <c r="AR136" s="43" t="n">
        <f aca="false">RANK(AP136,AP$2:AP$136,0)</f>
        <v>95</v>
      </c>
      <c r="AS136" s="43" t="n">
        <f aca="false">COUNTIF(Matrice_OD!$C136:$AN136,"&lt;="&amp;Param!$B$2)</f>
        <v>9</v>
      </c>
    </row>
    <row r="137" customFormat="false" ht="19.5" hidden="false" customHeight="true" outlineLevel="0" collapsed="false">
      <c r="A137" s="52" t="s">
        <v>479</v>
      </c>
      <c r="B137" s="52"/>
      <c r="C137" s="52"/>
      <c r="D137" s="52"/>
      <c r="E137" s="52"/>
      <c r="F137" s="52"/>
    </row>
    <row r="138" customFormat="false" ht="30" hidden="false" customHeight="true" outlineLevel="0" collapsed="false">
      <c r="A138" s="45" t="s">
        <v>480</v>
      </c>
      <c r="B138" s="45"/>
      <c r="C138" s="45"/>
      <c r="D138" s="45"/>
      <c r="E138" s="45"/>
      <c r="F138" s="45"/>
    </row>
    <row r="139" customFormat="false" ht="18" hidden="false" customHeight="true" outlineLevel="0" collapsed="false">
      <c r="A139" s="36" t="s">
        <v>481</v>
      </c>
      <c r="B139" s="36"/>
      <c r="C139" s="36"/>
      <c r="D139" s="36"/>
      <c r="E139" s="36"/>
      <c r="F139" s="36"/>
    </row>
    <row r="140" customFormat="false" ht="18" hidden="false" customHeight="true" outlineLevel="0" collapsed="false">
      <c r="A140" s="36" t="s">
        <v>482</v>
      </c>
      <c r="B140" s="36"/>
      <c r="C140" s="36"/>
      <c r="D140" s="36"/>
      <c r="E140" s="36"/>
      <c r="F140" s="36"/>
    </row>
    <row r="141" customFormat="false" ht="18" hidden="false" customHeight="true" outlineLevel="0" collapsed="false">
      <c r="A141" s="36" t="s">
        <v>483</v>
      </c>
      <c r="B141" s="36"/>
      <c r="C141" s="36"/>
      <c r="D141" s="36"/>
      <c r="E141" s="36"/>
      <c r="F141" s="36"/>
    </row>
    <row r="142" customFormat="false" ht="18" hidden="false" customHeight="true" outlineLevel="0" collapsed="false">
      <c r="A142" s="36" t="s">
        <v>484</v>
      </c>
      <c r="B142" s="36"/>
      <c r="C142" s="36"/>
      <c r="D142" s="36"/>
      <c r="E142" s="36"/>
      <c r="F142" s="36"/>
    </row>
    <row r="143" customFormat="false" ht="18" hidden="false" customHeight="true" outlineLevel="0" collapsed="false">
      <c r="A143" s="36" t="s">
        <v>485</v>
      </c>
      <c r="B143" s="36"/>
      <c r="C143" s="36"/>
      <c r="D143" s="36"/>
      <c r="E143" s="36"/>
      <c r="F143" s="36"/>
    </row>
    <row r="144" customFormat="false" ht="18" hidden="false" customHeight="true" outlineLevel="0" collapsed="false">
      <c r="A144" s="36" t="s">
        <v>486</v>
      </c>
      <c r="B144" s="36"/>
      <c r="C144" s="36"/>
      <c r="D144" s="36"/>
      <c r="E144" s="36"/>
      <c r="F144" s="36"/>
    </row>
    <row r="145" customFormat="false" ht="18" hidden="false" customHeight="true" outlineLevel="0" collapsed="false">
      <c r="A145" s="36" t="s">
        <v>487</v>
      </c>
      <c r="B145" s="36"/>
      <c r="C145" s="36"/>
      <c r="D145" s="36"/>
      <c r="E145" s="36"/>
      <c r="F145" s="36"/>
    </row>
    <row r="146" customFormat="false" ht="18" hidden="false" customHeight="true" outlineLevel="0" collapsed="false">
      <c r="A146" s="36" t="s">
        <v>488</v>
      </c>
      <c r="B146" s="36"/>
      <c r="C146" s="36"/>
      <c r="D146" s="36"/>
      <c r="E146" s="36"/>
      <c r="F146" s="36"/>
    </row>
    <row r="147" customFormat="false" ht="18" hidden="false" customHeight="true" outlineLevel="0" collapsed="false">
      <c r="A147" s="36" t="s">
        <v>489</v>
      </c>
      <c r="B147" s="36"/>
      <c r="C147" s="36"/>
      <c r="D147" s="36"/>
      <c r="E147" s="36"/>
      <c r="F147" s="36"/>
    </row>
    <row r="148" customFormat="false" ht="18" hidden="false" customHeight="true" outlineLevel="0" collapsed="false">
      <c r="A148" s="36"/>
      <c r="B148" s="36"/>
      <c r="C148" s="36"/>
      <c r="D148" s="36"/>
      <c r="E148" s="36"/>
      <c r="F148" s="36"/>
    </row>
    <row r="149" customFormat="false" ht="18" hidden="false" customHeight="true" outlineLevel="0" collapsed="false">
      <c r="A149" s="36" t="s">
        <v>490</v>
      </c>
      <c r="B149" s="36"/>
      <c r="C149" s="36"/>
      <c r="D149" s="36"/>
      <c r="E149" s="36"/>
      <c r="F149" s="36"/>
    </row>
    <row r="150" customFormat="false" ht="18" hidden="false" customHeight="true" outlineLevel="0" collapsed="false">
      <c r="A150" s="36" t="s">
        <v>491</v>
      </c>
      <c r="B150" s="36"/>
      <c r="C150" s="36"/>
      <c r="D150" s="36"/>
      <c r="E150" s="36"/>
      <c r="F150" s="36"/>
    </row>
    <row r="151" customFormat="false" ht="18" hidden="false" customHeight="true" outlineLevel="0" collapsed="false">
      <c r="A151" s="36" t="s">
        <v>492</v>
      </c>
      <c r="B151" s="36"/>
      <c r="C151" s="36"/>
      <c r="D151" s="36"/>
      <c r="E151" s="36"/>
      <c r="F151" s="36"/>
    </row>
  </sheetData>
  <mergeCells count="15">
    <mergeCell ref="A137:F137"/>
    <mergeCell ref="A138:F138"/>
    <mergeCell ref="A139:F139"/>
    <mergeCell ref="A140:F140"/>
    <mergeCell ref="A141:F141"/>
    <mergeCell ref="A142:F142"/>
    <mergeCell ref="A143:F143"/>
    <mergeCell ref="A144:F144"/>
    <mergeCell ref="A145:F145"/>
    <mergeCell ref="A146:F146"/>
    <mergeCell ref="A147:F147"/>
    <mergeCell ref="A148:F148"/>
    <mergeCell ref="A149:F149"/>
    <mergeCell ref="A150:F150"/>
    <mergeCell ref="A151:F1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2026-05-05T01:57:07Z</dcterms:created>
  <dc:creator>openpyxl</dc:creator>
  <dc:description/>
  <dc:language>en-US</dc:language>
  <cp:lastModifiedBy>Brahim EL JAZOULI</cp:lastModifiedBy>
  <dcterms:modified xsi:type="dcterms:W3CDTF">2026-05-06T21:30:13Z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